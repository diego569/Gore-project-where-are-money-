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ónde hay plata" sheetId="2" r:id="rId2"/>
    <sheet name="Cambios" sheetId="3" state="hidden" r:id="rId3"/>
    <sheet name="Gerencia de Infraestructura" sheetId="4" r:id="rId4"/>
    <sheet name="Gerencias y Oficinas" sheetId="5" r:id="rId5"/>
    <sheet name="Sin clasificar" sheetId="6" r:id="rId6"/>
    <sheet name="Otras UE" sheetId="7" r:id="rId7"/>
    <sheet name="Saldo al expediente" sheetId="8" r:id="rId8"/>
    <sheet name="Base" sheetId="9" r:id="rId9"/>
    <sheet name="Rubro por CUI" sheetId="10" state="hidden" r:id="rId10"/>
    <sheet name="Calidad de datos" sheetId="11" state="hidden" r:id="rId11"/>
    <sheet name="Control" sheetId="12" state="hidden" r:id="rId12"/>
    <sheet name="Reglas" sheetId="13" state="hidden" r:id="rId13"/>
    <sheet name="Config" sheetId="14" state="hidden" r:id="rId14"/>
  </sheets>
  <definedNames>
    <definedName name="_xlnm._FilterDatabase" localSheetId="8" hidden="1">Base!$A$4:$AN$504</definedName>
    <definedName name="_xlnm._FilterDatabase" localSheetId="10" hidden="1">'Calidad de datos'!$A$14:$E$333</definedName>
    <definedName name="_xlnm._FilterDatabase" localSheetId="2" hidden="1">Cambios!$A$4:$M$24</definedName>
    <definedName name="_xlnm._FilterDatabase" localSheetId="1" hidden="1">'Dónde hay plata'!$A$7:$W$55</definedName>
    <definedName name="_xlnm._FilterDatabase" localSheetId="9" hidden="1">'Rubro por CUI'!$A$4:$N$454</definedName>
  </definedNames>
  <calcPr calcId="124519" fullCalcOnLoad="1"/>
</workbook>
</file>

<file path=xl/sharedStrings.xml><?xml version="1.0" encoding="utf-8"?>
<sst xmlns="http://schemas.openxmlformats.org/spreadsheetml/2006/main" count="18475" uniqueCount="2318">
  <si>
    <t>Configuración (editable)</t>
  </si>
  <si>
    <t>Parámetro</t>
  </si>
  <si>
    <t>Valor</t>
  </si>
  <si>
    <t>Significado</t>
  </si>
  <si>
    <t>Monto mínimo a listar (S/)</t>
  </si>
  <si>
    <t>Saldo libre menor a este monto: semáforo "Sin saldo útil" (no entra en Dónde hay plata).</t>
  </si>
  <si>
    <t>Umbral devengado / PIM</t>
  </si>
  <si>
    <t>Devengado 2026 / PIM mayor o igual → "No mover".</t>
  </si>
  <si>
    <t>Umbral avance financiero acumulado</t>
  </si>
  <si>
    <t>Devengado acumulado / costo actualizado mayor → "No mover" (Art. 11 Ley 32513).</t>
  </si>
  <si>
    <t>Estos valores son informativos: se cambian en config.json (monto_minimo, umbral_ejecutado, umbral_avance_acumulado) y se aplican en la siguiente corrida.</t>
  </si>
  <si>
    <t>Datos de esta corrida</t>
  </si>
  <si>
    <t>Fecha de corte</t>
  </si>
  <si>
    <t>09/10/2026</t>
  </si>
  <si>
    <t>Archivo SIAF</t>
  </si>
  <si>
    <t>API Datos Abiertos MEF · dump (descarga masiva)</t>
  </si>
  <si>
    <t>Fecha del archivo SIAF</t>
  </si>
  <si>
    <t>Archivo Cartera</t>
  </si>
  <si>
    <t>API Banco de Inversiones (MEF)</t>
  </si>
  <si>
    <t>Fecha de la Cartera</t>
  </si>
  <si>
    <t>09/10/2026 20:08</t>
  </si>
  <si>
    <t>Generado</t>
  </si>
  <si>
    <t>Fuente legal 1</t>
  </si>
  <si>
    <t>Ficha SSI (Banco de Inversiones): 445 de 445 CUI con dato · consultados ahora 445</t>
  </si>
  <si>
    <t>Fuente legal 2</t>
  </si>
  <si>
    <t>Formato 12-B (Datos Abiertos MEF): 362 de 445 CUI con dato · consultados ahora 0</t>
  </si>
  <si>
    <t>Fuente legal 3</t>
  </si>
  <si>
    <t>Anexo I: lista no cargada (pendiente de la OPMI; ver LEEME)</t>
  </si>
  <si>
    <t>Fuente del rubro de financiamiento</t>
  </si>
  <si>
    <t>API Datos Abiertos MEF</t>
  </si>
  <si>
    <t>USADA</t>
  </si>
  <si>
    <t>12,015 registros · meses 0-10 · descargada 09/10/2026 20:08 · rubro por UE y CUI</t>
  </si>
  <si>
    <t>Base por UE-CUI-meta · proyectos · al 09/10/2026</t>
  </si>
  <si>
    <t>Una fila por UE-CUI-meta. Filtre con las flechas de cada columna; Ctrl+B busca por CUI o nombre. Azul = dato de entrada; negro = fórmula o resultado de las reglas (hoja Reglas).</t>
  </si>
  <si>
    <t>UE</t>
  </si>
  <si>
    <t>Hoja</t>
  </si>
  <si>
    <t>Gerencia / Oficina</t>
  </si>
  <si>
    <t>Grupo (Alex)</t>
  </si>
  <si>
    <t>Función</t>
  </si>
  <si>
    <t>CUI</t>
  </si>
  <si>
    <t>Meta</t>
  </si>
  <si>
    <t>Proyecto</t>
  </si>
  <si>
    <t>Tipo de inversión</t>
  </si>
  <si>
    <t>Semáforo</t>
  </si>
  <si>
    <t>Disponible legal (S/)</t>
  </si>
  <si>
    <t>Potencial rebajando certificación (S/)</t>
  </si>
  <si>
    <t>Motivo / condiciones</t>
  </si>
  <si>
    <t>PIM 2026</t>
  </si>
  <si>
    <t>Certificación</t>
  </si>
  <si>
    <t>Compromiso anual</t>
  </si>
  <si>
    <t>Devengado</t>
  </si>
  <si>
    <t>Saldo sin certificar (A-B)</t>
  </si>
  <si>
    <t>Certificado no comprometido</t>
  </si>
  <si>
    <t>Saldo sin devengar (A-C)</t>
  </si>
  <si>
    <t>% Devengado</t>
  </si>
  <si>
    <t>Costo actualizado</t>
  </si>
  <si>
    <t>Devengado acumulado</t>
  </si>
  <si>
    <t>% Avance financiero acumulado</t>
  </si>
  <si>
    <t>Programación 12-B 2026 (total)</t>
  </si>
  <si>
    <t>Fecha 12-B</t>
  </si>
  <si>
    <t>PMI 2026 (S/)</t>
  </si>
  <si>
    <t>PMI 2027 (S/)</t>
  </si>
  <si>
    <t>PMI 2028 (S/)</t>
  </si>
  <si>
    <t>PMI 2029 (S/)</t>
  </si>
  <si>
    <t>Estado en Invierte</t>
  </si>
  <si>
    <t>Cierre registrado</t>
  </si>
  <si>
    <t>Avance físico (%)</t>
  </si>
  <si>
    <t>Modalidad de ejecución</t>
  </si>
  <si>
    <t>Base legal</t>
  </si>
  <si>
    <t>Observación</t>
  </si>
  <si>
    <t>Nota de clasificación</t>
  </si>
  <si>
    <t>Ejecutora (Silucia)</t>
  </si>
  <si>
    <t>Entidad de la inversión (ficha SSI)</t>
  </si>
  <si>
    <t>En algún PMI (ficha SSI)</t>
  </si>
  <si>
    <t>001</t>
  </si>
  <si>
    <t>Gerencia de Infraestructura</t>
  </si>
  <si>
    <t>GERENCIA DE INFRAESTRUCTURA</t>
  </si>
  <si>
    <t>EJECUCIÓN POR ADMINISTRACIÓN DIRECTA &gt; EJECUCIÓN POR ADMINISTRACIÓN DIRECTA - DIRECTIVA 10</t>
  </si>
  <si>
    <t>20. SALUD</t>
  </si>
  <si>
    <t>2108576</t>
  </si>
  <si>
    <t>0001</t>
  </si>
  <si>
    <t>2108576: CONSTRUCCION DEL HOSPITAL MATERNO INFANTIL DEL CONO SUR JULIACA</t>
  </si>
  <si>
    <t>Proyecto de inversión</t>
  </si>
  <si>
    <t>Sin saldo útil</t>
  </si>
  <si>
    <t>Saldo libre menor a S/ 10,000</t>
  </si>
  <si>
    <t>2026-09-25</t>
  </si>
  <si>
    <t>ACTIVO</t>
  </si>
  <si>
    <t>NO</t>
  </si>
  <si>
    <t>Administración directa / Laudos arbitrales</t>
  </si>
  <si>
    <t/>
  </si>
  <si>
    <t>GRI - SGO</t>
  </si>
  <si>
    <t>GOBIERNO REGIONAL PUNO</t>
  </si>
  <si>
    <t>SI</t>
  </si>
  <si>
    <t>2279375</t>
  </si>
  <si>
    <t>0220</t>
  </si>
  <si>
    <t>2279375: MEJORAMIENTO DE LOS SERVICIOS DE SALUD DEL HOSPITAL DE APOYO ILAVE, PROVINCIA DE EL COLLAO - REGION PUNO</t>
  </si>
  <si>
    <t>Rebajando certificación</t>
  </si>
  <si>
    <t>Sin saldo libre; hay S/ 48,063,959 certificados sin comprometer ni programar en el 12-B (requiere rebajar la certificación)</t>
  </si>
  <si>
    <t>2026-09-30</t>
  </si>
  <si>
    <t>No registrado en cartera</t>
  </si>
  <si>
    <t>Contrata / Expediente técnico / Administración directa / Laudos arbitrales</t>
  </si>
  <si>
    <t>GRI - POR CONTRATA</t>
  </si>
  <si>
    <t>22. EDUCACION</t>
  </si>
  <si>
    <t>2323700</t>
  </si>
  <si>
    <t>0223</t>
  </si>
  <si>
    <t>2323700: MEJORAMIENTO DEL SERVICIO EDUCATIVO DE LAS CARRERAS DE PRODUCCIÓN, AUTOMOTRIZ, MINERÍA, CONTABILIDAD, COMPUTACIÓN,  SECRETARIADO, ENFERMERÍA, LABORATORIO CLÍNICO Y PRÓTESIS DENTAL DEL IST MANUEL NÚÑEZ  BUTRÓN, JULIACA, SAN ROMÁN - PUNO</t>
  </si>
  <si>
    <t>No mover</t>
  </si>
  <si>
    <t>Avance financiero acumulado 94% (&gt; 90%)</t>
  </si>
  <si>
    <t>2026-09-28</t>
  </si>
  <si>
    <t>Administración directa / Contrata / Personal/bienes/servicios</t>
  </si>
  <si>
    <t>2335880</t>
  </si>
  <si>
    <t>0224</t>
  </si>
  <si>
    <t>2335880: MEJORAMIENTO DEL SERVICIO EDUCATIVO DE LAS CARRERAS DE CONTABILIDAD, ENFERMERÍA TÉCNICA, COMPUTACIÓN E INFORMÁTICA, INDUSTRIA ALIMENTARIA Y PRODUCCIÓN AGROPECUARIA DEL ISEPA, PROVINCIA DE MELGAR - PUNO</t>
  </si>
  <si>
    <t>2026-09-23</t>
  </si>
  <si>
    <t>Administración directa / Equipamiento / Contrata / Personal/bienes/servicios</t>
  </si>
  <si>
    <t>2521936</t>
  </si>
  <si>
    <t>0245</t>
  </si>
  <si>
    <t>2521936: MEJORAMIENTO Y AMPLIACION DEL SERVICIO DE EDUCACIÓN SUPERIOR TECNOLÓGICA EN EL INSTITUTO SUPERIOR TECNOLÓGICO PUBLICO DE MACUSANI  DISTRITO DE MACUSANI - PROVINCIA DE CARABAYA - DEPARTAMENTO DE PUNO</t>
  </si>
  <si>
    <t>2344324</t>
  </si>
  <si>
    <t>0029</t>
  </si>
  <si>
    <t>2344324: MEJORAMIENTO DE LOS SERVICIOS EDUCATIVOS DE LA I.E.S. MANUEL GONZALES PRADA, CENTRO POBLADO DE ISANI - DISTRITO DE ZEPITA - PROVINCIA DE CHUCUITO - REGIÓN PUNO</t>
  </si>
  <si>
    <t>Devengado 2026 ≥ 90% del PIM</t>
  </si>
  <si>
    <t>2026-09-21</t>
  </si>
  <si>
    <t>2490075</t>
  </si>
  <si>
    <t>0315</t>
  </si>
  <si>
    <t>2490075: MEJORAMIENTO DEL SERVICIO EDUCATIVO DEL NIVEL SECUNDARIA DE LA I.E. AGROPECUARIO SAN JUAN DEL ORO EN EL  DISTRITO DE SAN JUAN DEL ORO - PROVINCIA DE SANDIA - DEPARTAMENTO DE PUNO</t>
  </si>
  <si>
    <t>Avance financiero acumulado 98% (&gt; 90%)</t>
  </si>
  <si>
    <t>GRI - POR ADM. DIRECTA</t>
  </si>
  <si>
    <t>MUNICIPALIDAD DISTRITAL DE SAN JUAN DEL ORO</t>
  </si>
  <si>
    <t>2570978</t>
  </si>
  <si>
    <t>0160</t>
  </si>
  <si>
    <t>2570978: MEJORAMIENTO DE LOS SERVICIOS DE EDUCACIÓN SUPERIOR DEL INSTITUTO SUPERIOR TECNOLÓGICO PUBLICA DE CABANILLAS DEL  DISTRITO DE CABANILLAS - PROVINCIA DE SAN ROMAN - DEPARTAMENTO DE PUNO</t>
  </si>
  <si>
    <t>2591926</t>
  </si>
  <si>
    <t>0162</t>
  </si>
  <si>
    <t>2591926: MEJORAMIENTO  SERVICIO DE EDUCACIÓN SUPERIOR TECNOLÓGICA  EN EL INSTITUTO SUPERIOR TECNOLÓGICO PUBLICO JOSE DOMINGO CHOQUEHUANCA DEL   DISTRITO DE JOSE DOMINGO CHOQUEHUANCA DE LA PROVINCIA DE AZANGARO DEL DEPARTAMENTO DE PUNO</t>
  </si>
  <si>
    <t>2026-09-18</t>
  </si>
  <si>
    <t>Contrata / Personal/bienes/servicios</t>
  </si>
  <si>
    <t>2629119</t>
  </si>
  <si>
    <t>0044</t>
  </si>
  <si>
    <t>2629119: MEJORAMIENTO DEL SERVICIO DE EDUCACIÓN SECUNDARIA EN I.E. ROSASPATA  DE CENTRO POBLADO ROSASPATA DISTRITO DE ROSASPATA DE LA PROVINCIA DE HUANCANE DEL DEPARTAMENTO DE PUNO</t>
  </si>
  <si>
    <t>Administración directa / Contrata / Personal/bienes/servicios / Equipamiento</t>
  </si>
  <si>
    <t>SGED</t>
  </si>
  <si>
    <t>2539673</t>
  </si>
  <si>
    <t>0248</t>
  </si>
  <si>
    <t>2539673: MEJORAMIENTO Y AMPLIACION DEL SERVICIO DE EDUCACIÓN SUPERIOR TECNOLÓGICA EN EL INSTITUTO SUPERIOR TECNOLÓGICO PÚBLICO DE JULI,  DISTRITO DE JULI - PROVINCIA DE CHUCUITO - DEPARTAMENTO DE PUNO</t>
  </si>
  <si>
    <t>Contrata</t>
  </si>
  <si>
    <t>2637985</t>
  </si>
  <si>
    <t>0045</t>
  </si>
  <si>
    <t>2637985: MEJORAMIENTO DEL SERVICIO DE EDUCACIÓN SECUNDARIA EN I.E. LLAULLI  DE CENTRO POBLADO LLAULLI DISTRITO DE MOHO DE LA PROVINCIA DE MOHO DEL DEPARTAMENTO DE PUNO</t>
  </si>
  <si>
    <t>Sin PIM</t>
  </si>
  <si>
    <t>PIM igual a 0</t>
  </si>
  <si>
    <t>s/d</t>
  </si>
  <si>
    <t>2664940</t>
  </si>
  <si>
    <t>0193</t>
  </si>
  <si>
    <t>2664940: MEJORAMIENTO DEL SERVICIO DE EDUCACIÓN INICIAL EN I.E. 1099 INMACULADA   DISTRITO DE PUTINA DE LA PROVINCIA DE SAN ANTONIO DE PUTINA DEL DEPARTAMENTO DE PUNO</t>
  </si>
  <si>
    <t>Administración directa / Contrata / Expediente técnico / Equipamiento / Personal/bienes/servicios</t>
  </si>
  <si>
    <t>2637997</t>
  </si>
  <si>
    <t>0046</t>
  </si>
  <si>
    <t>2637997: MEJORAMIENTO DEL SERVICIO DE EDUCACIÓN SECUNDARIA EN I.E. UMUCHI   DISTRITO DE MOHO DE LA PROVINCIA DE MOHO DEL DEPARTAMENTO DE PUNO</t>
  </si>
  <si>
    <t>2650476</t>
  </si>
  <si>
    <t>0480</t>
  </si>
  <si>
    <t>2650476: ADQUISICION DE EQUIPAMIENTO DE AMBIENTES COMPLEMENTARIOS Y MOBILIARIO DE AULA; EN EL(LA) I.E. EL CENTENARIO DISTRITO DE PUTINA, PROVINCIA SAN ANTONIO DE PUTINA, DEPARTAMENTO PUNO</t>
  </si>
  <si>
    <t>IOARR</t>
  </si>
  <si>
    <t>Equipamiento / Contrata / Administración directa / Personal/bienes/servicios</t>
  </si>
  <si>
    <t>MUNICIPALIDAD PROVINCIAL DE SAN ANTONIO DE PUTINA</t>
  </si>
  <si>
    <t>2695845</t>
  </si>
  <si>
    <t>0479</t>
  </si>
  <si>
    <t>2695845: MEJORAMIENTO DEL SERVICIO DE EDUCACION SECUNDARIA EN I.E. SAN FRANCISCO DE BORJA DISTRITO DE TARACO DE LA PROVINCIA DE HUANCANE DEL DEPARTAMENTO DE PUNO</t>
  </si>
  <si>
    <t>2026-09-10</t>
  </si>
  <si>
    <t>Expediente técnico</t>
  </si>
  <si>
    <t>GRI - ESTUDIOS DEFINITIVOS</t>
  </si>
  <si>
    <t>MUNICIPALIDAD DISTRITAL DE TARACO</t>
  </si>
  <si>
    <t>2196865</t>
  </si>
  <si>
    <t>0170</t>
  </si>
  <si>
    <t>2196865: MEJORAMIENTO DEL SERVICIO EDUCATIVO DE NIVEL INICIAL ESCOLARIZADO EN LA I.E.I. LLUNGO, DISTRITO DE ATUNCOLLA, PROVINCIA DE PUNO - PUNO.</t>
  </si>
  <si>
    <t>Avance financiero acumulado 97% (&gt; 90%)</t>
  </si>
  <si>
    <t>Contrata / Personal/bienes/servicios / Administración directa</t>
  </si>
  <si>
    <t>ORSLP - LIQUIDACION</t>
  </si>
  <si>
    <t>2301117</t>
  </si>
  <si>
    <t>0490</t>
  </si>
  <si>
    <t>2301117: MEJORAMIENTO DEL SERVICIO EDUCATIVO EN LAS INSTITUCIONES EDUCATIVAS PRIMARIAS  N 70511, N 70815 Y N 72637, DISTRITO DE ORURILLO - MELGAR - PUNO</t>
  </si>
  <si>
    <t>Avance financiero acumulado 96% (&gt; 90%)</t>
  </si>
  <si>
    <t>Administración directa</t>
  </si>
  <si>
    <t>MUNICIPALIDAD DISTRITAL DE ORURILLO</t>
  </si>
  <si>
    <t>0489</t>
  </si>
  <si>
    <t>2623682</t>
  </si>
  <si>
    <t>0484</t>
  </si>
  <si>
    <t>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</si>
  <si>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Avance financiero acumulado 99% (&gt; 90%)</t>
  </si>
  <si>
    <t>2026-09-15</t>
  </si>
  <si>
    <t>Sí, en proceso de liquidación</t>
  </si>
  <si>
    <t>2196822</t>
  </si>
  <si>
    <t>0453</t>
  </si>
  <si>
    <t>2196822: INSTALACION DEL SERVICIO DE EDUCACION INICIAL DE LA I.E.I. NRO. 94 DEL CENTRO POBLADO DE UMUCHI, DISTRITO DE MOHO, PROVINCIA DE MOHO, DEPARTAMENTO DE PUNO.</t>
  </si>
  <si>
    <t>Contrata / Administración directa / Personal/bienes/servicios</t>
  </si>
  <si>
    <t>2194504</t>
  </si>
  <si>
    <t>0024</t>
  </si>
  <si>
    <t>2194504: INSTALACION DEL SERVICIO EDUCATIVO DEL NIVEL SECUNDARIO EN LA I.E.S. RODOLFO DIESEL, DISTRITO DE JULIACA, PROVINCIA SAN ROMAN - PUNO.</t>
  </si>
  <si>
    <t>2026-02-16</t>
  </si>
  <si>
    <t>2196834</t>
  </si>
  <si>
    <t>0168</t>
  </si>
  <si>
    <t>2196834: MEJORAMIENTO DE LOS SERVICIOS DE EDUCACION INICIAL EN LA I.E.I. CUCURAYA DE LA COMUNIDAD DE CUCURAYA, DISTRITO DE TILALI, PROVINCIA DE MOHO - PUNO.</t>
  </si>
  <si>
    <t>2026-10-01</t>
  </si>
  <si>
    <t>DESACTIVADO TEMPORAL</t>
  </si>
  <si>
    <t>Administración directa / Contrata / Equipamiento / Personal/bienes/servicios</t>
  </si>
  <si>
    <t>2490131</t>
  </si>
  <si>
    <t>0464</t>
  </si>
  <si>
    <t>2490131: MEJORAMIENTO DEL SERVICIO DE EDUCACIÓN SECUNDARIA DE LA IES CABANILLAS,  DISTRITO DE CABANILLAS - PROVINCIA DE SAN ROMAN - DEPARTAMENTO DE PUNO</t>
  </si>
  <si>
    <t>Contrata / Personal/bienes/servicios / Laudos arbitrales</t>
  </si>
  <si>
    <t>MUNICIPALIDAD DISTRITAL DE CABANILLAS</t>
  </si>
  <si>
    <t>2196857</t>
  </si>
  <si>
    <t>0169</t>
  </si>
  <si>
    <t>2196857: INSTALACION DEL SERVICIO EDUCATIVO EN LA INSTITUCIÓN EDUCATIVA INICIAL N 986 SAN JUAN BAUTISTA DEL DISTRITO DE JULIACA, PROVINCIA DE SAN ROMAN - PUNO</t>
  </si>
  <si>
    <t>2026-03-05</t>
  </si>
  <si>
    <t>0027</t>
  </si>
  <si>
    <t>2194462</t>
  </si>
  <si>
    <t>0022</t>
  </si>
  <si>
    <t>2194462: MEJORAMIENTO DEL SERVICIO DE EDUCATIVO EN LA I.E.S.  THOMAS ALVA EDISON DE LA URBANIZACIÓN CHILLA ¿ LOS ROSALES, CENTRO POBLADO DE CHILLA - DISTRITO DE JULIACA - PROVINCIA DE SAN ROMAN - REGIÓN PUNO</t>
  </si>
  <si>
    <t>2467893</t>
  </si>
  <si>
    <t>0037</t>
  </si>
  <si>
    <t>2467893: MEJORAMIENTO DEL SERVICIO EDUCATIVO DEL NIVEL SECUNDARIA DE LA I.E.S. TARACO DEL DISTRITO DE TARACO - PROVINCIA DE HUANCANE - DEPARTAMENTO DE PUNO</t>
  </si>
  <si>
    <t>15. TRANSPORTE</t>
  </si>
  <si>
    <t>2194702</t>
  </si>
  <si>
    <t>0095</t>
  </si>
  <si>
    <t>2194702: MEJORAMIENTO DE LA CARRETERA (PU 675) POMATA - YOROHOCO, PROVINCIA DE CHUCUITO - PUNO</t>
  </si>
  <si>
    <t>2026-09-14</t>
  </si>
  <si>
    <t>2287700</t>
  </si>
  <si>
    <t>0098</t>
  </si>
  <si>
    <t>2287700: MEJORAMIENTO DE LA CARRETERA PU N-110: EMP. PE-34I ASIRUNI - ROSASPATA - HUAYRAPATA - EMP. PE-34I NINANTAYA, DISTRITOS DE VILQUECHICO-ROSASPATA-MOHO-HUAYRAPATA, PROVINCIA DE HUANCANÉ Y MOHO - PUNO</t>
  </si>
  <si>
    <t>2480499</t>
  </si>
  <si>
    <t>0112</t>
  </si>
  <si>
    <t>2480499: MEJORAMIENTO DE LA CARRETERA PU 146; EMP PE - 34 I (HUANCANÉ) - HUERTAPATA - VISCACHANI - QUELLAHUYO - EMP PE - 34 (CACUÑA),  DISTRITO DE HUANCANE - PROVINCIA DE HUANCANE - DEPARTAMENTO DE PUNO</t>
  </si>
  <si>
    <t>Administración directa / Contrata</t>
  </si>
  <si>
    <t>2300575</t>
  </si>
  <si>
    <t>0099</t>
  </si>
  <si>
    <t>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</si>
  <si>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2026-09-22</t>
  </si>
  <si>
    <t>2031310</t>
  </si>
  <si>
    <t>0087</t>
  </si>
  <si>
    <t>2031310: CONSTRUCCION Y MEJORAMIENTO DE LA CARRETERA SAN JOSE (EMP. R 100) VALLE GRANDE -ISILLUMA DEL DISTRITO DE ALTO INAMBARI</t>
  </si>
  <si>
    <t>2163760</t>
  </si>
  <si>
    <t>0092</t>
  </si>
  <si>
    <t>2163760: MEJORAMIENTO DE LA INFRAESTRUCTURA VIAL TURISTICO, TRAMO PHUTINI - JAYU JAYU ACORA, DISTRITO DE ACORA - PUNO - PUNO</t>
  </si>
  <si>
    <t>MUNICIPALIDAD DISTRITAL DE ACORA</t>
  </si>
  <si>
    <t>2375549</t>
  </si>
  <si>
    <t>0104</t>
  </si>
  <si>
    <t>2375549: CREACION DE LA INFRAESTRUCTURA DE INTEGRACION VIAL ENTRE SANDIA (CP. QUENEQUE) Y PATAMBUCO (C.P. TIRACA), DISTRITO DE SANDIA Y PATAMBUCO, PROVINCIA DE SANDIA - PUNO</t>
  </si>
  <si>
    <t>MUNICIPALIDAD PROVINCIAL DE SANDIA</t>
  </si>
  <si>
    <t>2321290</t>
  </si>
  <si>
    <t>0101</t>
  </si>
  <si>
    <t>2321290: MEJORAMIENTO DE LOS SERVICIOS DE TRANSITABILIDAD DE LA VÍA VECINAL PU-595: DV. PAMPA BLANCA - RINCONADA - CERRO LUNAR, DISTRITO DE ANANEA, PROVINCIA DE SAN ANTONIO DE PUTINA - PUNO</t>
  </si>
  <si>
    <t>Contrata / Laudos arbitrales / Personal/bienes/servicios</t>
  </si>
  <si>
    <t>2475053</t>
  </si>
  <si>
    <t>0166</t>
  </si>
  <si>
    <t>2475053: MEJORAMIENTO DEL SERVICIO DE MOVILIDAD URBANA DE LA AV. ANDRES AVELINO CACERES (TRAMO: AV. TUPAC YUPANQUI - AV. AVIACIÓN), AV. LOS GERANIOS DEL  DISTRITO DE JULIACA - PROVINCIA DE SAN ROMAN - DEPARTAMENTO DE PUNO</t>
  </si>
  <si>
    <t>MUNICIPALIDAD PROVINCIAL DE SAN ROMAN</t>
  </si>
  <si>
    <t>2131661</t>
  </si>
  <si>
    <t>0090</t>
  </si>
  <si>
    <t>2131661: CONSTRUCCION Y MEJORAMIENTO DE LA CARRETERA DESVIO VILQUECHICO-COJATA-SINA-YANAHUAYA.</t>
  </si>
  <si>
    <t>Administración directa / Equipamiento</t>
  </si>
  <si>
    <t>2195487</t>
  </si>
  <si>
    <t>0096</t>
  </si>
  <si>
    <t>2195487: MEJORAMIENTO DEL CAMINO VECINAL (EMP. PE 3S) HUAQUINA ZAPIJICANE - PTO JULI - CHUCASUYO DEL DISTRITO DE JULI - PROVINCIA DE CHUCUITO - DEPARTAMENTO DE PUNO</t>
  </si>
  <si>
    <t>Avance financiero acumulado 100% (&gt; 90%)</t>
  </si>
  <si>
    <t>2514428</t>
  </si>
  <si>
    <t>0113</t>
  </si>
  <si>
    <t>2514428: CREACION DEL SERVICIO DE INTERCONEXION DE MOVILIDAD URBANA EN LA VÍA TRONCAL DEL PUENTE YARAJA  DISTRITO DE AZANGARO - PROVINCIA DE AZANGARO - DEPARTAMENTO DE PUNO</t>
  </si>
  <si>
    <t>Avance financiero acumulado 95% (&gt; 90%)</t>
  </si>
  <si>
    <t>MUNICIPALIDAD PROVINCIAL DE AZANGARO</t>
  </si>
  <si>
    <t>2436247</t>
  </si>
  <si>
    <t>0107</t>
  </si>
  <si>
    <t>2436247: MEJORAMIENTO DEL CAMINO VECINAL RUTA PU-713, EMP. PE 3S (AYAVIRI - DESV. CALUYO - TINAJANI - L. PROV. LAMPA), DISTRITO DE AYAVIRI - PROVINCIA DE MELGAR - DEPARTAMENTO DE PUNO</t>
  </si>
  <si>
    <t>Con condiciones</t>
  </si>
  <si>
    <t>Figura en un PMI (MUNICIPALIDAD PROVINCIAL DE MELGAR) sin monto 2026 en la Cartera del GR: validar con la OPMI</t>
  </si>
  <si>
    <t>Contrata / Personal/bienes/servicios / Expediente técnico</t>
  </si>
  <si>
    <t>MUNICIPALIDAD PROVINCIAL DE MELGAR</t>
  </si>
  <si>
    <t>2603167</t>
  </si>
  <si>
    <t>0124</t>
  </si>
  <si>
    <t>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</si>
  <si>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2026-10-02</t>
  </si>
  <si>
    <t>Administración directa / Contrata / Expediente técnico / Personal/bienes/servicios / Equipamiento</t>
  </si>
  <si>
    <t>2585540</t>
  </si>
  <si>
    <t>0116</t>
  </si>
  <si>
    <t>2585540: MEJORAMIENTO DEL SERVICIO DE TRANSITABILIDAD VIAL INTERURBANA EN LA CARRETERA  PU-139 (HDA. POTONI) ¿ SAN JOSÉ , ¿ COLLANA ¿ EMP. PU-111 ¿ PUENTE YARAJA (AZANGARO)   DISTRITOS DE POTONI, SAN JOSE DE LA PROVINCIA DE AZANGARO DEL DEPARTAMENTO DE PUNO</t>
  </si>
  <si>
    <t>2026-09-29</t>
  </si>
  <si>
    <t>Administración directa / Contrata / Expediente técnico / Personal/bienes/servicios</t>
  </si>
  <si>
    <t>2603165</t>
  </si>
  <si>
    <t>0123</t>
  </si>
  <si>
    <t>2603165: MEJORAMIENTO DEL SERVICIO DE TRANSITABILIDAD VIAL INTERURBANA EN LA CARRETERA TRAMO ACHAYA ¿ EMP. PU 113(ARAPA) , DE LOS   DISTRITOS DE ACHAYA, ARAPA DE LA PROVINCIA DE AZANGARO DEL DEPARTAMENTO DE PUNO</t>
  </si>
  <si>
    <t>Administración directa / Contrata / Equipamiento / Personal/bienes/servicios / Expediente técnico</t>
  </si>
  <si>
    <t>2185578</t>
  </si>
  <si>
    <t>0094</t>
  </si>
  <si>
    <t>2185578: MEJORAMIENTO DE LA CARRETERA DV. DESAGUADERO (EMP PE 36A) - KELLUYO - PISACOMA, PROVINCIA DE CHUCUITO - PUNO</t>
  </si>
  <si>
    <t>2515272</t>
  </si>
  <si>
    <t>0433</t>
  </si>
  <si>
    <t>2515272: RECUPERACION DEL PUENTE COLGANTE PEATONAL SOBRE EL RIO INAMBARI EN LA LOCALIDAD SANTA ROSA YANAMAYO DEL DISTRITO DE ALTO INAMBARI - PROVINCIA DE SANDIA - DEPARTAMENTO DE PUNO</t>
  </si>
  <si>
    <t>MUNICIPALIDAD DISTRITAL DE ALTO INAMBARI</t>
  </si>
  <si>
    <t>0508</t>
  </si>
  <si>
    <t>2440946</t>
  </si>
  <si>
    <t>0457</t>
  </si>
  <si>
    <t>2440946: MEJORAMIENTO DEL SERVICIO DE TRANSITABILIDAD VEHICULAR DE LA CARRETERA TRAMO  ACHAYA (PU-140) - ESTRELLA (EMP. PE- 3S)  DEL  DISTRITO DE ACHAYA - PROVINCIA DE AZANGARO - DEPARTAMENTO DE PUNO</t>
  </si>
  <si>
    <t>MUNICIPALIDAD DISTRITAL DE ACHAYA</t>
  </si>
  <si>
    <t>2055915</t>
  </si>
  <si>
    <t>0088</t>
  </si>
  <si>
    <t>2055915: MEJORAMIENTO DE LA CARRETERA AZANGARO - SAYTOCOCHA - SANDIA - SAN JUAN DEL ORO</t>
  </si>
  <si>
    <t>Personal/bienes/servicios</t>
  </si>
  <si>
    <t>2131389</t>
  </si>
  <si>
    <t>0089</t>
  </si>
  <si>
    <t>2131389: MEJORAMIENTO DE LA INFRAESTRUCTURA VIAL DEL CIRCUITO TURISTICO LAGO SAGRADO DE LOS INCAS - DISTRITOS CAPACHICA, CHUCUITO, PLATERIA, ACORA, ILAVE</t>
  </si>
  <si>
    <t>2232371</t>
  </si>
  <si>
    <t>0097</t>
  </si>
  <si>
    <t>2232371: MEJORAMIENTO Y CONSTRUCCION DE LA CARRETERA PICHACANI - YURACMAYO DISTRITO DE PICHACANI Y SAN ANTONIO, PROVINCIA DE PUNO - PUNO</t>
  </si>
  <si>
    <t>2026-04-09</t>
  </si>
  <si>
    <t>CERRADO</t>
  </si>
  <si>
    <t>Sí, con liquidación</t>
  </si>
  <si>
    <t>2443679</t>
  </si>
  <si>
    <t>0108</t>
  </si>
  <si>
    <t>2443679: MEJORAMIENTO DEL SERVICIO DE TRANSITABILIDAD VEHICULAR DE LA CARRETERA TRAMO I: EMP- 34L (COJATA) ¿ HUANCASAYA, TRAMO II: HUANCASAYA ¿ TARUCANI-EMP-PU-115 (INCHUPALLA), DEL  DISTRITO DE COJATA - PROVINCIA DE HUANCANE - DEPARTAMENTO DE PUNO</t>
  </si>
  <si>
    <t>MUNICIPALIDAD DISTRITAL DE COJATA</t>
  </si>
  <si>
    <t>21. CULTURA Y DEPORTE</t>
  </si>
  <si>
    <t>2163853</t>
  </si>
  <si>
    <t>0217</t>
  </si>
  <si>
    <t>2163853: MEJORAMIENTO DEL ESTADIO MUNICIPAL CESAR RAUL CARRERA DEL DISTRITO DE AZANGARO, PROVINCIA DE AZANGARO - PUNO</t>
  </si>
  <si>
    <t>2188542</t>
  </si>
  <si>
    <t>0063</t>
  </si>
  <si>
    <t>2188542: MEJORAMIENTO DE LA CAPACIDAD DE PRESTACION DE SERVICIOS DEPORTIVOS EN EL ESTADIO GUILLERMO BRICEÑO ROSAMEDINA DE LA CIUDAD DE JULIACA, PROVINCIA DE SAN ROMAN - PUNO</t>
  </si>
  <si>
    <t>Está programado en el PMI 2026 · Tiene monto en el PMI 2027 (S/ 500,000)</t>
  </si>
  <si>
    <t>2026-10-06</t>
  </si>
  <si>
    <t>Administración directa / Equipamiento / Contrata / Laudos arbitrales / Personal/bienes/servicios</t>
  </si>
  <si>
    <t>2186641</t>
  </si>
  <si>
    <t>0062</t>
  </si>
  <si>
    <t>2186641: MEJORAMIENTO DEL SERVICIO DEPORTIVO, CULTURAL Y RECREACIONAL EN LA CAPITAL DE LA REGION PUNO</t>
  </si>
  <si>
    <t>Está programado en el PMI 2026 · Tiene monto en el PMI 2027 (S/ 6,000,000)</t>
  </si>
  <si>
    <t>2026-09-17</t>
  </si>
  <si>
    <t>2646100</t>
  </si>
  <si>
    <t>0072</t>
  </si>
  <si>
    <t>2646100: CONSTRUCCION DE CAMPO DEPORTIVO Y SERVICIOS HIGIENICOS Y/O VESTIDORES PARA PERSONAL; REPARACION DE TRIBUNA Y/O PALCO; EN EL(LA) ESTADIO MUNICIPAL DE SAN PEDRO DE PUTINA PUNCO DISTRITO DE SAN PEDRO DE PUTINA PUNCO, PROVINCIA SANDIA, DEPARTAMENTO PUNO</t>
  </si>
  <si>
    <t>Está programado en el PMI 2026 · Tiene monto en el PMI 2027 (S/ 1,547,463)</t>
  </si>
  <si>
    <t>2645380</t>
  </si>
  <si>
    <t>0067</t>
  </si>
  <si>
    <t>2645380: CONSTRUCCION DE TRIBUNA Y/O PALCO, CAMPO DEPORTIVO Y PISTA DE ATLETISMO (DEPORTE RECREATIVO); REPARACION DE SERVICIOS HIGIENICOS Y/O VESTIDORES; ADEMÁS DE OTROS ACTIVOS EN EL(LA) ESTADIO MUNICIPAL FERNANDO ROMERO CARREÓN  DISTRITO DE LAMPA, PROVINCIA LAMPA, DEPARTAMENTO PUNO</t>
  </si>
  <si>
    <t>2646096</t>
  </si>
  <si>
    <t>0071</t>
  </si>
  <si>
    <t>2646096: CONSTRUCCION DE TRIBUNA Y/O PALCO; REPARACION DE TRIBUNA Y/O PALCO Y CAMPO DEPORTIVO; EN EL(LA) ESTADIO JOSE CARLOS MARIATEGUI  DISTRITO DE YUNGUYO, PROVINCIA YUNGUYO, DEPARTAMENTO PUNO</t>
  </si>
  <si>
    <t>2645340</t>
  </si>
  <si>
    <t>0065</t>
  </si>
  <si>
    <t>2645340: REPARACION DE TRIBUNA Y/O PALCO Y SERVICIOS HIGIENICOS Y/O VESTIDORES; CONSTRUCCION DE CAMPO DEPORTIVO; EN EL(LA) ESTADIO MUNICIPAL CRUCERO  DISTRITO DE CRUCERO, PROVINCIA CARABAYA, DEPARTAMENTO PUNO</t>
  </si>
  <si>
    <t>2555837</t>
  </si>
  <si>
    <t>0252</t>
  </si>
  <si>
    <t>2555837: REPARACION DE CAMPO DEPORTIVO; ADQUISICION DE EQUIPO NO DEPORTIVO PARA INSTALACIONES DEPORTIVAS; EN EL(LA) ESTADIO ENRIQUE TORRES BELON  DISTRITO DE PUNO, PROVINCIA PUNO, DEPARTAMENTO PUNO</t>
  </si>
  <si>
    <t>2593683</t>
  </si>
  <si>
    <t>0260</t>
  </si>
  <si>
    <t>2593683: REPARACION DE PISTA DE ATLETISMO (COMPETENCIA); ADQUISICION DE TORRE DE ILUMINACION; EN EL(LA) ESTADIO ENRIQUE TORRES BELON DEL  DISTRITO DE PUNO, PROVINCIA PUNO, DEPARTAMENTO PUNO</t>
  </si>
  <si>
    <t>03. PLANEAMIENTO, GESTION Y RESERVA DE CONTINGENCIA</t>
  </si>
  <si>
    <t>2592407</t>
  </si>
  <si>
    <t>0259</t>
  </si>
  <si>
    <t>2592407: MEJORAMIENTO DE LOS SERVICIOS OPERATIVOS O MISIONALES INSTITUCIONALES EN LA OFICINA DE EQUIPO MECANICO DEL GOBIERNO REGIONAL PUNO   DISTRITO DE PUNO DE LA PROVINCIA DE PUNO DEL DEPARTAMENTO DE PUNO</t>
  </si>
  <si>
    <t>Equipamiento / Contrata / Personal/bienes/servicios</t>
  </si>
  <si>
    <t>GRI - MAQUINARIA</t>
  </si>
  <si>
    <t>23. PROTECCION SOCIAL</t>
  </si>
  <si>
    <t>2230752</t>
  </si>
  <si>
    <t>0456</t>
  </si>
  <si>
    <t>2230752: MEJORAMIENTO DE LOS SERVICIOS ASISTENCIALES DE LA ALDEA INFANTIL VIRGEN DE LA CANDELARIA EN EL BARRIO LA RINCONADA DEL CENTRO POBLADO DE SALCEDO, DISTRITO DE PUNO, PROVINCIA DE PUNO, REGION DE PUNO</t>
  </si>
  <si>
    <t>2194989</t>
  </si>
  <si>
    <t>0458</t>
  </si>
  <si>
    <t>2194989: MEJORAMIENTO DE LOS SERVICIOS EDUCATIVOS EN LA INSTITUCION EDUCATIVA SECUNDARIA DANTE NAVA DEL CENTRO POBLADO SANTA CRUZ DE PUNA AYLLU, DISTRITO DE PATAMBUCO, PROVINCIA DE SANDIA, REGION PUNO</t>
  </si>
  <si>
    <t>Meta sin número en maestro; asignado por CUI</t>
  </si>
  <si>
    <t>EJECUCIÓN POR ADMINISTRACIÓN DIRECTA &gt; EJECUCIÓN POR ADMINISTRACIÓN DIRECTA - DIRECTIVA 17</t>
  </si>
  <si>
    <t>2504553</t>
  </si>
  <si>
    <t>0242</t>
  </si>
  <si>
    <t>2504553: MEJORAMIENTO DEL SERVICIO DE SALUD EN EL CENTRO DE SALUD YANAPATA DE LA MICRO RED COPANI, RED DE SALUD YUNGUYO,  DISTRITO DE YUNGUYO - PROVINCIA DE YUNGUYO - DEPARTAMENTO DE PUNO</t>
  </si>
  <si>
    <t>Está programado en el PMI 2026 · Tiene monto en el PMI 2027 (S/ 933,429)</t>
  </si>
  <si>
    <t>2470517</t>
  </si>
  <si>
    <t>0237</t>
  </si>
  <si>
    <t>2470517: MEJORAMIENTO DE LOS SERVICIOS DE SALUD DEL CENTRO DE SALUD COPANI DE LA MICRO RED COPANI, RED DE SALUD YUNGUYO,  DISTRITO DE COPANI - PROVINCIA DE YUNGUYO - DEPARTAMENTO DE PUNO</t>
  </si>
  <si>
    <t>Sin saldo libre; hay S/ 6,993,828 certificados sin comprometer ni programar en el 12-B (requiere rebajar la certificación)</t>
  </si>
  <si>
    <t>2026-09-08</t>
  </si>
  <si>
    <t>2357092</t>
  </si>
  <si>
    <t>0228</t>
  </si>
  <si>
    <t>2357092: MEJORAMIENTO DE LOS SERVICIOS DE SALUD DEL CENTRO DE SALUD COJATA,  DISTRITO DE COJATA - PROVINCIA DE HUANCANE - DEPARTAMENTO DE PUNO</t>
  </si>
  <si>
    <t>Está programado en el PMI 2026 · Tiene monto en el PMI 2027 (S/ 10,256,256)</t>
  </si>
  <si>
    <t>2494039</t>
  </si>
  <si>
    <t>0241</t>
  </si>
  <si>
    <t>2494039: MEJORAMIENTO Y AMPLIACION DE LOS SERVICIOS DE SALUD EN EL ESTABLECIMIENTO DE SALUD UMACHIRI CATEGORÍA I-2 DEL  DISTRITO DE UMACHIRI - PROVINCIA DE MELGAR - DEPARTAMENTO DE PUNO</t>
  </si>
  <si>
    <t>MUNICIPALIDAD DISTRITAL DE UMACHIRI</t>
  </si>
  <si>
    <t>2290342</t>
  </si>
  <si>
    <t>0221</t>
  </si>
  <si>
    <t>2290342: MEJORAMIENTO DE LA CAPACIDAD RESOLUTIVA DE LOS SERVICIOS DEL PUESTO DE SALUD I - 1 DEL CENTRO POBLADO DE CARI CARI DEL DISTRITO DE MAÑAZO - PROVINCIA DE PUNO - DEPARTAMENTO DE PUNO</t>
  </si>
  <si>
    <t>Administración directa / Equipamiento / Contrata / Expediente técnico / Personal/bienes/servicios</t>
  </si>
  <si>
    <t>MUNICIPALIDAD DISTRITAL DE MAÑAZO</t>
  </si>
  <si>
    <t>2451529</t>
  </si>
  <si>
    <t>0235</t>
  </si>
  <si>
    <t>2451529: MEJORAMIENTO DEL SERVICIO DE SALUD EN EL CENTRO DE SALUD PILCUYO DE LA MICRORED PILCUYO, RED DE SALUD EL COLLAO , DEL DISTRITO DE PILCUYO - PROVINCIA DE EL COLLAO - DEPARTAMENTO DE PUNO</t>
  </si>
  <si>
    <t>2411336</t>
  </si>
  <si>
    <t>0035</t>
  </si>
  <si>
    <t>2411336: MEJORAMIENTO SERVICIO INTEGRAL DE LA INSTITUCION EDUCATIVA SECUNDARIA INDUSTRIAL PERU BIRF  DISTRITO DE SAN MIGUEL - PROVINCIA DE SAN ROMAN - DEPARTAMENTO DE PUNO</t>
  </si>
  <si>
    <t>Administración directa / Equipamiento / Contrata / Personal/bienes/servicios / Laudos arbitrales</t>
  </si>
  <si>
    <t>2284935</t>
  </si>
  <si>
    <t>0025</t>
  </si>
  <si>
    <t>2284935: MEJORAMIENTO DEL SERVICIO EDUCATIVO EN LA IES POLITÉCNICO REGIONAL LOS ANDES, DISTRITO DE JULIACA, PROVINCIA DE SAN ROMÁN - PUNO</t>
  </si>
  <si>
    <t>2357330</t>
  </si>
  <si>
    <t>0229</t>
  </si>
  <si>
    <t>2357330: MEJORAMIENTO DE LOS SERVICIOS DE EDUCACIÓN SUPERIOR TECNOLÓGICA DEL IESTP HUANCANÉ DEL  DISTRITO DE HUANCANE - PROVINCIA DE HUANCANE - DEPARTAMENTO DE PUNO</t>
  </si>
  <si>
    <t>2357322</t>
  </si>
  <si>
    <t>0030</t>
  </si>
  <si>
    <t>2357322: MEJORAMIENTO SERVICIO EDUCATIVO EN LA IES. 32 MARIANO H. CORNEJO DE LA LOCALIDAD DE JULIACA - DISTRITO DE JULIACA - PROVINCIA DE SAN ROMAN - REGIÓN PUNO</t>
  </si>
  <si>
    <t>2385673</t>
  </si>
  <si>
    <t>0033</t>
  </si>
  <si>
    <t>2385673: MEJORAMIENTO DEL SERVICIO EDUCATIVO DE LA I.E.S. LAS MERCEDES DE LA CIUDAD DE JULIACA - DISTRITO DE JULIACA - PROVINCIA DE SAN ROMAN - DEPARTAMENTO DE PUNO</t>
  </si>
  <si>
    <t>2585543</t>
  </si>
  <si>
    <t>0161</t>
  </si>
  <si>
    <t>2585543: MEJORAMIENTO Y AMPLIACION DEL SERVICIO DE EDUCACIÓN SUPERIOR TECNOLÓGICA  EN EL INSTITUTO DE EDUCACIÓN SUPERIOR TECNOLÓGICO PUBLICO ACORA DEL   DISTRITO DE ACORA DE LA PROVINCIA DE PUNO DEL DEPARTAMENTO DE PUNO</t>
  </si>
  <si>
    <t>Está programado en el PMI 2026 · Tiene monto en el PMI 2027 (S/ 3,456,765)</t>
  </si>
  <si>
    <t>2535611</t>
  </si>
  <si>
    <t>0247</t>
  </si>
  <si>
    <t>2535611: MEJORAMIENTO Y AMPLIACION DEL SERVICIO DE EDUCACION SUPERIOR TECNOLOGICO PUBLICO EN EL INSTITUTO  "ANDRES AVELINO CACERES"  DISTRITO DE PUTINA - PROVINCIA DE SAN ANTONIO DE PUTINA - DEPARTAMENTO DE PUNO</t>
  </si>
  <si>
    <t>2538950</t>
  </si>
  <si>
    <t>0039</t>
  </si>
  <si>
    <t>2538950: MEJORAMIENTO DEL SERVICIO EDUCATIVO DEL NIVEL PRIMARIO DE LA I.E. 71008 EN EL DISTRITO DE LAMPA - PROVINCIA DE LAMPA - DEPARTAMENTO DE PUNO</t>
  </si>
  <si>
    <t>MUNICIPALIDAD PROVINCIAL DE LAMPA</t>
  </si>
  <si>
    <t>2289661</t>
  </si>
  <si>
    <t>0026</t>
  </si>
  <si>
    <t>2289661: MEJORAMIENTO DE LOS SERVICIOS EDUCATIVOS EN LA I.E.S. DOS DE MAYO DE CARACOTO, DISTRITO DE CARACOTO - SAN ROMAN - PUNO</t>
  </si>
  <si>
    <t>MUNICIPALIDAD DISTRITAL DE CARACOTO</t>
  </si>
  <si>
    <t>2590087</t>
  </si>
  <si>
    <t>0041</t>
  </si>
  <si>
    <t>2590087: MEJORAMIENTO DEL SERVICIO DE EDUCACION SECUNDARIA EN I.E. JOSE MARIA ARGUEDAS DISTRITO DE LLALLI DE LA PROVINCIA DE MELGAR DEL DEPARTAMENTO DE PUNO</t>
  </si>
  <si>
    <t>MUNICIPALIDAD DISTRITAL DE LLALLI</t>
  </si>
  <si>
    <t>2417765</t>
  </si>
  <si>
    <t>0036</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</si>
  <si>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</si>
  <si>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2026-10-05</t>
  </si>
  <si>
    <t>MUNICIPALIDAD DISTRITAL DE ITUATA</t>
  </si>
  <si>
    <t>0311</t>
  </si>
  <si>
    <t>2606991</t>
  </si>
  <si>
    <t>0306</t>
  </si>
  <si>
    <t>2606991: MEJORAMIENTO DEL SERVICIO DE EDUCACION INICIAL EN I.E. 69 DISTRITO DE ANTAUTA DE LA PROVINCIA DE MELGAR DEL DEPARTAMENTO DE PUNO</t>
  </si>
  <si>
    <t>MUNICIPALIDAD DISTRITAL DE ANTAUTA</t>
  </si>
  <si>
    <t>2649852</t>
  </si>
  <si>
    <t>0181</t>
  </si>
  <si>
    <t>2649852: MEJORAMIENTO DEL SERVICIO DE EDUCACIÓN INICIAL EN I.E. 325   DISTRITO DE PUNO DE LA PROVINCIA DE PUNO DEL DEPARTAMENTO DE PUNO</t>
  </si>
  <si>
    <t>2649858</t>
  </si>
  <si>
    <t>0187</t>
  </si>
  <si>
    <t>2649858: MEJORAMIENTO DEL SERVICIO DE EDUCACIÓN INICIAL EN I.E. EDUARDITOS   DISTRITO DE PICHACANI DE LA PROVINCIA DE PUNO DEL DEPARTAMENTO DE PUNO</t>
  </si>
  <si>
    <t>2411335</t>
  </si>
  <si>
    <t>0307</t>
  </si>
  <si>
    <t>2411335: MEJORAMIENTO DEL SERVICIO EDUCATIVO EN LA I.E.S. SAN SALVADOR , - DISTRITO DE PUNO - PROVINCIA DE PUNO - DEPARTAMENTO DE PUNO</t>
  </si>
  <si>
    <t>2651383</t>
  </si>
  <si>
    <t>0333</t>
  </si>
  <si>
    <t>2651383: MEJORAMIENTO DEL SERVICIO DE EDUCACIÓN INICIAL EN I.E. 941   DISTRITO DE CABANILLAS DE LA PROVINCIA DE SAN ROMAN DEL DEPARTAMENTO DE PUNO</t>
  </si>
  <si>
    <t>Está programado en el PMI 2026 · Tiene monto en el PMI 2027 (S/ 919,620)</t>
  </si>
  <si>
    <t>2250396</t>
  </si>
  <si>
    <t>0173</t>
  </si>
  <si>
    <t>2250396: INSTALACION DEL SERVICIO EDUCATIVO DEL NIVEL INICIAL ESCOLARIZADO CICLO II EN LA I.E.I N 707 DEL CENTRO POBLADO DE JACHOCCO HUARACO, DISTRITO ILAVE, PROVINCIA DE EL COLLAO - DEPARTAMENTO PUNO.</t>
  </si>
  <si>
    <t>2649805</t>
  </si>
  <si>
    <t>0180</t>
  </si>
  <si>
    <t>2649805: MEJORAMIENTO DEL SERVICIO DE EDUCACIÓN INICIAL EN I.E. 881   DISTRITO DE CABANILLA DE LA PROVINCIA DE LAMPA DEL DEPARTAMENTO DE PUNO</t>
  </si>
  <si>
    <t>2627406</t>
  </si>
  <si>
    <t>0083</t>
  </si>
  <si>
    <t>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</si>
  <si>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2456529</t>
  </si>
  <si>
    <t>0110</t>
  </si>
  <si>
    <t>2456529: MEJORAMIENTO DE LA CARRETERA PU 147, EMP. PE-34I JIPATA - EMP. PE-34I MOHO,  DISTRITO DE MOHO - PROVINCIA DE MOHO - DEPARTAMENTO DE PUNO</t>
  </si>
  <si>
    <t>2026-09-16</t>
  </si>
  <si>
    <t>2343199</t>
  </si>
  <si>
    <t>0103</t>
  </si>
  <si>
    <t>2343199: MEJORAMIENTO DE LA CARRETERA (EMP 34B) AZANGARO - (EMP PU-102) JILA PURINA DE LOS DISTRITO DE AZÁNGARO - DISTRITO DE TIRAPATA - PROVINCIA DE AZANGARO - REGIÓN PUNO</t>
  </si>
  <si>
    <t>Avance financiero acumulado 93% (&gt; 90%)</t>
  </si>
  <si>
    <t>2399543</t>
  </si>
  <si>
    <t>0106</t>
  </si>
  <si>
    <t>2399543: MEJORAMIENTO DEL CAMINO VECINAL EMP. R01 (DV. LOANI) - CAMICACHI - EMP. R12 (ROSACANI) DISTRITO DE ILAVE - PROVINCIA DE EL COLLAO - REGION PUNO</t>
  </si>
  <si>
    <t>MUNICIPALIDAD PROVINCIAL DE EL COLLAO</t>
  </si>
  <si>
    <t>2591951</t>
  </si>
  <si>
    <t>0119</t>
  </si>
  <si>
    <t>2591951: MEJORAMIENTO DEL SERVICIO DE TRANSITABILIDAD VIAL INTERURBANA EN EL CAMINO VECINAL DEL KM0+000 (DESVIO PUENTE OCRA CHUPA) AL KM 6+373 (C.P. PEDRO VILCAPAZA DE MORORCCO), DISTRITO DE MUÑANI DE LA PROVINCIA DE AZANGARO DEL DEPARTAMENTO DE PUNO</t>
  </si>
  <si>
    <t>MUNICIPALIDAD DISTRITAL DE MUÑANI</t>
  </si>
  <si>
    <t>2602163</t>
  </si>
  <si>
    <t>0121</t>
  </si>
  <si>
    <t>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</si>
  <si>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2511009</t>
  </si>
  <si>
    <t>0463</t>
  </si>
  <si>
    <t>2511009: MEJORAMIENTO DEL SERVICIO VIAL URBANO DE LA AVENIDA INDUSTRIAL DEL CENTRO POBLADO DE SALCEDO, DISTRITO DE PUNO - PROVINCIA DE PUNO - DEPARTAMENTO DE PUNO</t>
  </si>
  <si>
    <t>MUNICIPALIDAD PROVINCIAL DE PUNO</t>
  </si>
  <si>
    <t>2634040</t>
  </si>
  <si>
    <t>0128</t>
  </si>
  <si>
    <t>2634040: MEJORAMIENTO DEL SERVICIO DE TRANSITABILIDAD VIAL INTERURBANA EN EL CAMINO VECINAL, TRAMO DESVIO PUCARA - POBLACION SALINAS - ASILLO SALINAS (KM 0+000 - 1+900) DEL DISTRITO DE SAN JUAN DE SALINAS DE LA PROVINCIA DE AZANGARO DEL DEPARTAMENTO DE PUNO</t>
  </si>
  <si>
    <t>MUNICIPALIDAD DISTRITAL DE SAN JUAN DE SALINAS</t>
  </si>
  <si>
    <t>2387422</t>
  </si>
  <si>
    <t>0105</t>
  </si>
  <si>
    <t>2387422: MEJORAMIENTO DE LA CARRETERA TRAMO II (PUENTE CULLCO) - PICHINCUTA - QUELCAHUECO - CORARACA DEL - DISTRITO DE ILAVE - PROVINCIA DE EL COLLAO - DEPARTAMENTO DE PUNO</t>
  </si>
  <si>
    <t>2527184</t>
  </si>
  <si>
    <t>0114</t>
  </si>
  <si>
    <t>2527184: MEJORAMIENTO DEL SERVICIO DE TRANSITABILIDAD VIAL DEL CAMINO VECINAL TRAMO VILLA PAXA A VENTILLA (PU- 1065) DEL DISTRITO DE PUNO - PROVINCIA DE PUNO - DEPARTAMENTO DE PUNO</t>
  </si>
  <si>
    <t>2519621</t>
  </si>
  <si>
    <t>0167</t>
  </si>
  <si>
    <t>2519621: CREACION DEL SERVICIO DE TRANSITABILIDAD VEHICULAR Y PEATONAL EN EL JR. 7 DE JUNIO Y JR. BOLOGNESI CUADRA 10 DE LA LOCALIDAD DE YUNGUYO DEL DISTRITO DE YUNGUYO - PROVINCIA DE YUNGUYO - DEPARTAMENTO DE PUNO</t>
  </si>
  <si>
    <t>MUNICIPALIDAD PROVINCIAL DE YUNGUYO</t>
  </si>
  <si>
    <t>2645446</t>
  </si>
  <si>
    <t>0069</t>
  </si>
  <si>
    <t>2645446: REPARACION DE TRIBUNA Y/O PALCO Y PISTA DE ATLETISMO (DEPORTE RECREATIVO); CONSTRUCCION DE CAMPO DEPORTIVO; EN EL(LA) ESTADIO DE LA GRAN UNIDAD SAN CARLOS  DISTRITO DE PUNO, PROVINCIA PUNO, DEPARTAMENTO PUNO</t>
  </si>
  <si>
    <t>Está programado en el PMI 2026 · Tiene monto en el PMI 2027 (S/ 245,874)</t>
  </si>
  <si>
    <t>Contrata / Expediente técnico</t>
  </si>
  <si>
    <t>2646109</t>
  </si>
  <si>
    <t>0073</t>
  </si>
  <si>
    <t>2646109: REPARACION DE TRIBUNA Y/O PALCO; CONSTRUCCION DE CAMPO DEPORTIVO Y TRIBUNA Y/O PALCO; EN EL(LA) ESTADIO MUNICIPAL DE JULI  DISTRITO DE JULI, PROVINCIA CHUCUITO, DEPARTAMENTO PUNO</t>
  </si>
  <si>
    <t>Sin saldo libre; hay S/ 4,438,806 certificados sin comprometer ni programar en el 12-B (requiere rebajar la certificación)</t>
  </si>
  <si>
    <t>2630072</t>
  </si>
  <si>
    <t>0504</t>
  </si>
  <si>
    <t>2630072: CREACION DEL SERVICIO DE PRACTICA DEPORTIVA Y/O RECREATIVA EN COLISEO CERRADO DE AYAPATA DISTRITO DE AYAPATA DE LA PROVINCIA DE CARABAYA DEL DEPARTAMENTO DE PUNO</t>
  </si>
  <si>
    <t>MUNICIPALIDAD DISTRITAL DE AYAPATA</t>
  </si>
  <si>
    <t>EJECUCIÓN POR ADMINISTRACIÓN INDIRECTA (CONTRATA)</t>
  </si>
  <si>
    <t>2393398</t>
  </si>
  <si>
    <t>0034</t>
  </si>
  <si>
    <t>2393398: MEJORAMIENTO DEL SERVICIO EDUCATIVO DE NIVEL SECUNDARIO EN LA I.E. A - 28 PERÚ BIRF CENTRO POBLADO DE AZANGARO - DISTRITO DE AZANGARO - PROVINCIA DE AZANGARO - REGIÓN PUNO</t>
  </si>
  <si>
    <t>Contrata / Personal/bienes/servicios / Equipamiento</t>
  </si>
  <si>
    <t>2500458</t>
  </si>
  <si>
    <t>0460</t>
  </si>
  <si>
    <t>2500458: MEJORAMIENTO DEL SERVICIO EDUCATIVO EN LA IEP N° 70477 SAGRADO CORAZON DE JESUS DEL DISTRITO DE AYAVIRI - PROVINCIA DE MELGAR - DEPARTAMENTO DE PUNO</t>
  </si>
  <si>
    <t>2453224</t>
  </si>
  <si>
    <t>0455</t>
  </si>
  <si>
    <t>2453224: MEJORAMIENTO DE LOS SERVICIOS DE EDUCACION SECUNDARIA DE LA INSTITUCION EDUCATIVA LIBERTADOR JOSE DE SAN MARTIN DE HUARISANI DEL DISTRITO DE HUANCANE - PROVINCIA DE HUANCANE - DEPARTAMENTO DE PUNO</t>
  </si>
  <si>
    <t>MUNICIPALIDAD PROVINCIAL DE HUANCANE</t>
  </si>
  <si>
    <t>2250382</t>
  </si>
  <si>
    <t>0172</t>
  </si>
  <si>
    <t>2250382: INSTALACION DE LOS SERVICIOS DE EDUCACION INICIAL  EN LA I.E.I.  CHIA, DEL  C.P. DE  CHIA, DEL DISTRITO DE OLLACHEA - PROVINCIA CARABAYA - REGION PUNO</t>
  </si>
  <si>
    <t>2344253</t>
  </si>
  <si>
    <t>0028</t>
  </si>
  <si>
    <t>2344253: MEJORAMIENTO DEL SERVICIO EDUCATIVO EN LA I.E.S.  JOSÉ ANTONIO ENCINAS FRANCO, CENTRO POBLADO DE LECHEMAYO DEL DISTRITO DE SAN GABAN - PROVINCIA DE CARABAYA - DEPARTAMENTO DE PUNO</t>
  </si>
  <si>
    <t>2385051</t>
  </si>
  <si>
    <t>0032</t>
  </si>
  <si>
    <t>2385051: MEJORAMIENTO DEL SERVICIO EDUCATIVO EN LA I.E.S.  SAN JUAN BOSCO DE SALCEDO CON JORNADA ESCOLAR COMPLETA DISTRITO DE PUNO - PROVINCIA DE PUNO - REGIÓN PUNO</t>
  </si>
  <si>
    <t>2566572</t>
  </si>
  <si>
    <t>0156</t>
  </si>
  <si>
    <t>2566572: MEJORAMIENTO Y AMPLIACION DE LOS SERVICIOS DE EDUCACIÓN SUPERIOR DEL INSTITUTO SUPERIOR TECNOLÓGICO PUBLICO DE NUÑOA DEL  DISTRITO DE NUÑOA - PROVINCIA DE MELGAR - DEPARTAMENTO DE PUNO</t>
  </si>
  <si>
    <t>Sin saldo libre; hay S/ 1,335,804 certificados sin comprometer ni programar en el 12-B (requiere rebajar la certificación)</t>
  </si>
  <si>
    <t>2501244</t>
  </si>
  <si>
    <t>0506</t>
  </si>
  <si>
    <t>2501244: MEJORAMIENTO DEL SERVICIO EDUCATIVO DEL NIVEL SECUNDARIA DE LA I.E. AGROPECUARIO PAMPA YANAMAYO DEL DISTRITO DE ALTO INAMBARI - PROVINCIA DE SANDIA - DEPARTAMENTO DE PUNO</t>
  </si>
  <si>
    <t>Sin saldo libre; hay S/ 970,838 certificados sin comprometer ni programar en el 12-B (requiere rebajar la certificación)</t>
  </si>
  <si>
    <t>2194501</t>
  </si>
  <si>
    <t>0023</t>
  </si>
  <si>
    <t>2194501: INSTALACION DEL SERVICIO EDUCATIVO DE LA INSTITUCION EDUCATIVA SECUNDARIA SANTA MONICA EN EL DISTRITO DE JULIACA, PROVINCIA DE SAN ROMAN - PUNO.</t>
  </si>
  <si>
    <t>2251136</t>
  </si>
  <si>
    <t>0219</t>
  </si>
  <si>
    <t>2251136: MEJORAMIENTO DE LA CAPACIDAD RESOLUTIVA DEL HOSPITAL LUCIO ALDAZABAL PAUCA DE REDES HUANCANE, PROVINCIA DE HUANCANE - REGION PUNO</t>
  </si>
  <si>
    <t>2490087</t>
  </si>
  <si>
    <t>0240</t>
  </si>
  <si>
    <t>2490087: MEJORAMIENTO Y AMPLIACION DE LOS SERVICIOS DE SALUD DEL ESTABLECIMIENTO DE SALUD NIVEL I- 4 DE LA LOCALIDAD DE TARACO,  DISTRITO DE TARACO - PROVINCIA DE HUANCANE - DEPARTAMENTO DE PUNO</t>
  </si>
  <si>
    <t>2357089</t>
  </si>
  <si>
    <t>0226</t>
  </si>
  <si>
    <t>2357089: MEJORAMIENTO DE LOS SERVICIOS DEL CENTRO DE SALUD ESTRATÉGICO SIMÓN BOLÍVAR CATEGORÍA I-4 RED DE SALUD PUNO, DISTRITO PUNO -  PROVINCIA DE PUNO - REGIÓN PUNO¿  DISTRITO DE PUNO - PROVINCIA DE PUNO - DEPARTAMENTO DE PUNO</t>
  </si>
  <si>
    <t>2435272</t>
  </si>
  <si>
    <t>0234</t>
  </si>
  <si>
    <t>2435272: MEJORAMIENTO Y AMPLIACION DE LOS SERVICIOS DE SALUD DEL CENTRO DE SALUD LA REVOLUCIÓN (NIVEL I-4)  DISTRITO DE SAN MIGUEL - PROVINCIA DE SAN ROMAN - DEPARTAMENTO DE PUNO</t>
  </si>
  <si>
    <t>2278822</t>
  </si>
  <si>
    <t>0434</t>
  </si>
  <si>
    <t>2278822: MEJORAMIENTO DE LOS SERVICIOS DE SALUD DEL HOSPITAL RAFAEL ORTIZ RAVINES DE JULI, PROVINCIA DE CHUCUITO - REGION PUNO</t>
  </si>
  <si>
    <t>2427364</t>
  </si>
  <si>
    <t>0233</t>
  </si>
  <si>
    <t>2427364: MEJORAMIENTO DE LOS SERVICIOS DE SALUD DEL HOSPITAL ANTONIO BARRIONUEVO DISTRITO DE LAMPA - PROVINCIA DE LAMPA - DEPARTAMENTO DE PUNO</t>
  </si>
  <si>
    <t>Figura en un PMI (MINISTERIO DE SALUD) sin monto 2026 en la Cartera del GR: validar con la OPMI</t>
  </si>
  <si>
    <t>Contrata / Expediente técnico / Laudos arbitrales</t>
  </si>
  <si>
    <t>MINISTERIO DE SALUD</t>
  </si>
  <si>
    <t>2227389</t>
  </si>
  <si>
    <t>0002</t>
  </si>
  <si>
    <t>2227389: AMPLIACION Y MEJORAMIENTO DE LA CAPACIDAD RESOLUTIVA DEL HOSPITAL DE APOYO SAN MARTIN DE PORRES DE MACUSANI, PROVINCIA DE CARABAYA - PUNO</t>
  </si>
  <si>
    <t>Contrata / Laudos arbitrales</t>
  </si>
  <si>
    <t>GRI - CIPRL</t>
  </si>
  <si>
    <t>2657043</t>
  </si>
  <si>
    <t>0282</t>
  </si>
  <si>
    <t>2657043: MEJORAMIENTO Y AMPLIACION DEL SERVICIO DE ATENCIÓN DE SALUD BÁSICOS EN MOHO   DISTRITO DE MOHO DE LA PROVINCIA DE MOHO DEL DEPARTAMENTO DE PUNO</t>
  </si>
  <si>
    <t>Expediente técnico / Contrata</t>
  </si>
  <si>
    <t>2450812</t>
  </si>
  <si>
    <t>0197</t>
  </si>
  <si>
    <t>2450812: MEJORAMIENTO DE LOS SERVICIOS DE SALUD DEL CENTRO DE SALUD ZEPITA, MICRO RED ZEPITA, RED DE SALUD CHUCUITO, DEL  DISTRITO DE ZEPITA - PROVINCIA DE CHUCUITO - DEPARTAMENTO DE PUNO</t>
  </si>
  <si>
    <t>2308220</t>
  </si>
  <si>
    <t>0222</t>
  </si>
  <si>
    <t>2308220: MEJORAMIENTO DE LA CAPACIDAD RESOLUTIVA DEL PUESTO DE SALUD DE AYMAÑA DEL CENTRO POBLADO DE AYMAÑA DEL DISTRITO DE CORANI - PROVINCIA DE CARABAYA - DEPARTAMENTO DE PUNO</t>
  </si>
  <si>
    <t>Está programado en el PMI 2026 · Tiene monto en el PMI 2027 (S/ 5,128,392)</t>
  </si>
  <si>
    <t>MUNICIPALIDAD DISTRITAL DE CORANI</t>
  </si>
  <si>
    <t>2447465</t>
  </si>
  <si>
    <t>0109</t>
  </si>
  <si>
    <t>2447465: MEJORAMIENTO DE LA INFRAESTRUCTURA VIAL EN LA AV. SACSAYHUAMAN TRAMO (JR. MIRAFLORES ¿ AV. AVIACIÓN), JR. AMANECER TRAMO (AV. INDEPENDENCIA ¿ JR. MIRAFLORES) DE LA CIUDAD DE JULIACA,  DISTRITO DE JULIACA - PROVINCIA DE SAN ROMAN - DEPARTAMENTO DE PUNO</t>
  </si>
  <si>
    <t>2292669</t>
  </si>
  <si>
    <t>0064</t>
  </si>
  <si>
    <t>2292669: MEJORAMIENTO Y AMPLIACION DEL SERVICIO DEPORTIVO DEL ESTADIO MUNICIPAL DE LA LOCALIDAD DE AYAVIRI DEL DISTRITO DE AYAVIRI - PROVINCIA DE MELGAR - DEPARTAMENTO DE PUNO</t>
  </si>
  <si>
    <t>2645376</t>
  </si>
  <si>
    <t>0066</t>
  </si>
  <si>
    <t>2645376: REPARACION DE TRIBUNA Y/O PALCO Y CAMPO DEPORTIVO; CONSTRUCCION DE TRIBUNA Y/O PALCO Y PISTA DE ATLETISMO (DEPORTE RECREATIVO); ADEMÁS DE OTROS ACTIVOS EN EL(LA) ESTADIO MUNICIPAL DE PUTINA  DISTRITO DE PUTINA, PROVINCIA SAN ANTONIO DE PUTINA, DEPARTAMENTO PUNO</t>
  </si>
  <si>
    <t>18. SANEAMIENTO</t>
  </si>
  <si>
    <t>2492442</t>
  </si>
  <si>
    <t>0470</t>
  </si>
  <si>
    <t>2492442: MEJORAMIENTO Y AMPLIACION DE LOS SERVICIOS DE AGUA POTABLE Y ALCANTARILLADO SANITARIO EN LA LOCALIDAD DE CARACOTO DEL DISTRITO DE CARACOTO - PROVINCIA DE SAN ROMAN - DEPARTAMENTO DE PUNO</t>
  </si>
  <si>
    <t>Contrata / Administración directa</t>
  </si>
  <si>
    <t>SUB GERENCIA DE ESTUDIOS DEFINITIVOS</t>
  </si>
  <si>
    <t>2699927</t>
  </si>
  <si>
    <t>0341</t>
  </si>
  <si>
    <t>2699927: CONSTRUCCION DE INSTALACIONES EXTERIORES DE SERVICIOS BASICOS Y CASA DE FUERZA; EN EL(LA) HOSPITAL SANDIA EN EL CENTRO POBLADO SANDIA, DISTRITO DE SANDIA, PROVINCIA SANDIA, DEPARTAMENTO PUNO</t>
  </si>
  <si>
    <t>2681074</t>
  </si>
  <si>
    <t>0528</t>
  </si>
  <si>
    <t>2681074: MEJORAMIENTO DEL SERVICIO DE ATENCIÓN DE SALUD BÁSICOS EN ALTO PAVITA   DISTRITO DE ZEPITA DE LA PROVINCIA DE CHUCUITO DEL DEPARTAMENTO DE PUNO</t>
  </si>
  <si>
    <t>2662467</t>
  </si>
  <si>
    <t>0165</t>
  </si>
  <si>
    <t>2662467: MEJORAMIENTO DEL SERVICIO DE EDUCACIÓN SUPERIOR TECNOLÓGICA  EN EL INSTITUTO SUPERIOR TECNOLÓGICO PUBLICA CHUPA DEL   DISTRITO DE CHUPA DE LA PROVINCIA DE AZANGARO DEL DEPARTAMENTO DE PUNO</t>
  </si>
  <si>
    <t>2650268</t>
  </si>
  <si>
    <t>0188</t>
  </si>
  <si>
    <t>2650268: MEJORAMIENTO DEL SERVICIO DE EDUCACIÓN INICIAL EN I.E. 1243   DISTRITO DE MAÑAZO DE LA PROVINCIA DE PUNO DEL DEPARTAMENTO DE PUNO</t>
  </si>
  <si>
    <t>2652473</t>
  </si>
  <si>
    <t>0191</t>
  </si>
  <si>
    <t>2652473: MEJORAMIENTO DEL SERVICIO DE EDUCACIÓN INICIAL EN I.E. 944   DISTRITO DE JULIACA DE LA PROVINCIA DE SAN ROMAN DEL DEPARTAMENTO DE PUNO</t>
  </si>
  <si>
    <t>2681042</t>
  </si>
  <si>
    <t>0316</t>
  </si>
  <si>
    <t>2681042: MEJORAMIENTO DEL SERVICIO DE EDUCACIÓN SUPERIOR TECNOLÓGICA  EN EL INSTITUTO SUPERIOR TECNOLÓGICO PÚBLICA MAÑAZO DEL   DISTRITO DE MAÑAZO DE LA PROVINCIA DE PUNO DEL DEPARTAMENTO DE PUNO</t>
  </si>
  <si>
    <t>2659573</t>
  </si>
  <si>
    <t>0317</t>
  </si>
  <si>
    <t>2659573: MEJORAMIENTO DEL SERVICIO DE EDUCACION PRIMARIA EN I.E. 73003 DISTRITO DE HUANCANE DE LA PROVINCIA DE HUANCANE DEL DEPARTAMENTO DE PUNO</t>
  </si>
  <si>
    <t>El 12-B programa S/ 184,654 de un PIM de S/ 81,646: la UEI debe actualizarlo (el proyecto no está en ningún PMI)</t>
  </si>
  <si>
    <t>2663002</t>
  </si>
  <si>
    <t>0318</t>
  </si>
  <si>
    <t>2663002: MEJORAMIENTO DEL SERVICIO DE EDUCACION SECUNDARIA EN I.E. HUAPACA SAN MIGUEL DE CENTRO POBLADO HUAPACA SAN MIGUEL DISTRITO DE POMATA DE LA PROVINCIA DE CHUCUITO DEL DEPARTAMENTO DE PUNO</t>
  </si>
  <si>
    <t>El 12-B programa S/ 292,573 de un PIM de S/ 292,573: la UEI debe actualizarlo (el proyecto no está en ningún PMI)</t>
  </si>
  <si>
    <t>2681028</t>
  </si>
  <si>
    <t>0319</t>
  </si>
  <si>
    <t>2681028: MEJORAMIENTO DEL SERVICIO DE EDUCACIÓN SECUNDARIA EN I.E. JOSE CARLOS MARIATEGUI   DISTRITO DE ILAVE DE LA PROVINCIA DE EL COLLAO DEL DEPARTAMENTO DE PUNO</t>
  </si>
  <si>
    <t>2690009</t>
  </si>
  <si>
    <t>0320</t>
  </si>
  <si>
    <t>2690009: CONSTRUCCION DE LOSA DEPORTIVA; ADQUISICION DE EQUIPAMIENTO DE AULA DE INNOVACION PEDAGOGICA Y MOBILIARIO DE AULA DE INNOVACION PEDAGOGICA; EN EL(LA) I.E. 70064 SAN MARTIN DE PORRES  DISTRITO DE PUNO, PROVINCIA PUNO, DEPARTAMENTO PUNO</t>
  </si>
  <si>
    <t>2624292</t>
  </si>
  <si>
    <t>0323</t>
  </si>
  <si>
    <t>2624292: MEJORAMIENTO DE LOS SERVICIOS EDUCACION SUPERIOR PEDAGOGICA EN EL INSTITUTO DE EDUCACION SUPERIOR PEDAGOGICO PUBLICO DE AYAVIRI DEL DISTRITO DE AYAVIRI DE LA PROVINCIA DE MELGAR DEL DEPARTAMENTO DE PUNO</t>
  </si>
  <si>
    <t>El 12-B programa S/ 58,627 de un PIM de S/ 58,627: la UEI debe actualizarlo (el proyecto no está en ningún PMI)</t>
  </si>
  <si>
    <t>2492963</t>
  </si>
  <si>
    <t>0331</t>
  </si>
  <si>
    <t>2492963: MEJORAMIENTO DE LOS SERVICIO EDUCATIVOS EN LA INSTITUCION EDUCATIVA INICIAL N° 68 DE LA LOCALIDAD DE AYAVIRI DEL DISTRITO DE AYAVIRI - PROVINCIA DE MELGAR - DEPARTAMENTO DE PUNO</t>
  </si>
  <si>
    <t>2650271</t>
  </si>
  <si>
    <t>0332</t>
  </si>
  <si>
    <t>2650271: MEJORAMIENTO DEL SERVICIO DE EDUCACIÓN INICIAL EN I.E. 335   DISTRITO DE MOHO DE LA PROVINCIA DE MOHO DEL DEPARTAMENTO DE PUNO</t>
  </si>
  <si>
    <t>2651636</t>
  </si>
  <si>
    <t>0334</t>
  </si>
  <si>
    <t>2651636: MEJORAMIENTO DEL SERVICIO DE EDUCACIÓN INICIAL EN I.E. ARICATO   DISTRITO DE PHARA DE LA PROVINCIA DE SANDIA DEL DEPARTAMENTO DE PUNO</t>
  </si>
  <si>
    <t>2670402</t>
  </si>
  <si>
    <t>0459</t>
  </si>
  <si>
    <t>2670402: MEJORAMIENTO DEL SERVICIO DE EDUCACIÓN SECUNDARIA EN I.E. SAN AGUSTIN   DISTRITO DE COATA DE LA PROVINCIA DE PUNO DEL DEPARTAMENTO DE PUNO</t>
  </si>
  <si>
    <t>2681029</t>
  </si>
  <si>
    <t>0492</t>
  </si>
  <si>
    <t>2681029: MEJORAMIENTO DEL SERVICIO DE EDUCACIÓN SECUNDARIA EN I.E. CESAR VALLEJO   DISTRITO DE HUANCANE DE LA PROVINCIA DE HUANCANE DEL DEPARTAMENTO DE PUNO</t>
  </si>
  <si>
    <t>2681019</t>
  </si>
  <si>
    <t>0495</t>
  </si>
  <si>
    <t>2681019: MEJORAMIENTO DEL SERVICIO DE EDUCACIÓN SECUNDARIA EN I.E. JOSE OLAYA BALANDRA   DISTRITO DE JULIACA DE LA PROVINCIA DE SAN ROMAN DEL DEPARTAMENTO DE PUNO</t>
  </si>
  <si>
    <t>2681037</t>
  </si>
  <si>
    <t>0496</t>
  </si>
  <si>
    <t>2681037: MEJORAMIENTO DEL SERVICIO DE EDUCACIÓN SECUNDARIA EN I.E. CENTENARIO PATAMBUCO   DISTRITO DE PATAMBUCO DE LA PROVINCIA DE SANDIA DEL DEPARTAMENTO DE PUNO</t>
  </si>
  <si>
    <t>2681054</t>
  </si>
  <si>
    <t>0501</t>
  </si>
  <si>
    <t>2681054: MEJORAMIENTO DEL SERVICIO DE EDUCACION PRIMARIA EN I.E. 70291   DISTRITO DE HUACULLANI DE LA PROVINCIA DE CHUCUITO DEL DEPARTAMENTO DE PUNO</t>
  </si>
  <si>
    <t>2700348</t>
  </si>
  <si>
    <t>0502</t>
  </si>
  <si>
    <t>2700348: MEJORAMIENTO DEL SERVICIO DE EDUCACION PRIMARIA EN I.E. 70288   DISTRITO DE DESAGUADERO DE LA PROVINCIA DE CHUCUITO DEL DEPARTAMENTO DE PUNO</t>
  </si>
  <si>
    <t>2650804</t>
  </si>
  <si>
    <t>0517</t>
  </si>
  <si>
    <t>2650804: MEJORAMIENTO DEL SERVICIO DE EDUCACION PRIMARIA EN I.E. 73010 DISTRITO DE SAN PEDRO DE PUTINA PUNCO DE LA PROVINCIA DE SANDIA DEL DEPARTAMENTO DE PUNO</t>
  </si>
  <si>
    <t>2026-07-31</t>
  </si>
  <si>
    <t>MUNICIPALIDAD DISTRITAL DE SAN PEDRO DE PUTINA PUNCO</t>
  </si>
  <si>
    <t>2681015</t>
  </si>
  <si>
    <t>0518</t>
  </si>
  <si>
    <t>2681015: CREACION DEL SERVICIO DE EDUCACIÓN SUPERIOR TECNOLÓGICA  EN INSTITUTO SUPERIOR TECNOLOGICO "MARIANO CHANCATUMA" EN LA LOCALIDAD DE ASILLO   DISTRITO DE ASILLO DE LA PROVINCIA DE AZANGARO DEL DEPARTAMENTO DE PUNO</t>
  </si>
  <si>
    <t>2539948</t>
  </si>
  <si>
    <t>0304</t>
  </si>
  <si>
    <t>2539948: MEJORAMIENTO DEL SERVICIO DE TRANSITABILIDAD VIAL INTERURBANA EN EL CAMINO VECINAL R2106057 - TRAMO DESVIO CHUQUIAGUILLO, CUYURAYA, CHICASCO, ISAÑCUYO, SINTICUYO Y HUANCARANI DEL DISTRITO DE VILQUE CHICO DE LA PROVINCIA DE HUANCANE DEL DEPARTAMENT</t>
  </si>
  <si>
    <t>2710291</t>
  </si>
  <si>
    <t>0308</t>
  </si>
  <si>
    <t>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</si>
  <si>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0534</t>
  </si>
  <si>
    <t>Meta nueva respecto al maestro; se usó la ubicación del CUI</t>
  </si>
  <si>
    <t>2682870</t>
  </si>
  <si>
    <t>0309</t>
  </si>
  <si>
    <t>2682870: MEJORAMIENTO DEL SERVICIO DE TRANSITABILIDAD VIAL INTERURBANA EN LA CARRETERA EMP. PE 34L (PUENTE ANTAJARANI) ¿ C.P. MACHACAMARCA YAPUTIRA , ¿ C.P. HALLA ¿ ALTOGRANDE ¿ EMP. PU-148 (C.C. UMABAMBA)   DISTRITOS DE VILQUE CHICO, COJATA DE LA PROVINCIA DE HUANCANE DEL DEPARTAMENTO DE PUNO</t>
  </si>
  <si>
    <t>2681092</t>
  </si>
  <si>
    <t>0310</t>
  </si>
  <si>
    <t>2681092: MEJORAMIENTO DEL SERVICIO DE TRANSITABILIDAD VIAL INTERURBANA EN LA CARRETERA EMP. PU 115: VIZCACHANI , ¿ TOQUEPANI ¿ LLOCOLLOCO ¿ EMP. PU 115: INCHUPALLA   DISTRITOS DE HUATASANI, INCHUPALLA DE LA PROVINCIA DE HUANCANE DEL DEPARTAMENTO DE PUNO</t>
  </si>
  <si>
    <t>2575299</t>
  </si>
  <si>
    <t>0325</t>
  </si>
  <si>
    <t>2575299: MEJORAMIENTO DEL SERVICIO DE TRANSITABILIDAD VIAL INTERURBANA EN EL TRAMO TIQUILLACA - CONDORIRI DEL DISTRITO DE TIQUILLACA DE LA PROVINCIA DE PUNO DEL DEPARTAMENTO DE PUNO</t>
  </si>
  <si>
    <t>El 12-B programa S/ 18,371 de un PIM de S/ 18,371: la UEI debe actualizarlo (el proyecto no está en ningún PMI)</t>
  </si>
  <si>
    <t>MUNICIPALIDAD DISTRITAL DE TIQUILLACA</t>
  </si>
  <si>
    <t>2642160</t>
  </si>
  <si>
    <t>0326</t>
  </si>
  <si>
    <t>2642160: MEJORAMIENTO DEL SERVICIO DE TRANSITABILIDAD VIAL INTERURBANA EN EN LA VIA VECINAL PU-713, L. PROV. LAMPA - QUISHUARANI - SALLAPATA - HUERTA -EMP. PU-124 (VILAVILA), DISTRITO DE VILAVILA DE LA PROVINCIA DE LAMPA DEL DEPARTAMENTO DE PUNO</t>
  </si>
  <si>
    <t>MUNICIPALIDAD DISTRITAL DE VILAVILA</t>
  </si>
  <si>
    <t>2669470</t>
  </si>
  <si>
    <t>0327</t>
  </si>
  <si>
    <t>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</si>
  <si>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2681096</t>
  </si>
  <si>
    <t>0328</t>
  </si>
  <si>
    <t>2681096: MEJORAMIENTO DEL SERVICIO DE TRANSITABILIDAD VIAL INTERURBANA EN LA CARRETERA EMP. PE-3S (CHUA CHUA) - MOLINO - CHALLAPAMPA SANTA ROSA -  EMP. PU-130 (TACAPISI) , QUECCUANI - COPANI DE LOS   DISTRITOS DE ZEPITA, COPANI DE LAS PROVINCIAS DE CHUCUITO, YUNGUYO DEL DEPARTAMENTO DE PUNO</t>
  </si>
  <si>
    <t>2692317</t>
  </si>
  <si>
    <t>0329</t>
  </si>
  <si>
    <t>2692317: CONSTRUCCION DE PLATAFORMA Y DRENAJE TRANSVERSAL; REPARACION DE PLATAFORMA; ADQUISICION DE DISPOSITIVO DE CONTROL DE TRANSITO; EN EL(LA) CARRETERA PU-111 (EMP. JR. SULLANA ¿ EMP. JR. LIMA)  DISTRITO DE AZANGARO, PROVINCIA AZANGARO, DEPARTAMENTO PUNO</t>
  </si>
  <si>
    <t>2654204</t>
  </si>
  <si>
    <t>0342</t>
  </si>
  <si>
    <t>2654204: MEJORAMIENTO DEL SERVICIO DE TRANSITABILIDAD VIAL INTERURBANA EN LA CARRETERA PU ¿ 1068 (CONDORIRI , ¿ JUNCAL) DE LOS   DISTRITOS DE TIQUILLACA, SAN ANTONIO DE LA PROVINCIA DE PUNO DEL DEPARTAMENTO DE PUNO</t>
  </si>
  <si>
    <t>0347</t>
  </si>
  <si>
    <t>2727133</t>
  </si>
  <si>
    <t>0521</t>
  </si>
  <si>
    <t>2727133: CONSTRUCCION DE PUENTE; EN EL(LA) CARRETERA PU 588 - ACCESO AL CENTRO POBLADO DE CURVA ALEGRE (PUENTE NUEVA ESPERANZA), DISTRITO DE SAN PEDRO DE PUTINA PUNCO, PROVINCIA SANDIA, DEPARTAMENTO PUNO</t>
  </si>
  <si>
    <t>12-B sin programación vigente: validar con la OPMI</t>
  </si>
  <si>
    <t>2727299</t>
  </si>
  <si>
    <t>0522</t>
  </si>
  <si>
    <t>2727299: CONSTRUCCION DE PUENTE; EN EL(LA) CARRETERA R211223 EN ACCESO AL C.P. VICTORIA, DISTRITO DE SAN PEDRO DE PUTINA PUNCO, PROVINCIA SANDIA, DEPARTAMENTO PUNO</t>
  </si>
  <si>
    <t>Sin Formato 12-B: validar con la OPMI</t>
  </si>
  <si>
    <t>0321</t>
  </si>
  <si>
    <t>2714049</t>
  </si>
  <si>
    <t>0491</t>
  </si>
  <si>
    <t>2714049: REPARACION DE CAMPO DEPORTIVO; EN EL(LA) POLIDEPORTIVO AZANGARO DISTRITO DE AZANGARO, PROVINCIA AZANGARO, DEPARTAMENTO PUNO</t>
  </si>
  <si>
    <t>Sin saldo libre; hay S/ 40,369 certificados sin comprometer ni programar en el 12-B (requiere rebajar la certificación)</t>
  </si>
  <si>
    <t>06. JUSTICIA</t>
  </si>
  <si>
    <t>2518131</t>
  </si>
  <si>
    <t>0337</t>
  </si>
  <si>
    <t>2518131: AMPLIACION Y MEJORAMIENTO DE LOS SERVICIOS DE ADMINISTRACION DE JUSTICIA DE LOS ORGANOS JURISDICCIONALES DE LA SEDE CENTRAL DEL DISTRITO JUDICIAL DE PUNO, DISTRITO DE PUNO - PROVINCIA DE PUNO - DEPARTAMENTO DE PUNO</t>
  </si>
  <si>
    <t>PODER JUDICIAL</t>
  </si>
  <si>
    <t>PROYECTOS SIN EXPEDIENTE TECNICO, QUE NO ESTA EJECUTANDO SUB GER EST DEFINITIVOS</t>
  </si>
  <si>
    <t>2357091</t>
  </si>
  <si>
    <t>0227</t>
  </si>
  <si>
    <t>2357091: MEJORAMIENTO DE LA CAPACIDAD RESOLUTIVA DEL CENTRO DE SALUD COATA I-3 DE LA MICRORED JAE, RED DE SALUD PUNO - DIRESA PUNO, , - DISTRITO DE COATA - PROVINCIA DE PUNO - REGIÓN PUNO</t>
  </si>
  <si>
    <t>Está programado en el PMI 2026 · Tiene monto en el PMI 2027 (S/ 10,255,200)</t>
  </si>
  <si>
    <t>2380088</t>
  </si>
  <si>
    <t>0230</t>
  </si>
  <si>
    <t>2380088: MEJORAMIENTO Y AMPLIACION DE LOS SERVICIOS DE SALUD DEL HOSPITAL CARLOS CORNEJO ROSELLO VIZCARDO DE LA CIUDAD DE AZANGARO, DISTRITO Y PROVINCIA DE AZANGARO, DEPARTAMENTO DE PUNO</t>
  </si>
  <si>
    <t>2476464</t>
  </si>
  <si>
    <t>0238</t>
  </si>
  <si>
    <t>2476464: MEJORAMIENTO Y AMPLIACION DE LOS SERVICIOS DE SALUD DEL CENTRO DE SALUD KELLUYO DEL  DISTRITO DE KELLUYO - PROVINCIA DE CHUCUITO - DEPARTAMENTO DE PUNO</t>
  </si>
  <si>
    <t>MUNICIPALIDAD DISTRITAL DE KELLUYO</t>
  </si>
  <si>
    <t>2517448</t>
  </si>
  <si>
    <t>0244</t>
  </si>
  <si>
    <t>2517448: MEJORAMIENTO DEL SERVICIO DE SALUD EN EL CENTRO DE SALUD  SAN GABÁN,  DISTRITO DE SAN GABAN - PROVINCIA DE CARABAYA - DEPARTAMENTO DE PUNO</t>
  </si>
  <si>
    <t>2551456</t>
  </si>
  <si>
    <t>0251</t>
  </si>
  <si>
    <t>2551456: MEJORAMIENTO DE LOS SERVICIOS DE SALUD DEL CENTRO DE SALUD GUADALUPE, DISTRITO DE JULIACA - PROVINCIA DE SAN ROMAN - DEPARTAMENTO DE PUNO</t>
  </si>
  <si>
    <t>2570943</t>
  </si>
  <si>
    <t>0256</t>
  </si>
  <si>
    <t>2570943: MEJORAMIENTO Y AMPLIACION DE LOS SERVICIOS DE SALUD DEL ESTABLECIMIENTO DE SALUD OLLARAYA,  DISTRITO DE OLLARAYA - PROVINCIA DE YUNGUYO - DEPARTAMENTO DE PUNO</t>
  </si>
  <si>
    <t>2578405</t>
  </si>
  <si>
    <t>0257</t>
  </si>
  <si>
    <t>2578405: MEJORAMIENTO Y AMPLIACION DEL SERVICIO DE ATENCIÓN DE SALUD BÁSICOS EN CHUPA - CHUPA   DISTRITO DE CHUPA DE LA PROVINCIA DE AZANGARO DEL DEPARTAMENTO DE PUNO</t>
  </si>
  <si>
    <t>2585395</t>
  </si>
  <si>
    <t>0258</t>
  </si>
  <si>
    <t>2585395: MEJORAMIENTO DEL SERVICIO DE ATENCIÓN DE SALUD BÁSICOS EN CAPACHICA   DISTRITO DE CAPACHICA DE LA PROVINCIA DE PUNO DEL DEPARTAMENTO DE PUNO</t>
  </si>
  <si>
    <t>2594994</t>
  </si>
  <si>
    <t>0261</t>
  </si>
  <si>
    <t>2594994: MEJORAMIENTO Y AMPLIACION DEL SERVICIO DE ATENCIÓN DE SALUD BÁSICOS EN ASILLO   DISTRITO DE ASILLO DE LA PROVINCIA DE AZANGARO DEL DEPARTAMENTO DE PUNO</t>
  </si>
  <si>
    <t>2599489</t>
  </si>
  <si>
    <t>0262</t>
  </si>
  <si>
    <t>2599489: CONSTRUCCION DE CONSULTORIO; ADQUISICION DE EQUIPOS BIOMEDICOS Y MOBILIARIO CLINICO; EN EL(LA) HOSPITAL SANDIA  DISTRITO DE SANDIA, PROVINCIA SANDIA, DEPARTAMENTO PUNO</t>
  </si>
  <si>
    <t>GRDS - EJECUCION</t>
  </si>
  <si>
    <t>2603161</t>
  </si>
  <si>
    <t>0265</t>
  </si>
  <si>
    <t>2603161: MEJORAMIENTO DEL SERVICIO DE ATENCIÓN DE SALUD BÁSICOS EN MAÑAZO   DISTRITO DE MAÑAZO DE LA PROVINCIA DE PUNO DEL DEPARTAMENTO DE PUNO</t>
  </si>
  <si>
    <t>2623878</t>
  </si>
  <si>
    <t>0267</t>
  </si>
  <si>
    <t>2623878: MEJORAMIENTO DEL SERVICIO DE ATENCIÓN DE SALUD BÁSICOS EN CABANILLA   DISTRITO DE CABANILLA DE LA PROVINCIA DE LAMPA DEL DEPARTAMENTO DE PUNO</t>
  </si>
  <si>
    <t>Sin saldo libre; hay S/ 606,460 certificados sin comprometer ni programar en el 12-B (requiere rebajar la certificación)</t>
  </si>
  <si>
    <t>2623879</t>
  </si>
  <si>
    <t>0268</t>
  </si>
  <si>
    <t>2623879: MEJORAMIENTO DEL SERVICIO DE ATENCIÓN DE SALUD BÁSICOS EN LARAQUERI   DISTRITO DE PICHACANI DE LA PROVINCIA DE PUNO DEL DEPARTAMENTO DE PUNO</t>
  </si>
  <si>
    <t>2632832</t>
  </si>
  <si>
    <t>0269</t>
  </si>
  <si>
    <t>2632832: MEJORAMIENTO DEL SERVICIO DE ATENCIÓN DE SALUD BÁSICOS EN VALLECITO   DISTRITO DE PUNO DE LA PROVINCIA DE PUNO DEL DEPARTAMENTO DE PUNO</t>
  </si>
  <si>
    <t>2649778</t>
  </si>
  <si>
    <t>0271</t>
  </si>
  <si>
    <t>2649778: MEJORAMIENTO DEL SERVICIO DE ATENCIÓN DE SALUD BÁSICOS EN CHIJNAYA   DISTRITO DE PUCARA DE LA PROVINCIA DE LAMPA DEL DEPARTAMENTO DE PUNO</t>
  </si>
  <si>
    <t>2649779</t>
  </si>
  <si>
    <t>0272</t>
  </si>
  <si>
    <t>2649779: MEJORAMIENTO DEL SERVICIO DE ATENCIÓN DE SALUD BÁSICOS EN HUAYCHO   DISTRITO DE NUÑOA DE LA PROVINCIA DE MELGAR DEL DEPARTAMENTO DE PUNO</t>
  </si>
  <si>
    <t>2649780</t>
  </si>
  <si>
    <t>0273</t>
  </si>
  <si>
    <t>2649780: MEJORAMIENTO DEL SERVICIO DE ATENCIÓN DE SALUD BÁSICOS EN ACOCOLLO   DISTRITO DE HUANCANE DE LA PROVINCIA DE HUANCANE DEL DEPARTAMENTO DE PUNO</t>
  </si>
  <si>
    <t>2649782</t>
  </si>
  <si>
    <t>0274</t>
  </si>
  <si>
    <t>2649782: MEJORAMIENTO DEL SERVICIO DE ATENCIÓN DE SALUD BÁSICOS EN CAYARANI   DISTRITO DE ORURILLO DE LA PROVINCIA DE MELGAR DEL DEPARTAMENTO DE PUNO</t>
  </si>
  <si>
    <t>2649786</t>
  </si>
  <si>
    <t>0275</t>
  </si>
  <si>
    <t>2649786: MEJORAMIENTO DEL SERVICIO DE ATENCIÓN DE SALUD BÁSICOS EN PASIRI   DISTRITO DE JULI DE LA PROVINCIA DE CHUCUITO DEL DEPARTAMENTO DE PUNO</t>
  </si>
  <si>
    <t>2649788</t>
  </si>
  <si>
    <t>0276</t>
  </si>
  <si>
    <t>2649788: MEJORAMIENTO DEL SERVICIO DE ATENCIÓN DE SALUD BÁSICOS EN CALLAZA   DISTRITO DE HUACULLANI DE LA PROVINCIA DE CHUCUITO DEL DEPARTAMENTO DE PUNO</t>
  </si>
  <si>
    <t>2649789</t>
  </si>
  <si>
    <t>0277</t>
  </si>
  <si>
    <t>2649789: MEJORAMIENTO DEL SERVICIO DE ATENCIÓN DE SALUD BÁSICOS EN CALLACAMI   DISTRITO DE JULI DE LA PROVINCIA DE CHUCUITO DEL DEPARTAMENTO DE PUNO</t>
  </si>
  <si>
    <t>2649790</t>
  </si>
  <si>
    <t>0278</t>
  </si>
  <si>
    <t>2649790: MEJORAMIENTO DEL SERVICIO DE ATENCIÓN DE SALUD BÁSICOS EN CHEJANI   DISTRITO DE PHARA DE LA PROVINCIA DE SANDIA DEL DEPARTAMENTO DE PUNO</t>
  </si>
  <si>
    <t>2649793</t>
  </si>
  <si>
    <t>0279</t>
  </si>
  <si>
    <t>2649793: MEJORAMIENTO DEL SERVICIO DE ATENCIÓN DE SALUD BÁSICOS EN NINANTAYA   DISTRITO DE MOHO DE LA PROVINCIA DE MOHO DEL DEPARTAMENTO DE PUNO</t>
  </si>
  <si>
    <t>2649794</t>
  </si>
  <si>
    <t>0280</t>
  </si>
  <si>
    <t>2649794: MEJORAMIENTO DEL SERVICIO DE ATENCIÓN DE SALUD BÁSICOS EN SACUYO RIO GRANDE   DISTRITO DE ACORA DE LA PROVINCIA DE PUNO DEL DEPARTAMENTO DE PUNO</t>
  </si>
  <si>
    <t>2658003</t>
  </si>
  <si>
    <t>0283</t>
  </si>
  <si>
    <t>2658003: MEJORAMIENTO DEL SERVICIO DE ATENCIÓN DE SALUD BÁSICOS EN ACCASO   DISTRITO DE PILCUYO DE LA PROVINCIA DE EL COLLAO DEL DEPARTAMENTO DE PUNO</t>
  </si>
  <si>
    <t>2188379</t>
  </si>
  <si>
    <t>0021</t>
  </si>
  <si>
    <t>2188379: MEJORAMIENTO DEL SERVICIO EDUCATIVO DE LA INSTITUCION EDUCATIVA PRIMARIA  N 70605 DOMINGO SAVIO DE JULIACA, DISTRITO DE JULIACA, PROVINCIA DE SAN ROMAN - PUNO</t>
  </si>
  <si>
    <t>2026-06-23</t>
  </si>
  <si>
    <t>2384978</t>
  </si>
  <si>
    <t>0031</t>
  </si>
  <si>
    <t>2384978: MEJORAMIENTO DE LOS SERVICIOS DE EDUCACIÓN SECUNDARIA EN LA INSTITUCIÓN EDUCATIVA PÚBLICA MILITAR ¿INCA MANCO CAPAC¿ , CENTRO POBLADO DE TOTORANI - DISTRITO DE PUNO - PROVINCIA DE PUNO - REGIÓN PUNO</t>
  </si>
  <si>
    <t>2525250</t>
  </si>
  <si>
    <t>0038</t>
  </si>
  <si>
    <t>2525250: MEJORAMIENTO Y AMPLIACION DEL SERVICIO EDUCATIVO DEL NIVEL PRIMARIA DE LA I.E. Nº 70316 SAGRADO CORAZÓN DE JESÚS  DISTRITO DE ILAVE - PROVINCIA DE EL COLLAO - DEPARTAMENTO DE PUNO</t>
  </si>
  <si>
    <t>2026-02-27</t>
  </si>
  <si>
    <t>2585923</t>
  </si>
  <si>
    <t>0040</t>
  </si>
  <si>
    <t>2585923: MEJORAMIENTO DEL SERVICIO DE EDUCACION PRIMARIA EN I.E. 71016 MARIA AUXILIADORA DISTRITO DE JULIACA DE LA PROVINCIA DE SAN ROMAN DEL DEPARTAMENTO DE PUNO</t>
  </si>
  <si>
    <t>2616445</t>
  </si>
  <si>
    <t>0042</t>
  </si>
  <si>
    <t>2616445: MEJORAMIENTO DEL SERVICIO DE EDUCACIÓN SECUNDARIA EN I.E. CRFA LUPAKAS JULI   DISTRITO DE JULI DE LA PROVINCIA DE CHUCUITO DEL DEPARTAMENTO DE PUNO</t>
  </si>
  <si>
    <t>2618450</t>
  </si>
  <si>
    <t>0043</t>
  </si>
  <si>
    <t>2618450: MEJORAMIENTO DEL SERVICIO DE EDUCACION PRIMARIA EN I.E. 70001   DISTRITO DE PUNO DE LA PROVINCIA DE PUNO DEL DEPARTAMENTO DE PUNO</t>
  </si>
  <si>
    <t>2638009</t>
  </si>
  <si>
    <t>0047</t>
  </si>
  <si>
    <t>2638009: MEJORAMIENTO DEL SERVICIO DE EDUCACIÓN SECUNDARIA EN I.E. HUARAYA  DE CENTRO POBLADO HUARAYA DISTRITO DE MOHO DE LA PROVINCIA DE MOHO DEL DEPARTAMENTO DE PUNO</t>
  </si>
  <si>
    <t>2652118</t>
  </si>
  <si>
    <t>0048</t>
  </si>
  <si>
    <t>2652118: MEJORAMIENTO DEL SERVICIO DE EDUCACION PRIMARIA EN I.E. 70726   DISTRITO DE PUNO DE LA PROVINCIA DE PUNO DEL DEPARTAMENTO DE PUNO</t>
  </si>
  <si>
    <t>2652119</t>
  </si>
  <si>
    <t>0049</t>
  </si>
  <si>
    <t>2652119: MEJORAMIENTO DEL SERVICIO DE EDUCACION PRIMARIA EN I.E. 70802   DISTRITO DE PUNO DE LA PROVINCIA DE PUNO DEL DEPARTAMENTO DE PUNO</t>
  </si>
  <si>
    <t>2652120</t>
  </si>
  <si>
    <t>0050</t>
  </si>
  <si>
    <t>2652120: MEJORAMIENTO DEL SERVICIO DE EDUCACION PRIMARIA EN I.E. 70682   DISTRITO DE PUNO DE LA PROVINCIA DE PUNO DEL DEPARTAMENTO DE PUNO</t>
  </si>
  <si>
    <t>2655774</t>
  </si>
  <si>
    <t>0051</t>
  </si>
  <si>
    <t>2655774: MEJORAMIENTO DEL SERVICIO DE EDUCACIÓN SECUNDARIA EN I.E. SOLLOCOTA  DE CENTRO POBLADO VIRGEN DEL ROSARIO SOLLOCOTA DISTRITO DE SAN JOSE DE LA PROVINCIA DE AZANGARO DEL DEPARTAMENTO DE PUNO</t>
  </si>
  <si>
    <t>2656882</t>
  </si>
  <si>
    <t>0052</t>
  </si>
  <si>
    <t>2656882: MEJORAMIENTO DEL SERVICIO DE EDUCACIÓN SECUNDARIA EN I.E. AGROINDUSTRIAL MAXIMO SAN ROMAN CACERES DE AJJATIRA ,   DE CENTRO POBLADO SANTIAGO AJJATIRA DISTRITO DE PEDRO VILCA APAZA DE LA PROVINCIA DE SAN ANTONIO DE PUTINA DEL DEPARTAMENTO DE PUNO</t>
  </si>
  <si>
    <t>2659574</t>
  </si>
  <si>
    <t>0053</t>
  </si>
  <si>
    <t>2659574: MEJORAMIENTO DEL SERVICIO DE EDUCACIÓN SECUNDARIA EN I.E. JOSE ABELARDO QUIÑONES GONZALES   DISTRITO DE MOHO DE LA PROVINCIA DE MOHO DEL DEPARTAMENTO DE PUNO</t>
  </si>
  <si>
    <t>2660479</t>
  </si>
  <si>
    <t>0054</t>
  </si>
  <si>
    <t>2660479: MEJORAMIENTO DEL SERVICIO DE EDUCACIÓN SECUNDARIA EN I.E. 20 DE ENERO   DISTRITO DE JULIACA DE LA PROVINCIA DE SAN ROMAN DEL DEPARTAMENTO DE PUNO</t>
  </si>
  <si>
    <t>2662668</t>
  </si>
  <si>
    <t>0055</t>
  </si>
  <si>
    <t>2662668: MEJORAMIENTO DEL SERVICIO DE EDUCACION PRIMARIA EN I.E. 72060  DE CENTRO POBLADO YURAJCHUPA DISTRITO DE SAN JUAN DE SALINAS DE LA PROVINCIA DE AZANGARO DEL DEPARTAMENTO DE PUNO</t>
  </si>
  <si>
    <t>2662786</t>
  </si>
  <si>
    <t>0056</t>
  </si>
  <si>
    <t>2662786: MEJORAMIENTO DEL SERVICIO DE EDUCACION PRIMARIA EN I.E. 72662  DE CENTRO POBLADO CALLA DISTRITO DE SAN JUAN DE SALINAS DE LA PROVINCIA DE AZANGARO DEL DEPARTAMENTO DE PUNO</t>
  </si>
  <si>
    <t>2664647</t>
  </si>
  <si>
    <t>0057</t>
  </si>
  <si>
    <t>2664647: MEJORAMIENTO DEL SERVICIO DE EDUCACIÓN SECUNDARIA EN I.E. JOSE CARLOS MARIATEGUI   DISTRITO DE SAN JUAN DE SALINAS DE LA PROVINCIA DE AZANGARO DEL DEPARTAMENTO DE PUNO</t>
  </si>
  <si>
    <t>2673628</t>
  </si>
  <si>
    <t>0058</t>
  </si>
  <si>
    <t>2673628: MEJORAMIENTO DEL SERVICIO DE EDUCACION PRIMARIA EN I.E. 72289  DE CENTRO POBLADO  HUARISANI DISTRITO DE HUANCANE DE LA PROVINCIA DE HUANCANE DEL DEPARTAMENTO DE PUNO</t>
  </si>
  <si>
    <t>2357337</t>
  </si>
  <si>
    <t>0081</t>
  </si>
  <si>
    <t>2357337: MEJORAMIENTO Y AMPLIACION DEL SERVICIO EDUCATIVO DE LA ESCUELA SUPERIOR DE FORMACIÓN ARTÍSTICA PÚBLICA (ESFAP ¿ PUNO), DISTRITO DE PUNO - PROVINCIA DE PUNO - REGIÓN PUNO</t>
  </si>
  <si>
    <t>2623873</t>
  </si>
  <si>
    <t>0082</t>
  </si>
  <si>
    <t>2623873: MEJORAMIENTO DE LOS SERVICIOS EDUCACIÓN SUPERIOR PEDAGÓGICA EN EL INSTITUTO DE EDUCACIÓN SUPERIOR PEDAGÓGICO DE EDUCACIÓN FÍSICA DE LAMPA DEL   DISTRITO DE LAMPA DE LA PROVINCIA DE LAMPA DEL DEPARTAMENTO DE PUNO</t>
  </si>
  <si>
    <t>2403888</t>
  </si>
  <si>
    <t>0155</t>
  </si>
  <si>
    <t>2403888: MEJORAMIENTO DE LOS SERVICIOS DE EDUCACIÓN SUPERIOR DEL INSTITUTO DE EDUCACIÓN SUPERIOR TECNOLÓGICO PÚBLICA DESAGUADERO DEL  DISTRITO DE DESAGUADERO - PROVINCIA DE CHUCUITO - DEPARTAMENTO DE PUNO</t>
  </si>
  <si>
    <t>2570033</t>
  </si>
  <si>
    <t>0157</t>
  </si>
  <si>
    <t>2570033: MEJORAMIENTO DE LOS SERVICIOS DE EDUCACIÓN SUPERIOR DEL INSTITUTO SUPERIOR TECNOLÓGICO PUBLICA MUÑANI DEL  DISTRITO DE MUÑANI - PROVINCIA DE AZANGARO - DEPARTAMENTO DE PUNO</t>
  </si>
  <si>
    <t>2570365</t>
  </si>
  <si>
    <t>0158</t>
  </si>
  <si>
    <t>2570365: MEJORAMIENTO DEL INSTITUTO DE EDUCACIÓN SUPERIOR TECNOLÓGICO PÚBLICO SANTA LUCÍA DEL  DISTRITO DE SANTA LUCIA - PROVINCIA DE LAMPA - DEPARTAMENTO DE PUNO</t>
  </si>
  <si>
    <t>2570369</t>
  </si>
  <si>
    <t>0159</t>
  </si>
  <si>
    <t>2570369: MEJORAMIENTO DE LOS SERVICIOS DE EDUCACION SUPERIOR DEL INSTITUTO SUPERIOR TECNOLOGICO PUBLICA SAN JUAN DEL ORO DEL  DISTRITO DE SAN JUAN DEL ORO - PROVINCIA DE SANDIA - DEPARTAMENTO DE PUNO</t>
  </si>
  <si>
    <t>Está programado en el PMI 2026 · Tiene monto en el PMI 2027 (S/ 8,258,956)</t>
  </si>
  <si>
    <t>2623875</t>
  </si>
  <si>
    <t>0163</t>
  </si>
  <si>
    <t>2623875: MEJORAMIENTO DEL SERVICIO DE EDUCACIÓN SUPERIOR TECNOLÓGICA  EN INSTITUTO DE EDUCACION SUPERIOR TECNOLOGICO PUBLICO SAN SALVADOR DE CAPACHICA   DISTRITO DE CAPACHICA DE LA PROVINCIA DE PUNO DEL DEPARTAMENTO DE PUNO</t>
  </si>
  <si>
    <t>2623876</t>
  </si>
  <si>
    <t>0164</t>
  </si>
  <si>
    <t>2623876: MEJORAMIENTO DEL SERVICIO DE EDUCACIÓN SUPERIOR TECNOLÓGICA  EN EL INSTITUTO SUPERIOR TECNOLOGICO PUBLICO SANTA ROSA DEL   DISTRITO DE SANTA ROSA DE LA PROVINCIA DE MELGAR DEL DEPARTAMENTO DE PUNO</t>
  </si>
  <si>
    <t>2250307</t>
  </si>
  <si>
    <t>0171</t>
  </si>
  <si>
    <t>2250307: INSTALACION DEL SERVICIO EDUCATIVO ESCOLARIZADO  DEL NIVEL INICIAL DE 3 A 5 AÑOS EN LA I.E.I. PICHACANI QUIRINI, DISTRITO DE MACARI, PROVINCIA MELGAR PUNO</t>
  </si>
  <si>
    <t>2026-03-16</t>
  </si>
  <si>
    <t>2250460</t>
  </si>
  <si>
    <t>0174</t>
  </si>
  <si>
    <t>2250460: INSTALACION DEL SERVICIO EDUCATIVO DE LA INSTITUCION EDUCATIVA INICIAL CICLO II NUEVA ESPERANZA, DISTRITO DE MACARI, PROVINCIA DE MELGAR - PUNO</t>
  </si>
  <si>
    <t>2649797</t>
  </si>
  <si>
    <t>0175</t>
  </si>
  <si>
    <t>2649797: MEJORAMIENTO DEL SERVICIO DE EDUCACIÓN INICIAL EN I.E. 1450 HUELLITAS DE MONTESSORI MIRAMAR   DISTRITO DE MOHO DE LA PROVINCIA DE MOHO DEL DEPARTAMENTO DE PUNO</t>
  </si>
  <si>
    <t>2649798</t>
  </si>
  <si>
    <t>0176</t>
  </si>
  <si>
    <t>2649798: MEJORAMIENTO DEL SERVICIO DE EDUCACIÓN INICIAL EN I.E. 056   DISTRITO DE CRUCERO DE LA PROVINCIA DE CARABAYA DEL DEPARTAMENTO DE PUNO</t>
  </si>
  <si>
    <t>2649800</t>
  </si>
  <si>
    <t>0177</t>
  </si>
  <si>
    <t>2649800: MEJORAMIENTO DEL SERVICIO DE EDUCACIÓN INICIAL EN I.E. 1337 VISTA ALEGRE   DISTRITO DE JULIACA DE LA PROVINCIA DE SAN ROMAN DEL DEPARTAMENTO DE PUNO</t>
  </si>
  <si>
    <t>2649803</t>
  </si>
  <si>
    <t>0178</t>
  </si>
  <si>
    <t>2649803: MEJORAMIENTO DEL SERVICIO DE EDUCACIÓN INICIAL EN I.E. 72   DISTRITO DE PEDRO VILCA APAZA DE LA PROVINCIA DE SAN ANTONIO DE PUTINA DEL DEPARTAMENTO DE PUNO</t>
  </si>
  <si>
    <t>2649804</t>
  </si>
  <si>
    <t>0179</t>
  </si>
  <si>
    <t>2649804: MEJORAMIENTO DEL SERVICIO DE EDUCACIÓN INICIAL EN I.E. 50   DISTRITO DE ORURILLO DE LA PROVINCIA DE MELGAR DEL DEPARTAMENTO DE PUNO</t>
  </si>
  <si>
    <t>2649853</t>
  </si>
  <si>
    <t>0182</t>
  </si>
  <si>
    <t>2649853: MEJORAMIENTO DEL SERVICIO DE EDUCACIÓN INICIAL EN I.E. 1240 NIÑO JESUS   DISTRITO DE VILQUE DE LA PROVINCIA DE PUNO DEL DEPARTAMENTO DE PUNO</t>
  </si>
  <si>
    <t>2649854</t>
  </si>
  <si>
    <t>0183</t>
  </si>
  <si>
    <t>2649854: MEJORAMIENTO DEL SERVICIO DE EDUCACIÓN INICIAL EN I.E. 1291 CORAZON DE JESUS   DISTRITO DE ACORA DE LA PROVINCIA DE PUNO DEL DEPARTAMENTO DE PUNO</t>
  </si>
  <si>
    <t>2649855</t>
  </si>
  <si>
    <t>0184</t>
  </si>
  <si>
    <t>2649855: MEJORAMIENTO DEL SERVICIO DE EDUCACIÓN INICIAL EN I.E. 258   DISTRITO DE ACORA DE LA PROVINCIA DE PUNO DEL DEPARTAMENTO DE PUNO</t>
  </si>
  <si>
    <t>2649856</t>
  </si>
  <si>
    <t>0185</t>
  </si>
  <si>
    <t>2649856: MEJORAMIENTO DEL SERVICIO DE EDUCACIÓN INICIAL EN I.E. 312  DE CENTRO POBLADO JAYU JAYU DISTRITO DE ACORA DE LA PROVINCIA DE PUNO DEL DEPARTAMENTO DE PUNO</t>
  </si>
  <si>
    <t>2649857</t>
  </si>
  <si>
    <t>0186</t>
  </si>
  <si>
    <t>2649857: MEJORAMIENTO DEL SERVICIO DE EDUCACIÓN INICIAL EN I.E. SAN JERONIMO   DISTRITO DE ATUNCOLLA DE LA PROVINCIA DE PUNO DEL DEPARTAMENTO DE PUNO</t>
  </si>
  <si>
    <t>2651086</t>
  </si>
  <si>
    <t>0189</t>
  </si>
  <si>
    <t>2651086: MEJORAMIENTO DEL SERVICIO DE EDUCACIÓN INICIAL EN I.E. 1226   DISTRITO DE MAÑAZO DE LA PROVINCIA DE PUNO DEL DEPARTAMENTO DE PUNO</t>
  </si>
  <si>
    <t>2652121</t>
  </si>
  <si>
    <t>0190</t>
  </si>
  <si>
    <t>2652121: MEJORAMIENTO DEL SERVICIO DE EDUCACIÓN INICIAL EN I.E. 1205   DISTRITO DE PUNO DE LA PROVINCIA DE PUNO DEL DEPARTAMENTO DE PUNO</t>
  </si>
  <si>
    <t>2659575</t>
  </si>
  <si>
    <t>0192</t>
  </si>
  <si>
    <t>2659575: MEJORAMIENTO DEL SERVICIO DE EDUCACIÓN INICIAL EN I.E. 1223 DIVINO NIÑO JESUS   DISTRITO DE COATA DE LA PROVINCIA DE PUNO DEL DEPARTAMENTO DE PUNO</t>
  </si>
  <si>
    <t>2673614</t>
  </si>
  <si>
    <t>0194</t>
  </si>
  <si>
    <t>2673614: MEJORAMIENTO DEL SERVICIO DE EDUCACIÓN INICIAL EN I.E. HUARISANI RENJACHI  DE CENTRO POBLADO HUARISANI DISTRITO DE HUANCANE DE LA PROVINCIA DE HUANCANE DEL DEPARTAMENTO DE PUNO</t>
  </si>
  <si>
    <t>2506927</t>
  </si>
  <si>
    <t>0243</t>
  </si>
  <si>
    <t>2506927: MEJORAMIENTO DE LOS SERVICIOS DE EDUCACIÓN SUPERIOR  TECNOLÓGICA DEL IESTP JOSE ANTONIO ENCINAS,  DISTRITO DE PUNO - PROVINCIA DE PUNO - DEPARTAMENTO DE PUNO</t>
  </si>
  <si>
    <t>2025-09-23</t>
  </si>
  <si>
    <t>No culminada</t>
  </si>
  <si>
    <t>MINISTERIO DE EDUCACION</t>
  </si>
  <si>
    <t>2650473</t>
  </si>
  <si>
    <t>0525</t>
  </si>
  <si>
    <t>2650473: CONSTRUCCION DE AULA DE EDUCACION SECUNDARIA, LABORATORIO Y/O TALLER, CERCO Y/O PORTADA Y SERVICIOS HIGIENICOS Y/O VESTIDORES; ADEMAS DE OTROS ACTIVOS EN EL(LA) I.E. AGROINDUSTRIAL DISTRITO DE PUTINA, PROVINCIA SAN ANTONIO DE PUTINA, DEPARTAMENTO</t>
  </si>
  <si>
    <t>2159836</t>
  </si>
  <si>
    <t>0091</t>
  </si>
  <si>
    <t>2159836: MEJORAMIENTO Y CREACION DEL CAMINO VECINAL SACO-HUANACURI, DISTRITO DE COASA - CARABAYA - PUNO</t>
  </si>
  <si>
    <t>MUNICIPALIDAD DISTRITAL DE COASA</t>
  </si>
  <si>
    <t>2185111</t>
  </si>
  <si>
    <t>0093</t>
  </si>
  <si>
    <t>2185111: MEJORAMIENTO DE LA CARRETERA (PU 112) PUTINA - MUÑANI, DISTRITOS DE PUTINA Y MUÑANI, PROVINCIAS DE SAN ANTONIO DE PUTINA Y AZÁNGARO - PUNO</t>
  </si>
  <si>
    <t>2026-08-05</t>
  </si>
  <si>
    <t>2338085</t>
  </si>
  <si>
    <t>0102</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</si>
  <si>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</si>
  <si>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2025-07-31</t>
  </si>
  <si>
    <t>DESACTIVADO PERMANENTE</t>
  </si>
  <si>
    <t>2316291</t>
  </si>
  <si>
    <t>0100</t>
  </si>
  <si>
    <t>2316291: MEJORAMIENTO Y AMPLIACIÓN DEL CIRCUITO VIAL ECO TURÍSTICO, CAPACHICA - SIALE - CCOTOS - PARAMIS, DISTRITOS DE CAPACHICA,  AMANTANI, PROVINCIA DE PUNO - PUNO</t>
  </si>
  <si>
    <t>2470024</t>
  </si>
  <si>
    <t>0111</t>
  </si>
  <si>
    <t>2470024: MEJORAMIENTO DEL SERVICIO DE TRANSITABILIDAD VEHICULAR A TRAVES DE PUENTES CARROZABLES EN LAS PROVINCIAS DE CARABAYA Y SANDIA DEL  DEPARTAMENTO DE PUNO</t>
  </si>
  <si>
    <t>2026-06-02</t>
  </si>
  <si>
    <t>2585398</t>
  </si>
  <si>
    <t>0115</t>
  </si>
  <si>
    <t>2585398: CREACION DEL SERVICIO DE TRANSITABILIDAD VIAL INTERURBANA EN EL PUENTE CARROZABLE CAMPUCO ENTRE EL DISTRITO SANTIAGO DE PUPUJA Y ARAPA DEL   DISTRITO DE SANTIAGO DE PUPUJA DE LA PROVINCIA DE AZANGARO DEL DEPARTAMENTO DE PUNO</t>
  </si>
  <si>
    <t>2585541</t>
  </si>
  <si>
    <t>0117</t>
  </si>
  <si>
    <t>2585541: CREACION DEL SERVICIO DE TRANSITABILIDAD VIAL INTERURBANA EN EL PUENTE CARROZABLE SANTA ROSA DE HUAYLLATA ENTRE LOS DISTRITOS DE ILAVE Y PILCUYO DEL   DISTRITO DE ILAVE DE LA PROVINCIA DE EL COLLAO DEL DEPARTAMENTO DE PUNO</t>
  </si>
  <si>
    <t>2591732</t>
  </si>
  <si>
    <t>0118</t>
  </si>
  <si>
    <t>2591732: MEJORAMIENTO DEL SERVICIO DE TRANSITABILIDAD VIAL INTERURBANA EN EL TRAMO DESAGUADERO (EMP PE-36C)  - PUENTE CARANCAS - HUANOCOLLO DEL   DISTRITO DE DESAGUADERO DE LA PROVINCIA DE CHUCUITO DEL DEPARTAMENTO DE PUNO</t>
  </si>
  <si>
    <t>2602159</t>
  </si>
  <si>
    <t>0120</t>
  </si>
  <si>
    <t>2602159: MEJORAMIENTO DEL SERVICIO DE TRANSITABILIDAD VIAL INTERURBANA EN PU-138: EMP PE-34 B ¿ PASANOCOLLO , ¿ PUCATILLANA ¿ EMP PU-100 (NUÑOA)   DISTRITOS DE ORURILLO, NUÑOA DE LA PROVINCIA DE MELGAR DEL DEPARTAMENTO DE PUNO</t>
  </si>
  <si>
    <t>2603164</t>
  </si>
  <si>
    <t>0122</t>
  </si>
  <si>
    <t>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</si>
  <si>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2603281</t>
  </si>
  <si>
    <t>0125</t>
  </si>
  <si>
    <t>2603281: 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</si>
  <si>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2607527</t>
  </si>
  <si>
    <t>0126</t>
  </si>
  <si>
    <t>2607527: MEJORAMIENTO DEL SERVICIO DE TRANSITABILIDAD VIAL INTERURBANA EN LA CARRETERA PU ¿ 985 (EMP. PE ¿ 34A; DV. CHOROMA) ¿ C.C. COARITA , PU ¿ 992 (C.C. COARITA) ¿ PALCA   DISTRITOS DE PARATIA, PALCA DE LA PROVINCIA DE LAMPA DEL DEPARTAMENTO DE PUNO</t>
  </si>
  <si>
    <t>2614553</t>
  </si>
  <si>
    <t>0127</t>
  </si>
  <si>
    <t>2614553: MEJORAMIENTO DEL SERVICIO DE TRANSITABILIDAD VIAL INTERURBANA EN LA CARRETERA MAÑAZO PU 1077 - PU 1091 , - EMP PE 34 C(LLAPAPATA - CABANILLAS)   DISTRITOS DE MAÑAZO, CABANILLAS DE LAS PROVINCIAS DE PUNO, SAN ROMAN DEL DEPARTAMENTO DE PUNO</t>
  </si>
  <si>
    <t>2645503</t>
  </si>
  <si>
    <t>0129</t>
  </si>
  <si>
    <t>2645503: MEJORAMIENTO DEL SERVICIO DE TRANSITABILIDAD VIAL INTERURBANA EN LA CARRETERA PU-1040 EMP. PU 122 (VILQUE) - EMP. PU - 1039 , - EMP. PU 1035 - EMP. PU 121 (CABANA)   DISTRITOS DE VILQUE, CABANA DE LAS PROVINCIAS DE PUNO, SAN ROMAN DEL DEPARTAMENTO DE PUNO</t>
  </si>
  <si>
    <t>2646859</t>
  </si>
  <si>
    <t>0130</t>
  </si>
  <si>
    <t>2646859: MEJORAMIENTO DEL SERVICIO DE TRANSITABILIDAD VIAL INTERURBANA EN LA PU - 145 (EMP. PE - 34 I: HUANCANÉ , - EMP. PE - 34 H: HUATASANI)  DE LOS   DISTRITOS DE HUANCANE, HUATASANI DE LA PROVINCIA DE HUANCANE DEL DEPARTAMENTO DE PUNO</t>
  </si>
  <si>
    <t>2649221</t>
  </si>
  <si>
    <t>0131</t>
  </si>
  <si>
    <t>2649221: MEJORAMIENTO DEL SERVICIO DE TRANSITABILIDAD VIAL INTERURBANA EN POQUERA CHICO ¿ QUIACA ¿ HUERTAPATA EN EL   DISTRITO DE QUIACA DE LA PROVINCIA DE SANDIA DEL DEPARTAMENTO DE PUNO</t>
  </si>
  <si>
    <t>2651270</t>
  </si>
  <si>
    <t>0132</t>
  </si>
  <si>
    <t>2651270: MEJORAMIENTO DEL SERVICIO DE TRANSITABILIDAD VIAL INTERURBANA EN EL TRAMO ALMOZANCHE (EMP. PU 118), - SAMUCHACA - SANTA CRUZ CAPARA -ESCALLANI (EMP. PU 118) DE LOS DISTRITOS DE COATA, PUSI DE LAS PROVINCIAS DE PUNO, HUANCANE DEL DEPARTAMENTO DE PUNO</t>
  </si>
  <si>
    <t>2651271</t>
  </si>
  <si>
    <t>0133</t>
  </si>
  <si>
    <t>2651271: MEJORAMIENTO DEL SERVICIO DE TRANSITABILIDAD VIAL INTERURBANA EN EL TRAMO ALMOZANCHE (EMP PU 118) - SUCASCO - SORAZA , - COYLATA URCUNIMUNI - HATUN AYLLU (EMP PU 118)  DE LOS   DISTRITOS DE COATA, PUSI DE LAS PROVINCIAS DE PUNO, HUANCANE DEL DEPARTAMENTO DE PUNO</t>
  </si>
  <si>
    <t>2652984</t>
  </si>
  <si>
    <t>0134</t>
  </si>
  <si>
    <t>2652984: MEJORAMIENTO DEL SERVICIO DE TRANSITABILIDAD VIAL INTERURBANA EN LA CARRETERA YOROHOCO (HUACULLANI) , ¿ KELLUYO ¿ HITO 31   DISTRITO DE HUACULLANI DE LA PROVINCIA DE CHUCUITO DEL DEPARTAMENTO DE PUNO</t>
  </si>
  <si>
    <t>2653737</t>
  </si>
  <si>
    <t>0135</t>
  </si>
  <si>
    <t>2653737: MEJORAMIENTO DEL SERVICIO DE TRANSITABILIDAD VIAL INTERURBANA EN LA CARRETRA PU¿144 (EMP. PE-34L: SOLITARIO , - EMP. PU-115: INCHUPALLA) DE LOS   DISTRITOS DE VILQUE CHICO, INCHUPALLA DE LA PROVINCIA DE HUANCANE DEL DEPARTAMENTO DE PUNO</t>
  </si>
  <si>
    <t>2653926</t>
  </si>
  <si>
    <t>0136</t>
  </si>
  <si>
    <t>2653926: MEJORAMIENTO DEL SERVICIO DE TRANSITABILIDAD VIAL INTERURBANA EN LA CARRETERA PU 672 (EMP PE 3S-PTE. SANTA ROSA) ¿ QUISHUARA ¿ SANTA CRUZ- PU 673 (SANTA CRUZ-EMP. PU 680), PU 683 (MACARI , - LLALLI) DE LOS   DISTRITOS DE MACARI, CUPI DE LA PROVINCIA DE MELGAR DEL DEPARTAMENTO DE PUNO</t>
  </si>
  <si>
    <t>2654509</t>
  </si>
  <si>
    <t>0137</t>
  </si>
  <si>
    <t>2654509: MEJORAMIENTO DEL SERVICIO DE TRANSITABILIDAD VIAL INTERURBANA EN LA CARRETERA PU 141: EMP. PU-111 (DV CAMBRIA) - CAMBRIA , - EMP PU - 112 (DV COLLPANI) DE LOS   DISTRITOS DE PUTINA, MUÑANI DE LAS PROVINCIAS DE SAN ANTONIO DE PUTINA, AZANGARO DEL DEPARTAMENTO DE PUNO</t>
  </si>
  <si>
    <t>Está programado en el PMI 2026 · Tiene monto en el PMI 2027 (S/ 348,574)</t>
  </si>
  <si>
    <t>2654549</t>
  </si>
  <si>
    <t>0138</t>
  </si>
  <si>
    <t>2654549: MEJORAMIENTO DEL SERVICIO DE TRANSITABILIDAD VIAL INTERURBANA EN LA CARRETERA PU-1376 (EMP PE-38 ¿ CUIPACUIPA) ¿ CUIPACUIPA - EMP PU - 132 (FRONTERA CON TACNA)  DEL   DISTRITO DE SANTA ROSA DE LA PROVINCIA DE EL COLLAO DEL DEPARTAMENTO DE PUNO</t>
  </si>
  <si>
    <t>2655389</t>
  </si>
  <si>
    <t>0139</t>
  </si>
  <si>
    <t>2655389: CREACION DEL SERVICIO DE TRANSITABILIDAD VIAL INTERURBANA EN EL PUENTE CHOQUENASA  DE LA CARRETERA PU-1243  DEL   DISTRITO DE ILAVE DE LA PROVINCIA DE EL COLLAO DEL DEPARTAMENTO DE PUNO</t>
  </si>
  <si>
    <t>2656599</t>
  </si>
  <si>
    <t>0140</t>
  </si>
  <si>
    <t>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</si>
  <si>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2656878</t>
  </si>
  <si>
    <t>0141</t>
  </si>
  <si>
    <t>2656878: MEJORAMIENTO DEL SERVICIO DE TRANSITABILIDAD VIAL INTERURBANA EN LA CARRETERA PU 535(COASA - TAMBILLO) , ¿ PU 534 (EMP PU 100 -TAYACUCHO - TAMBILLO) DE LOS   DISTRITOS DE COASA, ITUATA DE LA PROVINCIA DE CARABAYA DEL DEPARTAMENTO DE PUNO</t>
  </si>
  <si>
    <t>2657159</t>
  </si>
  <si>
    <t>0142</t>
  </si>
  <si>
    <t>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</si>
  <si>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2657484</t>
  </si>
  <si>
    <t>0143</t>
  </si>
  <si>
    <t>2657484: CONSTRUCCION DE PUENTE; EN EL(LA) CARRETERA PU-111 (PUENTE TINTIRI) DEL  DISTRITO DE AZANGARO, PROVINCIA AZANGARO, DEPARTAMENTO PUNO</t>
  </si>
  <si>
    <t>2657867</t>
  </si>
  <si>
    <t>0144</t>
  </si>
  <si>
    <t>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</si>
  <si>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2657953</t>
  </si>
  <si>
    <t>0145</t>
  </si>
  <si>
    <t>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</si>
  <si>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2661648</t>
  </si>
  <si>
    <t>0146</t>
  </si>
  <si>
    <t>2661648: CREACION DEL SERVICIO DE TRANSITABILIDAD VIAL INTERURBANA EN EL PUENTE COLGANTE PEATONAL  DE CENTRO POBLADO COHASIA DISTRITO DE HUANCANE DE LA PROVINCIA DE HUANCANE DEL DEPARTAMENTO DE PUNO</t>
  </si>
  <si>
    <t>2661660</t>
  </si>
  <si>
    <t>0147</t>
  </si>
  <si>
    <t>2661660: MEJORAMIENTO DEL SERVICIO DE TRANSITABILIDAD VIAL INTERURBANA EN LA CARRETERA DESAGUADERO - LLALLAHUA , - VISTA ALEGRE - CHIMU - ANCOPUTO - ALTO PATACOLLO - HUAPACA SAN MIGUEL DE LOS   DISTRITOS DE DESAGUADERO, ZEPITA DE LA PROVINCIA DE CHUCUITO DEL DEPARTAMENTO DE PUNO</t>
  </si>
  <si>
    <t>2666182</t>
  </si>
  <si>
    <t>0148</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</si>
  <si>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</si>
  <si>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2670620</t>
  </si>
  <si>
    <t>0149</t>
  </si>
  <si>
    <t>2670620: MEJORAMIENTO DEL SERVICIO DE TRANSITABILIDAD VIAL INTERURBANA EN LA CARRETERA JOSÉ DOMINGO CHOQUEHUANCA ¿ QUEQUERANA , ¿ PRIMER CHIMPA JILAHUATA - DV CAYRAHUIRE DE LOS   DISTRITOS DE JOSE DOMINGO CHOQUEHUANCA, AZANGARO DE LA PROVINCIA DE AZANGARO DEL DEPARTAMENTO DE PUNO</t>
  </si>
  <si>
    <t>2673441</t>
  </si>
  <si>
    <t>0150</t>
  </si>
  <si>
    <t>2673441: MEJORAMIENTO DEL SERVICIO DE TRANSITABILIDAD VIAL INTERURBANA EN LA CARRETERA PU-1115 (EMP. PE-3S: INGENIO - EMP. PU-1116: ICHU) - PU-1116 (EMP. PU-1115: ICHU - EMP. PE-3S: SALLIHUA CALLEJÓN) DEL   DISTRITO DE PUNO DE LA PROVINCIA DE PUNO DEL DEPARTAMENTO DE PUNO</t>
  </si>
  <si>
    <t>2681264</t>
  </si>
  <si>
    <t>0151</t>
  </si>
  <si>
    <t>2681264: MEJORAMIENTO DEL SERVICIO DE TRANSITABILIDAD VIAL INTERURBANA EN LA CARRETERA PU-727 (PUCARA - CHIJNAYA) DEL   DISTRITO DE PUCARA DE LA PROVINCIA DE LAMPA DEL DEPARTAMENTO DE PUNO</t>
  </si>
  <si>
    <t>0324</t>
  </si>
  <si>
    <t>2645444</t>
  </si>
  <si>
    <t>0068</t>
  </si>
  <si>
    <t>2645444: REPARACION DE TRIBUNA Y/O PALCO; CONSTRUCCION DE CAMPO DEPORTIVO; EN EL(LA) ESTADIO MUNICIPAL DE PILCUYO  DISTRITO DE PILCUYO, PROVINCIA EL COLLAO, DEPARTAMENTO PUNO</t>
  </si>
  <si>
    <t>2646095</t>
  </si>
  <si>
    <t>0070</t>
  </si>
  <si>
    <t>2646095: CONSTRUCCION DE CAMPO DEPORTIVO Y SERVICIOS HIGIENICOS Y/O VESTIDORES; REPARACION DE SERVICIOS HIGIENICOS Y/O VESTIDORES Y TRIBUNA Y/O PALCO; ADEMÁS DE OTROS ACTIVOS EN EL(LA) ESTADIO MUNICIPAL DE CONIMA  DISTRITO DE CONIMA, PROVINCIA MOHO, DEPARTAMENTO PUNO</t>
  </si>
  <si>
    <t>2669946</t>
  </si>
  <si>
    <t>0074</t>
  </si>
  <si>
    <t>2669946: MEJORAMIENTO DEL SERVICIO DE PRÁCTICA DEPORTIVA Y/O RECREATIVA EN ESTADIO MUNICIPAL DE MOHO   DISTRITO DE MOHO DE LA PROVINCIA DE MOHO DEL DEPARTAMENTO DE PUNO</t>
  </si>
  <si>
    <t>2527207</t>
  </si>
  <si>
    <t>0246</t>
  </si>
  <si>
    <t>2527207: RECUPERACION DEL PUENTE COLONIAL DE LAMPA, DISTRITO DE LAMPA - PROVINCIA DE LAMPA - DEPARTAMENTO DE PUNO</t>
  </si>
  <si>
    <t>2025-07-30</t>
  </si>
  <si>
    <t>2393101</t>
  </si>
  <si>
    <t>0231</t>
  </si>
  <si>
    <t>2393101: MEJORAMIENTO Y AMPLIACION DEL SERVICIO ADMINISTRATIVO DE LA UNIDAD  DE  GESTIÓN EDUCATIVA LOCAL MELGAR EN EL DISTRITO DE AYAVIRI, PROVINCIA DE MELGAR, REGIÓN PUNO</t>
  </si>
  <si>
    <t>2411317</t>
  </si>
  <si>
    <t>0232</t>
  </si>
  <si>
    <t>2411317: MEJORAMIENTO DE LOS SERVICIOS PÚBLICOS DEL GOBIERNO REGIONAL PUNO - SEDE CENTRAL , DEL DISTRITO DE PUNO - PROVINCIA DE PUNO - DEPARTAMENTO DE PUNO</t>
  </si>
  <si>
    <t>2658446</t>
  </si>
  <si>
    <t>0507</t>
  </si>
  <si>
    <t>2658446: PROYECTOS PARA EL DESARROLLO LOCAL</t>
  </si>
  <si>
    <t>Genérico</t>
  </si>
  <si>
    <t>NO REGISTRADO EN EL INVIERTE</t>
  </si>
  <si>
    <t>08. COMERCIO</t>
  </si>
  <si>
    <t>2343538</t>
  </si>
  <si>
    <t>0225</t>
  </si>
  <si>
    <t>2343538: CREACION DE LOS SERVICIOS DE PROMOCIÓN DEL COMERCIO EXTERIOR EN LA ZEEDE PUNO - REGIÓN DE PUNO</t>
  </si>
  <si>
    <t>GRDE - EJECUCION</t>
  </si>
  <si>
    <t>09. TURISMO</t>
  </si>
  <si>
    <t>2645524</t>
  </si>
  <si>
    <t>0270</t>
  </si>
  <si>
    <t>2645524: MEJORAMIENTO DE LOS SERVICIOS TURÍSTICOS PÚBLICOS EN RECURSOS TURÍSTICOS  EN 4 UNIDADES PRODUCTORAS  4 DISTRITOS  DE 3 PROVINCIAS DEL DEPARTAMENTO DE PUNO</t>
  </si>
  <si>
    <t>17. AMBIENTE</t>
  </si>
  <si>
    <t>2625216</t>
  </si>
  <si>
    <t>0153</t>
  </si>
  <si>
    <t>2625216: MEJORAMIENTO DE LOS SERVICIOS ECOSISTEMICOS EN EL RIO TOROCOCHA DE LA LOCALIDAD DE JULIACA DISTRITO DE JULIACA DE LA PROVINCIA DE SAN ROMAN DEL DEPARTAMENTO DE PUNO</t>
  </si>
  <si>
    <t>19. VIVIENDA Y DESARROLLO URBANO</t>
  </si>
  <si>
    <t>2462296</t>
  </si>
  <si>
    <t>0236</t>
  </si>
  <si>
    <t>2462296: CREACION DEL SERVICIO DE TRANSITABILIDAD A TRAVES DE LA INSTALACION DE PUENTES PEATONALES EN LAS PROVINCIAS DE CARABAYA Y SANDIA DEL  DEPARTAMENTO DE PUNO</t>
  </si>
  <si>
    <t>Gerencias y Oficinas</t>
  </si>
  <si>
    <t>GERENCIA REGIONAL DE DESARROLLO ECONOMICO</t>
  </si>
  <si>
    <t>2526527</t>
  </si>
  <si>
    <t>0020</t>
  </si>
  <si>
    <t>2526527: MEJORAMIENTO DE LAS CAPACIDADES PARA LA PRODUCTIVIDAD Y LA COMPETITIVIDAD DE ARTESANÍAS EN 13 PROVINCIAS DEL DEPARTAMENTO DE PUNO</t>
  </si>
  <si>
    <t>2717147</t>
  </si>
  <si>
    <t>0383</t>
  </si>
  <si>
    <t>2717147: MEJORAMIENTO DE LOS SERVICIOS TURISTICOS DE AVENTURA Y ALOJAMIENTO RURAL EN LA ASOCIACION DE TURISMO VIVENCIAL COMUNITARIO LUQUINA CHICO, DISTRITO CHUCUITO, PROVINCIA PUNO, REGION PUNO.</t>
  </si>
  <si>
    <t>PROCOMPITE</t>
  </si>
  <si>
    <t>Restringido</t>
  </si>
  <si>
    <t>Equipamiento / Contrata</t>
  </si>
  <si>
    <t>PROCOMPITE - EJECUCION</t>
  </si>
  <si>
    <t>2723296</t>
  </si>
  <si>
    <t>0475</t>
  </si>
  <si>
    <t>2723296: MEJORAMIENTO DE LA PRODUCCION Y COMERCIALIZACION DE ARTESANIA DE FIBRA DE ALPACA Y LANA DE OVINO EN LA ASOCIACION DE ARTESANOS EMPRENDEDORES EN TEXTILERIA SAN JUAN BAUTISTA DE NAPA ROSASPATA, DISTRITO DE ROSASPATA, PROVINCIA DE HUANCANE, REGION PU</t>
  </si>
  <si>
    <t>2717175</t>
  </si>
  <si>
    <t>0410</t>
  </si>
  <si>
    <t>2717175: MEJORAMIENTO DE LOS SERVICIOS DE ALOJAMIENTO TURISTICO Y DEL TURISMO VIVENCIAL DE OBSERVACION ASTRONOMICA EN LA ASOCIACION DE TURISMO COMUNITARIO TIKA WASI LLACHON, DISTRITO DE CAPACHICA, PROVINCIA DE PUNO Y DEPARTAMENTO DE PUNO.</t>
  </si>
  <si>
    <t>2717164</t>
  </si>
  <si>
    <t>0399</t>
  </si>
  <si>
    <t>2717164: MEJORAMIENTO DE LA CAPACIDAD PRODUCTIVA Y DE COMERCIALIZACION DE MIEL MEDIANTE EL FORTALECIMIENTO DE PROCESOS PRODUCTIVOS APICOLAS EN LA ASOCIACION DE PRODUCTORES AGROPECUARIOS MONTE SILOE KOLLA MISKI DISTRITO PLATERIA, PROVINCIA DE PUNO, REGION P</t>
  </si>
  <si>
    <t>2676438</t>
  </si>
  <si>
    <t>0373</t>
  </si>
  <si>
    <t>2676438: MEJORAMIENTO DE LA PRODUCCION DE MIEL DE ABEJA DE LA ASOCIACION DE APICULTORES Y PRODUCTORES AGROPECUARIOS DEL VALLE YANAHUAYA, DEL DISTRITO DE YANAHUARA PROVINCIA DE SANDIA DEPARTAMENTO DE PUNO</t>
  </si>
  <si>
    <t>Equipamiento</t>
  </si>
  <si>
    <t>2016766</t>
  </si>
  <si>
    <t>0216</t>
  </si>
  <si>
    <t>2016766: INICIATIVA A LA COMPETITIVIDAD</t>
  </si>
  <si>
    <t>Sin dato</t>
  </si>
  <si>
    <t>Bolsa genérica</t>
  </si>
  <si>
    <t>Código genérico (no es una inversión con CUI propio)</t>
  </si>
  <si>
    <t>Estudio de preinversión</t>
  </si>
  <si>
    <t>0493</t>
  </si>
  <si>
    <t>10. AGROPECUARIA</t>
  </si>
  <si>
    <t>2717186</t>
  </si>
  <si>
    <t>0418</t>
  </si>
  <si>
    <t>2717186: MEJORAMIENTO DE LA PLANTA DE TRANSFORMACION DE GRANOS ANDINOS DEL GRUPO TURISTICO GASTRONOMICO SAMKA S.A.C., DISTRITO PUNO, PROVINCIA PUNO, REGION PUNO.</t>
  </si>
  <si>
    <t>2717193</t>
  </si>
  <si>
    <t>0424</t>
  </si>
  <si>
    <t>2717193: AMPLIACION DE LA CAPACIDAD PRODUCCION DE QUESO PARIA  EN GRUPO NEBRASKA S.A.C. EN DISTRITO DE JULIACA PROVINCIA DE SAN ROMAN REGION PUNO</t>
  </si>
  <si>
    <t>2717178</t>
  </si>
  <si>
    <t>0413</t>
  </si>
  <si>
    <t>2717178: MEJORAMIENTO DEL CULTIVO DE HABAS EN CORPORACION PECUARIO AGRICOLA EMMANUEL S.A.C., DISTRITO DE ZEPITA, PROVINCIA DE CHUCUITO Y DEPARTAMENTO DE PUNO</t>
  </si>
  <si>
    <t>2717158</t>
  </si>
  <si>
    <t>0394</t>
  </si>
  <si>
    <t>2717158: MEJORAMIENTO DE LA PRODUCCION DE PACAS EN LA ASOCIACION DE PRODUCTORES AGROPECUARIOS Y FORESTALES SAN PEDRO DE FRAYLIMA, DISTRITO DE AZANGARO, PROVINCIA AZANGARO Y DEPARTAMENTO DE PUNO</t>
  </si>
  <si>
    <t>2717173</t>
  </si>
  <si>
    <t>0408</t>
  </si>
  <si>
    <t>2717173: MEJORAMIENTO DE LA PRODUCCION DE DERIVADOS DE QUINUA EN HARINA EXTRUIDA Y POP EXTRUIDO DE LA EMPRESA CORPORACION DALSAR SOCIEDAD ANONIMA CERRADA DEL DISTRITO DE PUNO, PROVINCIA PUNO, DEPARTAMENTO PUNO.</t>
  </si>
  <si>
    <t>2717189</t>
  </si>
  <si>
    <t>0421</t>
  </si>
  <si>
    <t>2717189: MEJORAMIENTO DE LA PRODUCCION DE YOGURT EN EL AEO AGROINDUSTRIA YOGULE S.A.C., DISTRITO DE CABANA, PROVINCIA SAN ROMAN, REGION PUNO</t>
  </si>
  <si>
    <t>2717151</t>
  </si>
  <si>
    <t>0387</t>
  </si>
  <si>
    <t>2717151: MEJORAMIENTO DE LA PRODUCCION DE LECHE FRESCA EN LA ASOCIACION DE PRODUCTORES AGROPECUARIOS SUMAC KANCHAY DE LA LIBERTAD NUNOA MELGAR PUNO, DISTRITO DE NUNOA, PROVINCIA DE MELGAR Y REGION PUNO</t>
  </si>
  <si>
    <t>2676440</t>
  </si>
  <si>
    <t>0378</t>
  </si>
  <si>
    <t>2676440: MEJORAMIENTO DE LA PRODUCCION Y LA PRODUCTIVIDAD DE QUESO TIPO PARIA PASTEURIZADO DE LA EMPRESA DE PRODUCCION AGROPECUARIA MICA ASUNCION SAC DEL, DISTRITO DE AZANGARO, PROVINCIA AZANGARO, DEPARTAMENTO PUNO.</t>
  </si>
  <si>
    <t>2717156</t>
  </si>
  <si>
    <t>0392</t>
  </si>
  <si>
    <t>2717156: MEJORAMIENTO DE LA PRODUCCION Y LA COMERCIALIZACION DE LECHE FRESCA EN LA ORGANIZACION DE PRODUCTORES SAN JUAN DE FAON DEL DISTRITO DE HUATA, PROVINCIA DE PUNO, DEPARTAMENTO DE PUNO.</t>
  </si>
  <si>
    <t>2717157</t>
  </si>
  <si>
    <t>0393</t>
  </si>
  <si>
    <t>2717157: MEJORAMIENTO DE LA PRODUCCION Y ENGORDE DE GANADO VACUNO  A  TRAVES DE LA OPTIMIZACION DE LA ALIMENTACION EN LA ASOCIACION DE PRODUCTORES AGROPECUARIOS EL TORITO BRAVO DEL DISTRITO DE QUILCAPUNCO, PROVINCIA DE SAN ANTONIO DE PUTINA, REGION PUNO.</t>
  </si>
  <si>
    <t>2717161</t>
  </si>
  <si>
    <t>0397</t>
  </si>
  <si>
    <t>2717161: MEJORAMIENTO DE LA CAPACIDAD DE TRANSFORMACION DE CHIPS DE PAPA NATIVA, EN LA AEO ASOCIACION DE PRODUCTORES MULTIPLES SAN ISIDRO DE TANTAMACO DEL DISTRITO DE MACUSANI, PROVINCIA DE CARABAYA, REGION DE PUNO</t>
  </si>
  <si>
    <t>2717169</t>
  </si>
  <si>
    <t>0404</t>
  </si>
  <si>
    <t>2717169: CREACION DE UNA PLANTA PROCESADORA DE QUINUA EN LA AEO ASOCIACION DE PRODUCTORES AGROPECUARIOS ROQUE APAZA PAMPA DEL DISTRITO DE PAUCARCOLLA, PROVINCIA DE PUNO, DEPARTAMENTO DE PUNO</t>
  </si>
  <si>
    <t>2717172</t>
  </si>
  <si>
    <t>0407</t>
  </si>
  <si>
    <t>2717172: MEJORAMIENTO DEL PROCESO DE PRODUCCION DE QUESO EN LA ASOCIACION DE PEQUENOS PRODUCTORES AGROPECUARIOS DE DERIVADOS LACTEOS SAN JOSE TATASQA, DISTRITO DE LAMPA, PROVINCIA DE LAMPA Y DEPARTAMENTO DE PUNO</t>
  </si>
  <si>
    <t>2717177</t>
  </si>
  <si>
    <t>0412</t>
  </si>
  <si>
    <t>2717177: MEJORAMIENTO TECNOLOGICO DE LA PRODUCCION Y COMPETITIVIDAD EN EL ENGORDE DE VACUNOS DE CARNE DE LA ASOCIACION DE PRODUCTORES AGROPECUARIOS Y OTROS GENERACION ACTIVA DE LA COMUNIDAD DE CHALLACOLLO, DISTRITO HUACULLANI, PROVINCIA CHUCUITO,REGION PUN</t>
  </si>
  <si>
    <t>2717188</t>
  </si>
  <si>
    <t>0420</t>
  </si>
  <si>
    <t>2717188: MEJORAMIENTO DE LA COMPETITIVIDAD DE LA PRODUCCION DE LECHE FRESCA EN LA COOPERATIVA AGROINDUSTRIAL SAGRADO CORAZON DE JESUS DE CCOTA  DISTRITO DE PLATERIA PROVINCIA DE PUNO  DEPARTAMENTO DE  PUNO</t>
  </si>
  <si>
    <t>2717192</t>
  </si>
  <si>
    <t>0423</t>
  </si>
  <si>
    <t>2717192: MEJORAMIENTO DE LA PRODUCCION Y PROCESAMIENTO DE CULTIVOS FORRAJEROS EN LA ASOCIACION DE PRODUCTORES AGROPECUARIOS ALIANZA RENOVADO CALLANCA, DISTRITO DE PLATERIA, PROVINCIA DE PUNO, DEPARTAMENTO DE PUNO</t>
  </si>
  <si>
    <t>2717194</t>
  </si>
  <si>
    <t>0425</t>
  </si>
  <si>
    <t>2717194: MEJORAMIENTO DEL CENTRO DE ENGORDE Y COMERCIALIZACION DE GANADO VACUNO EN LA ASOCIACION DE PRODUCTORES GANADERIA LA CANTUTA, DISTRITO DE VILQUE, PROVINCIA PUNO Y REGION PUNO</t>
  </si>
  <si>
    <t>2612522</t>
  </si>
  <si>
    <t>0351</t>
  </si>
  <si>
    <t>2612522: MEJORAMIENTO DE LA PRODUCCION Y TRANSFORMACION DE QUESOS EN LA ASOCIACION DE PRODUCTORES LACTI SUR DE HUAPACA SANTIAGO DEL DISTRITO DE POMATA, PROVINCIA DE CHUCUITO Y DEPARTAMENTO DE PUN</t>
  </si>
  <si>
    <t>2612541</t>
  </si>
  <si>
    <t>0352</t>
  </si>
  <si>
    <t>2612541: MEJORAMIENTO DE LA PRODUCCION Y COMERCIALIZACION DE DERIVADOS LACTEOS EN LA ASOCIACION DE PRODUCTORES AGROPECUARIOS EMPRENDEDORES LOS CLAVELES DE SAN SALVADOR HUATASANI, DEL DISTRITO DE HUATASANI, PROVINCIA DE HUANCANE Y REGION DE PUNO</t>
  </si>
  <si>
    <t>2680578</t>
  </si>
  <si>
    <t>0353</t>
  </si>
  <si>
    <t>2680578: MEJORAMIENTO DEL PROCESO Y CALIDAD DEL QUESO TIPO PARIA DE LA ASOCIACION LACTEOS LIKHA QUINSACHATA SOCIEDAD COMERCIAL DE RESPONSABILIDAD LIMITADA, DISTRITO CABANILLA, PROVINCIA LAMPA, REGION PUNO.</t>
  </si>
  <si>
    <t>2676418</t>
  </si>
  <si>
    <t>0354</t>
  </si>
  <si>
    <t>2676418: MEJORAMIENTO DE UNA PLANTA PROCESADORA DE LECHE PARA LA ELABORACION DE QUESOS FRESCOS TIPO PARIA DE LA ASOCIACION DE PRODUCTORES AGROPECUARIOS VILLA ACASSO APROAVA, DISTRITO DE PILCUYO, PROVINCIA DE EL COLLAO, REGION DE PUNO</t>
  </si>
  <si>
    <t>2681120</t>
  </si>
  <si>
    <t>0355</t>
  </si>
  <si>
    <t>2681120: MEJORAMIENTO TECNOLOGICO DEL VALOR AGREGADO DE HABAS EN LA ASOCIACION DE PRODUCTORES AGRARIOS Y PECUARIOS NUEVO PROGRESO TAUCAMAYA, DISTRITO DE COPANI, PROVINCIA DE YUNGUYO, REGION PUNO.</t>
  </si>
  <si>
    <t>2676423</t>
  </si>
  <si>
    <t>0357</t>
  </si>
  <si>
    <t>2676423: MEJORAMIENTO EN LA PRODUCCION DE QUESOS TIPO PARIA EN LA ASOCIACION DE PRODUCTORES DE LECHE Y SUS DERIVADOS PIAS MILAN DE LA COMUNIDAD DE HUAYTA, DISTRITO DE LAMPA, PROVINCIA DE LAMPA DEL DEPARTAMENTO DE PUNO.</t>
  </si>
  <si>
    <t>2676424</t>
  </si>
  <si>
    <t>0358</t>
  </si>
  <si>
    <t>2676424: MEJORAMIENTO DE LA PLANTA PROCESADORA DE CAFE PARA LA ELABORACION DE CAFE TOSTADO MOLIDO DE LA COOPERATIVA AGRARIA CAFETALERA SAN IGNACIO LTDA., DISTRITO DE SAN PEDRO DE PUTINA PUNCO, PROVINCIA DE SANDIA, REGION DE PUNO</t>
  </si>
  <si>
    <t>2681121</t>
  </si>
  <si>
    <t>0359</t>
  </si>
  <si>
    <t>2681121: MEJORAMIENTO DE LA PRODUCCION DE PRENDAS DE ARTESANIA TEXTIL EN LA ASOCIACION DE PRODUCTORES RITA POMA DEL TAWANTINSUYO PUNO, DISTRITO PUNO, PROVINCIA PUNO Y REGION PUNO</t>
  </si>
  <si>
    <t>2676426</t>
  </si>
  <si>
    <t>0360</t>
  </si>
  <si>
    <t>2676426: MEJORAMIENTO DE LA PRODUCTIVIDAD Y GENERACION DE VALOR AGREGADO DEL GRANO DE QUINUA PARA SU COMERCIALIZACION EN LA ASOCIACION DE PRODUCTORES AGROPECUARIOS AGROINDUSTRIALES KAPIA DEL DISTRITO DE YUNGUYO, PROVINCIA DE YUNGUYO, DEPARTAMENTO DE PUNO.</t>
  </si>
  <si>
    <t>2676427</t>
  </si>
  <si>
    <t>0361</t>
  </si>
  <si>
    <t>2676427: MEJORAMIENTO DE LA PRODUCCION DE LECHE FRESCA EN LA ASOCIACION DE PRODUCTORES AGROPECUARIOS, AGROINDUSTRIALES, ARTESANALES CCACCALLACTA AMPATUIRE ORURILLO, DISTRITO ORURILLO, PROVINCIA MELGAR, REGION PUNO</t>
  </si>
  <si>
    <t>2676430</t>
  </si>
  <si>
    <t>0362</t>
  </si>
  <si>
    <t>2676430: MEJORAMIENTO DEL PROCESO DE PANIFICACION DE GRANOS ANDINOS EN LA ASOCIACION DE PRODUCTORES AGROPECUARIOS AGROINDUSTRIALES Y SERVICIOS MULTIPLES JC3 APAASM JC3 EN EL DISTRITO DE ILAVE PROVINCIA EL COLLAO REGION PUNO</t>
  </si>
  <si>
    <t>2676431</t>
  </si>
  <si>
    <t>0363</t>
  </si>
  <si>
    <t>2676431: MEJORAMIENTO DE LA PRODUCCION TEXTIL DE FIBRA DE ALPACA EN LA ASOCIACION DE PRODUCTORES AGROPECUARIOS AGROINDUSTRIALES Y ARTESANOS HUAYLLAPUJO, DISTRITO DE SANTA ROSA, PROVINCIA DE EL COLLAO, REGION PUNO</t>
  </si>
  <si>
    <t>2676432</t>
  </si>
  <si>
    <t>0364</t>
  </si>
  <si>
    <t>2676432: CREACION DE LA PLANTA DE PROCESO DE ELABORACION DE PAN DE QUINUA DE LA ASOCIACION DE TRANSFORMADORES DE GRANOS ANDINOS EN PANADERIA Y PASTELERIA ARTESANAL EL SOL DE LAMPA, DEL DISTRITO DE LAMPA, PROVINCIA DE LAMPA, REGION PUNO.</t>
  </si>
  <si>
    <t>2681125</t>
  </si>
  <si>
    <t>0365</t>
  </si>
  <si>
    <t>2681125: MEJORAMIENTO DE LA PRODUCTIVIDAD Y CALIDAD DE LECHE FRESCA EN LA ASOCIACION DE PRODUCTORES AGROPECUARIOS DE GANADO VACUNO LECHERO ARTESANAL KANCHAQ WASI DE COMUNIDAD COLCA ATUNCOLLA, DISTRITO DE ATUNCOLLA, PROVINCIA DE PUNO, REGION PUNO</t>
  </si>
  <si>
    <t>2681128</t>
  </si>
  <si>
    <t>0366</t>
  </si>
  <si>
    <t>2681128: MEJORAMIENTO DE LA PRODUCCION DE QUESOS TIPO PARIA DE LA ASOCIACION DE PRODUCTORES ORGANICOS AGROPECUARIOS Y AGROINDUSTRIALES LA LIBERTAD NUNOA, DISTRITO DE NUNOA, PROVINCIA DE MELGAR, REGION PUNO</t>
  </si>
  <si>
    <t>2681129</t>
  </si>
  <si>
    <t>0367</t>
  </si>
  <si>
    <t>2681129: CREACION DE UN TALLER TEXTIL PARA LA ELABORACION DE PRENDAS DE VESTIR Y ARTICULOS DE FIBRA DE ALPACA, DE LA ASOCIACION 24 DE JUNIO CHAJANA EN EL DISTRITO DE COJATA, PROVINCIA DE HUANCANE, DEPARTAMENTO DE PUNO</t>
  </si>
  <si>
    <t>2676435</t>
  </si>
  <si>
    <t>0369</t>
  </si>
  <si>
    <t>2676435: MEJORAMIENTO DEL PROCESO DE ENGORDE Y COMERCIALIZACION DE GANADO VACUNO EN LA ASOCIACION DE PRODUCTORES AGROPECUARIOS STMA. TRINIDAD DE CCACCAPUNCO EN EL DISTRITO DE VILQUE, PROVINCIA PUNO Y REGION PUNO</t>
  </si>
  <si>
    <t>2676436</t>
  </si>
  <si>
    <t>0370</t>
  </si>
  <si>
    <t>2676436: AMPLIACION DE LA PLANTA PROCESADORA DE LECHE PARA LA ELABORACION DE QUESOS DE LA ASOCIACION DE PRODUCTORES DE LECHE Y DERIVADOS LACTEOS VIRGEN DE ASUNCION ROSASPATA, DISTRITO DE ROSASPATA, PROVINCIA DE HUANCANE, REGION PUNO</t>
  </si>
  <si>
    <t>2681276</t>
  </si>
  <si>
    <t>0371</t>
  </si>
  <si>
    <t>2681276: MEJORAMIENTO EN LA CAPACIDAD TECNICA DE PRODUCCION DE PRENDAS DE TEXTIL DE TEJIDO A MANO DE ALTO RELIEVE DE FIBRA DE ALPACA DE LA ASOCIACION DE MUJERES ARTESANAS VIRGEN DE CANDELARIA PICHACANI QUIRINE DISTRITO MACARI, PROVINCIA MELGAR, REGION PUNO</t>
  </si>
  <si>
    <t>2681132</t>
  </si>
  <si>
    <t>0372</t>
  </si>
  <si>
    <t>2681132: MEJORAMIENTO DE LA CAPACIDAD PRODUCTIVA DE CAFE TOSTADO Y MOLIDO EN LA COOPERATIVA AGRARIA EN INNOVACION TECNOLOGICA MONTANA AZUL LIMITADA, DISTRITO DE SAN PEDRO DE PUTINA PUNCO, PROVINCIA DE SANDIA, REGION PUNO.</t>
  </si>
  <si>
    <t>2676433</t>
  </si>
  <si>
    <t>0376</t>
  </si>
  <si>
    <t>2676433: MEJORAMIENTO DE LA CAPACIDAD PRODUCTIVA DE PRENDAS A BASE DE FIBRA DE ALPACA DE LA EMPRESA JOMATEX SRL, DISTRITO JULIACA, PROVINCIA SAN ROMAN, REGION PUNO.</t>
  </si>
  <si>
    <t>2717148</t>
  </si>
  <si>
    <t>0384</t>
  </si>
  <si>
    <t>2717148: MEJORAMIENTO DE LA PRODUCCION DE LECHE FRESCA EN LA ASOCIACION DE PRODUCTORES AGROPECUARIOS FORUNTANI SAMAN, DISTRITO DE SAMAN, PROVINCIA DE AZANGARO Y REGION DE PUNO</t>
  </si>
  <si>
    <t>2717149</t>
  </si>
  <si>
    <t>0385</t>
  </si>
  <si>
    <t>2717149: MEJORAMIENTO EN LA PRODUCCION DE HILOS ARTESANALES DE LA ASOCIACION DE PRODUCTORES DE CAMELIDOS SUDAMERICANOS, ARTESANAL Y AGRICOLA TIKARIY PAMPA DEL DIST,  DISTRITO MACUSANI, PROVINCIA CARABAYA, REGION PUNO</t>
  </si>
  <si>
    <t>2717152</t>
  </si>
  <si>
    <t>0388</t>
  </si>
  <si>
    <t>2717152: MEJORAMIENTO DE LA PRODUCCION DE LECHE EN LA ASOCIACION DE PRODUCTORES AGROPECUARIOS LUZ Y VIDA DE LA COMUNIDAD DE NAUPAPAMPA DE DISTRITO DE ASILLO, PROVINCIA DE AZANGARO, REGION PUNO.</t>
  </si>
  <si>
    <t>2717153</t>
  </si>
  <si>
    <t>0389</t>
  </si>
  <si>
    <t>2717153: MEJORAMIENTO Y AMPLIACION DE LA PRODUCCION Y COMERCIALIZACION DE CAFE TOSTADO MOLIDO Y FILTRANTE DE LA COOPERATIVA AGRARIA CAFETALERA SAN JORGE LTDA., DISTRITO DE SAN PEDRO DE PUTINA PUNCO, PROVINCIA DE SANDIA, REGION DE PUNO</t>
  </si>
  <si>
    <t>2717154</t>
  </si>
  <si>
    <t>0390</t>
  </si>
  <si>
    <t>2717154: MEJORAMIENTO DE LA CAPACIDAD PRODUCTIVA  DE QUESO PARIA PASTEURIZADO EN LA ASOCIACION DE PRODUCTORES AGROPECUARIOS  VIRGEN DEL CARMEN BALSAPATA, DISTRITO ORURILLO, PROVINCIA MELGAR, REGION PUNO</t>
  </si>
  <si>
    <t>2717155</t>
  </si>
  <si>
    <t>0391</t>
  </si>
  <si>
    <t>2717155: MEJORAMIENTO DE LA PRODUCCION DE LECHE FRESCA EN LA ASOCIACION DE PRODUCTORES AGROPECUARIOS Y AGROINDUSTRIALES SAN JUAN DE LA PROVINCIA DE MELGAR PUNO DE DISTRITO DE ORURILLO, PROVINCIA DE MELGAR, REGION PUNO.</t>
  </si>
  <si>
    <t>2717159</t>
  </si>
  <si>
    <t>0395</t>
  </si>
  <si>
    <t>2717159: MEJORAMIENTO DEL PROCESO DE PRODUCCION DE QUESO PARIA DE LA ASOCIACION DE PRODUCTORES AGROPECUARIOS DE DERIVADOS LACTEOS VILLA ORURILLO EN EL DISTRITO DE ORURILLO, PROVINCIA DE MELGAR, REGION DE PUNO.</t>
  </si>
  <si>
    <t>2717160</t>
  </si>
  <si>
    <t>0396</t>
  </si>
  <si>
    <t>2717160: MEJORAMIENTO DEL SISTEMA PRODUCTIVO DEL CULTIVO DE QUINUA EN LA ASOCIACION AGROPECUARIA ECOLOGICA SURPERU, DISTRITO DE PILCUYO, PROVINCIA DE EL COLLAO REGION PUNO</t>
  </si>
  <si>
    <t>2717162</t>
  </si>
  <si>
    <t>0398</t>
  </si>
  <si>
    <t>2717162: MEJORAMIENTO DE PRODUCCION DE LECHE FRESCA EN LA ASOCIACION DE PRODUCTORES VILLA PALCA, DISTRITO DE PAUCARCOLLA, PROVINCIA DE PUNO Y DEPARTAMENTO DE PUNO</t>
  </si>
  <si>
    <t>2717165</t>
  </si>
  <si>
    <t>0400</t>
  </si>
  <si>
    <t>2717165: AMPLIACION DE LA CAPACIDAD PRODUCTIVA DE QUESO PARIA EN LA ASOCIACION DE EMPRENDEDORES RURALES CORIFLOR COMUNIDAD LICAS ACHAYA, EN EL DISTRITO DE ACHAYA, PROVINCIA DE AZANGARO, REGION PUNO</t>
  </si>
  <si>
    <t>2717166</t>
  </si>
  <si>
    <t>0401</t>
  </si>
  <si>
    <t>2717166: MEJORAMIENTO DE LA PRODUCCION Y COMERCIALIZACION DE LECHE FRESCA CON INNOVACION TECNOLOGIA EN LA ASOCIACION DE PRODUCTORES AGROPECUARIOS Y CRIADORES DE OVINO BELLON DE ORO DEL DISTRITO DE AZANGARO, PROVINCIA DE AZANGARO, REGION PUNO</t>
  </si>
  <si>
    <t>2717167</t>
  </si>
  <si>
    <t>0402</t>
  </si>
  <si>
    <t>2717167: MEJORAMIENTO DEL CULTIVO DE HABAS EN LA ASOCIACION DE PRODUCTORES AGROPECUARIOS VALLECITO SECTOR CCORCORI, DEL DISTRITO DE COPANI, PROVINCIA DE YUNGUYO, REGION PUNO</t>
  </si>
  <si>
    <t>2717168</t>
  </si>
  <si>
    <t>0403</t>
  </si>
  <si>
    <t>2717168: MEJORAMIENTO DEL PROCESO DE PRODUCCION DE LECHE FRESCA DE LA ASOCIACION DE PRODUCTORES AGROPECUARIOS CORANI  CUPI APAC DEL DISTRITO DE CUPI, PROVINCIA DE MELGAR, REGION DE PUNO</t>
  </si>
  <si>
    <t>2717170</t>
  </si>
  <si>
    <t>0405</t>
  </si>
  <si>
    <t>2717170: MEJORAMIENTO DE LA PRODUCCION DE LECHE EN LA ASOCIACION DE PRODUCTORES AGROPECUARIOS Y ARTESANIA TOTORUMA PAMPA  LLAQUEPA, DEL DISTRITO DE POMATA, PROVINCIA DE CHUCUITO, DEPARTAMENTO DE PUNO.</t>
  </si>
  <si>
    <t>2717171</t>
  </si>
  <si>
    <t>0406</t>
  </si>
  <si>
    <t>2717171: MEJORAMIENTO DE LA PRODUCCION DE LECHE DE LA ASOCIACION DE PRODUCTORES AGROPECUARIOS SANTA ANA HUAYTA, DEL DISTRITO DE LAMPA, PROVINCIA DE LAMPA, DEPARTAMENTO DE PUNO</t>
  </si>
  <si>
    <t>2717174</t>
  </si>
  <si>
    <t>0409</t>
  </si>
  <si>
    <t>2717174: MEJORAMIENTO DEL ENGORDE DE GANADO VACUNO EN EL AEO ASOCIACION CAMPO VERDE TOTORALES ENGORDE AGRO Y AGROPECUARIO, DISTRITO DE ILAVE, PROVINCIA EL COLLAO, REGION PUNO</t>
  </si>
  <si>
    <t>2717176</t>
  </si>
  <si>
    <t>0411</t>
  </si>
  <si>
    <t>2717176: AMPLIACION DE LA CAPACIDAD PRODUCTIVA DE QUESOS PARIA DE LA ASOCIACION DE PRODUCTORES AGROPECUARIOS NUEVO AMANECER ALAYTIRA VILLA ORURILO, DISTRITO DE ORURILLO, PROVINCIA DE MELGAR, REGION PUNO.</t>
  </si>
  <si>
    <t>2717179</t>
  </si>
  <si>
    <t>0414</t>
  </si>
  <si>
    <t>2717179: MEJORAMIENTO DE LA PRODUCCION Y CALIDAD DE LECHE FRESCA EN LA ASOCIACION DE PRODUCTORES DE LECHE MOYANDINA, AYAVIRI, PUNO 2 DEL DISTRITO DE AYAVIRI, MELGAR, PUNO</t>
  </si>
  <si>
    <t>2717180</t>
  </si>
  <si>
    <t>0415</t>
  </si>
  <si>
    <t>2717180: MEJORAMIENTO DE LA PRODUCCION DE LECHE EN LA ASOCIACION DE PRODUCTORES AGROPECUARIOS E INDUSTRIALES ARACACHI JAHUERJALAC KELLUYO, DISTRITO DE KELLUYO, PROVINCIA DE CHUCUITO, REGION PUNO</t>
  </si>
  <si>
    <t>2717184</t>
  </si>
  <si>
    <t>0416</t>
  </si>
  <si>
    <t>2717184: MEJORAMIENTO DE LA PRODUCCION Y PRODUCTIVIDAD DE LA QUINUA EN LA ASOCIACION DE PRODUCTORES AGROPECUARIOS LA ESTANCIA SUMA MARKA, DISTRITO DE ACORA, PROVINCIA PUNO, REGION PUNO</t>
  </si>
  <si>
    <t>2717187</t>
  </si>
  <si>
    <t>0419</t>
  </si>
  <si>
    <t>2717187: MEJORAMIENTO DE LA PRODUCCION DE VACUNOS DE ENGORDE MEDIANTE TECNOLOGIAS SOSTENIBLES EN LA ASOCIACION DE EMPRENDEDORES AGROPECUARIOS TIERRA SANTA ROSASPATA DEL DISTRITO DE ROSASPATA, PROVINCIA DE HUANCANE, REGION PUNO</t>
  </si>
  <si>
    <t>2717190</t>
  </si>
  <si>
    <t>0422</t>
  </si>
  <si>
    <t>2717190: MEJORAMIENTO DE LA PRODUCCION DE QUESO TIPO PARIA EN LA ASOCIACION DE PRODUCTORES DE LECHE Y DERIVADOS LACTEOS RIDANI LLINQUICHUPA , DISTRITO DE LAMPA, PROVINCIA DE LAMPA Y DEPARTAMENTO DE PUNO</t>
  </si>
  <si>
    <t>2717191</t>
  </si>
  <si>
    <t>0426</t>
  </si>
  <si>
    <t>2717191: MEJORAMIENTO DE LA PRODUCTIVIDAD DE LECHE FRESCA EN LA ASOCIACION DE PRODUCTORES AGROPECUARIOS ESQUERICA DEL DISTRITO DE ROSASPATA, PROVINCIA DE HUANCANE, REGION PUNO</t>
  </si>
  <si>
    <t>2717181</t>
  </si>
  <si>
    <t>0478</t>
  </si>
  <si>
    <t>2717181: MEJORAMIENTO DE VACUNO EN PIE EN LA ASOCIACION DE PRODUCTORES AGROPECUARIOS FLORES ANDINOS ANCCACCA PICHACANI, LARAQUERI, DISTRITO PICHACANI, PROVINCIA PUNO Y DEPARTAMENTO PUNO</t>
  </si>
  <si>
    <t>2326588</t>
  </si>
  <si>
    <t>0487</t>
  </si>
  <si>
    <t>2326588: MEJORAMIENTO DE LOS SERVICIOS DE APOYO A LA CADENA PRODUCTIVA DE CAFÉS ESPECIALES EN LOS DISTRITOS DE COASA, ITUATA, OLLACHEA, USICAYOS, LIMBANI, PATAMBUCO Y PHARA DE LAS PROVINCIAS DE CARABAYA Y SANDIA - REGIÓN PUNO</t>
  </si>
  <si>
    <t>2681133</t>
  </si>
  <si>
    <t>0526</t>
  </si>
  <si>
    <t>2681133: MEJORAMIENTO DE LA PRODUCCION DE QUESOS TIPO PARIA PASTEURIZADO DE LA CENTRAL DE ASOCIACIONES GANADEROS LECHEROS Y AGRARIOS DEL DISTRITO DE VILQUE, DISTRITO DE VILQUE, PROVINCIA DE PUNO, REGION PUNO</t>
  </si>
  <si>
    <t>11. PESCA</t>
  </si>
  <si>
    <t>2681278</t>
  </si>
  <si>
    <t>0368</t>
  </si>
  <si>
    <t>2681278: MEJORAMIENTO DEL PROCESO DE PRODUCCION DE SELECCIONADOR DE TRUCHAS EN MAQUINARIAS ACUITROUT SOCIEDAD COMERCIAL DE RESPONSABILIDAD DE LA COMUNIDAD DE KOLLPAJAHUIRA, DISTRITO DE JULI, PROVINCIA DE CHUCUITO, DEPARTAMENTO DE PUNO</t>
  </si>
  <si>
    <t>2681123</t>
  </si>
  <si>
    <t>0375</t>
  </si>
  <si>
    <t>2681123: MEJORAMIENTO EN EL PROCESO DE VALOR AGREGADO DE TRUCHAS EN LA EMPRESA AMERICAN TROUT FARO S.R.L. EN EL DISTRITO DE POMATA, PROVINCIA DE CHUCUITO Y DEPARTAMENTO DE PUNO.</t>
  </si>
  <si>
    <t>2717185</t>
  </si>
  <si>
    <t>0417</t>
  </si>
  <si>
    <t>2717185: MEJORAMIENTO DE VALOR AGREGADO DE LA TRUCHA EN AQUA INDUSTRIAS EL FARO SOCIEDAD COMERCIAL DE RESPONSABILIDAD LIMITADA, DISTRITO DE POMATA, PROVINCIA DE CHUCUITO Y DEPARTAMENTO DE PUNO</t>
  </si>
  <si>
    <t>2723300</t>
  </si>
  <si>
    <t>0474</t>
  </si>
  <si>
    <t>2723300: MEJORAMIENTO DE LA PRODUCCION Y TRANSFORMACION DE FILETE DE TRUCHA DE LA EMPRESA TITIKAKA TROUT PERU SOCIEDAD COMERCIAL DE RESPONSABILIDAD LIMITADA DEL DISTRITO DE POMATA, PROVINCIA DE CHUCUITO, REGION PUNO</t>
  </si>
  <si>
    <t>14. INDUSTRIA</t>
  </si>
  <si>
    <t>2676422</t>
  </si>
  <si>
    <t>0356</t>
  </si>
  <si>
    <t>2676422: MEJORAMIENTO DE LA COMPETITIVIDAD PRODUCTIVA DE LA CERAMICA TRADICIONAL DE CHECCA PUPUJA EN LA ASOCIACION CERAMICA TRADICIONAL ANCESTRAL CHACCA PUPUJA, DISTRITO DE JOSE DOMINGO CHOQUEHUANCA, PROVINCIA DE AZANGARO, REGION PUNO.</t>
  </si>
  <si>
    <t>2681274</t>
  </si>
  <si>
    <t>0374</t>
  </si>
  <si>
    <t>2681274: MEJORAMIENTO DEL PROCESO DE PRODUCCION DE ARTICULOS MECANICOS EN LA CORPORACION MARSAD S.A.C. DEL DISTRITO DE PUNO, PROVINCIA DE PUNO, REGION DE PUNO</t>
  </si>
  <si>
    <t>2681130</t>
  </si>
  <si>
    <t>0377</t>
  </si>
  <si>
    <t>2681130: MEJORAMIENTO DE LA PRODUCCION DEL ENVASADO DE AGUA DE MESA DE LA EMPRESA GRUPO ANCCASI SOCIEDAD ANONIMA CERRADA DEL DISTRITO DE CORANI, PROVINCIA CARABAYA, DEPARTAMENTO PUNO</t>
  </si>
  <si>
    <t>2717150</t>
  </si>
  <si>
    <t>0386</t>
  </si>
  <si>
    <t>2717150: MEJORAMIENTO DEL PROCESO PRODUCTIVO Y EL VALOR CULTURAL DE LAS CERAMICAS DE LA ASOCIACION DE ARTESANOS PRODUCTORES MUSUQ PAQARIY PUKARA, DEL DISTRITO DE PUCARA, PROVINCIA DE LAMPA, DEPARTAMENTO DE PUNO</t>
  </si>
  <si>
    <t>2723295</t>
  </si>
  <si>
    <t>0473</t>
  </si>
  <si>
    <t>2723295: MEJORAMIENTO DE LA PRODUCCION Y COMERCIALIZACION DE QUESOS TIPO PARIA DE LA ASOCIACION AGROINDUSTRIAL YURAQ WASI DE LA COMUNIDAD CAMPESINA PRIMER JILAHUATA, DISTRITO DE AZANGARO, PROVINCIA DE AZANGARO, REGION PUNO</t>
  </si>
  <si>
    <t>2723301</t>
  </si>
  <si>
    <t>0476</t>
  </si>
  <si>
    <t>2723301: MEJORAMIENTO DE LA TRANSFORMACION Y COMERCIALIZACION DE HILOS Y PRENDAS DE TONOS Y TENIDOS NATURALES DE FIBRA DE ALPACA EN LA ASOCIACION DE ARTESANAS KISWAR TIKA, DISTRITO DE OCUVIRI, PROVINCIA LAMPA, REGION PUNO</t>
  </si>
  <si>
    <t>2723299</t>
  </si>
  <si>
    <t>0477</t>
  </si>
  <si>
    <t>2723299: MEJORAMIENTO DE LA CAPACIDAD PRODUCTIVA DE HELADOS ARTESANALES A BASE DE GRANOS ANDINOS DEL GRUPO DE PRODUCTORES, COMERCIALIZACION Y TRANSFORMACION DE CEREALES ANDINOS SAN SANTIAGO S.A.C., DEL DISTRITO DE PUNO, PROVINCIA DE PUNO, REGION DE PUNO.</t>
  </si>
  <si>
    <t>GERENCIA REGIONAL DE RECURSOS NATURALES Y GESTION AMBIENTAL</t>
  </si>
  <si>
    <t>05. ORDEN PUBLICO Y SEGURIDAD</t>
  </si>
  <si>
    <t>2183634</t>
  </si>
  <si>
    <t>0004</t>
  </si>
  <si>
    <t>2183634: MEJORAMIENTO DE LA DEFENSA RIBEREÑA EN LAS MARGENES DERECHA E IZQUIERDA DEL RIO RAMIS EN LOS TRAMOS DE SACASCO, COLLANA, CHACAMARCA, PATASCACHI, YANAOCO, TUNI GRANDE, RAMIS Y BALSAPATA DE LAS PROVINCIAS DE HUANCANE Y AZANGARO - REGION PUNO</t>
  </si>
  <si>
    <t>GRAA - EJECUCION</t>
  </si>
  <si>
    <t>2532916</t>
  </si>
  <si>
    <t>0006</t>
  </si>
  <si>
    <t>2532916: CREACION DEL SERVICIO DE PROTECCIÓN EN RIBERAS DEL RÍO LORIPONGO Y MOLLA AMBOS MÁRGENES VULNERABLES ANTE EL PELIGRO DE INUNDACIÓN EN LA LOCALIDAD DE LARAQUERI Y CENTRO POBLADO DE HUARIJUYO DEL DISTRITO DE PICHACANI - PROVINCIA DE PUNO - DEPARTAMENTO DE PUNO</t>
  </si>
  <si>
    <t>Está programado en el PMI 2026 · Tiene monto en el PMI 2027 (S/ 2,915,452)</t>
  </si>
  <si>
    <t>2520451</t>
  </si>
  <si>
    <t>0303</t>
  </si>
  <si>
    <t>2520451: CREACION DEL SERVICIO DE PROTECCION EN RIBERAS DEL RIO QUELLOMAYO MARGEN DERECHO VULNERABLES ANTE EL PELIGRO DE INUNDACION EN LA LOCALIDAD DE SAN GABAN, DEL DISTRITO DE SAN GABAN - PROVINCIA DE CARABAYA - DEPARTAMENTO DE PUNO</t>
  </si>
  <si>
    <t>2474102</t>
  </si>
  <si>
    <t>0005</t>
  </si>
  <si>
    <t>2474102: MEJORAMIENTO DEL SERVICIO DE PROTECCIÓN FRENTE A TORMENTAS ELÉCTRICAS EN 4 PROVINCIAS DEL DEPARTAMENTO DE PUNO</t>
  </si>
  <si>
    <t>Personal/bienes/servicios / Contrata / Equipamiento / Expediente técnico</t>
  </si>
  <si>
    <t>2533866</t>
  </si>
  <si>
    <t>0007</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</si>
  <si>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</si>
  <si>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2250970</t>
  </si>
  <si>
    <t>0152</t>
  </si>
  <si>
    <t>2250970: MEJORAMIENTO DEL SERVICIO DE CONSERVACION DE LA DIVERSIDAD BIOLOGICA EN SELVA VERDE, SAN GABAN, PUNTA PERDIDA, COTACUCHO, PUNO, JUCUMARINI, CUSHINI, RIO CONDOR, RIO TAVARA, Y PACO PACUNI, DISTRITOS DE AYAPATA, SAN GABAN, SANTA ROSA, VILQUE CHICO-PUNO</t>
  </si>
  <si>
    <t>2631070</t>
  </si>
  <si>
    <t>0154</t>
  </si>
  <si>
    <t>2631070: RECUPERACION DE LOS SERVICIOS ECOSISTÉMICOS  EN 19 UNIDADES PRODUCTORAS  19 DISTRITOS  DE 13 PROVINCIAS DEL DEPARTAMENTO DE PUNO</t>
  </si>
  <si>
    <t>2549395</t>
  </si>
  <si>
    <t>0250</t>
  </si>
  <si>
    <t>2549395: RECUPERACION DE ECOSISTEMAS DEGRADADOS EN LAS UNIDADES HIDROGRAFICAS:  LLALLIMAYO DE LA UH 018 PUCARA  Y UH 019 AZANGARO, DE LA CUENCA RAMIS DEL DEPARTAMENTO DE PUNO, REGION PUNO 5 PROVINCIAS DEL DEPARTAMENTO DE PUNO</t>
  </si>
  <si>
    <t>2026-09-24</t>
  </si>
  <si>
    <t>2566295</t>
  </si>
  <si>
    <t>0253</t>
  </si>
  <si>
    <t>2566295: RECUPERACION DE ECOSISTEMAS DEGRADADOS EN ZONAS ALTO ANDINAS EN CABECERA DE CUENCA DE LAS UH0172, UH0178 Y UH0171 CUENCA SUCHES EN 4 PROVINCIAS DEL DEPARTAMENTO DE PUNO</t>
  </si>
  <si>
    <t>2260735</t>
  </si>
  <si>
    <t>0465</t>
  </si>
  <si>
    <t>2260735: MEJORAMIENTO DE LA GESTION INTEGRADA DE LOS RECURSOS HIDRICOS EN CUENCAS DE LA REGION PUNO</t>
  </si>
  <si>
    <t>Avance financiero acumulado 101% (&gt; 90%)</t>
  </si>
  <si>
    <t>2684838</t>
  </si>
  <si>
    <t>0471</t>
  </si>
  <si>
    <t>2684838: MEJORAMIENTO Y AMPLIACION DEL SERVICIO DE LIMPIEZA PÚBLICA EN 7 UNIDADES PRODUCTORAS  7 DISTRITOS  DE LA PROVINCIA DE MELGAR DEL DEPARTAMENTO DE PUNO</t>
  </si>
  <si>
    <t>PROYECTO ESPECIAL TRUCHAS TITICACA - PETT</t>
  </si>
  <si>
    <t>2324613</t>
  </si>
  <si>
    <t>0059</t>
  </si>
  <si>
    <t>2324613: MEJORAMIENTO DE LAS CAPACIDADES TECNOLÓGICAS EN EL MANEJO DE CADENA PRODUCTIVA DE TRUCHA EN LA REGIÓN PUNO</t>
  </si>
  <si>
    <t>Personal/bienes/servicios / Contrata</t>
  </si>
  <si>
    <t>PETT - EJECUCION</t>
  </si>
  <si>
    <t>2603148</t>
  </si>
  <si>
    <t>0060</t>
  </si>
  <si>
    <t>2603148: MEJORAMIENTO DE LOS SERVICIOS DE APOYO AL DESARROLLO PRODUCTIVO EN 19 UNIDADES PRODUCTORAS 19 DISTRITOS DE 7 PROVINCIAS DEL DEPARTAMENTO DE PUNO</t>
  </si>
  <si>
    <t>Administración directa / Personal/bienes/servicios / Contrata / Equipamiento</t>
  </si>
  <si>
    <t>2603160</t>
  </si>
  <si>
    <t>0061</t>
  </si>
  <si>
    <t>2603160: MEJORAMIENTO DE LOS SERVICIOS DE APOYO AL DESARROLLO PRODUCTIVO EN 4 UNIDADES PRODUCTORAS  4 DISTRITOS  DE LAS PROVINCIAS DE SANDIA, CARABAYA DEL DEPARTAMENTO DE PUNO</t>
  </si>
  <si>
    <t>PROYECTO ESPECIAL CAMELIDOS SUDAMERICANOS</t>
  </si>
  <si>
    <t>2187217</t>
  </si>
  <si>
    <t>0218</t>
  </si>
  <si>
    <t>2187217: MEJORAMIENTO DE LA CADENA DE VALOR DE LA FIBRA DE ALPACA EN LA REGION PUNO</t>
  </si>
  <si>
    <t>PECSA - EJECUCION</t>
  </si>
  <si>
    <t>2603155</t>
  </si>
  <si>
    <t>0264</t>
  </si>
  <si>
    <t>2603155: MEJORAMIENTO DE LOS SERVICIOS DE APOYO AL DESARROLLO PRODUCTIVO EN 37 UNIDADES PRODUCTORAS 37 DISTRITOS DE 11 PROVINCIAS DEL DEPARTAMENTO DE PUNO</t>
  </si>
  <si>
    <t>Personal/bienes/servicios / Contrata / Equipamiento</t>
  </si>
  <si>
    <t>GERENCIA REGIONAL DE DESARROLLO SOCIAL</t>
  </si>
  <si>
    <t>2154443</t>
  </si>
  <si>
    <t>0195</t>
  </si>
  <si>
    <t>2154443: MEJORAMIENTO DEL ESTADO NUTRICIONAL DEL NIÑO MENOR DE TRES AÑOS Y LA MADRE GESTANTE EN LAS PROVINCIAS DE AZANGARO, LAMPA Y SAN ROMAN DE LA REGION PUNO</t>
  </si>
  <si>
    <t>2025-09-24</t>
  </si>
  <si>
    <t>2159149</t>
  </si>
  <si>
    <t>0196</t>
  </si>
  <si>
    <t>2159149: MEJORAMIENTO DE LAS CAPACIDADES PARA PREVENIR LA DESNUTRICION CRONICA, EN MENORES DE 3 AÑOS EN LAS PROVINCIAS DE CARABAYA, MELGAR Y SANDIA DE LA REGION PUNO</t>
  </si>
  <si>
    <t>2025-09-25</t>
  </si>
  <si>
    <t>2488048</t>
  </si>
  <si>
    <t>0239</t>
  </si>
  <si>
    <t>2488048: CREACION DEL SERVICIO DE ANÁLISIS DE BIOLOGIA MOLECULAR DE DIAGNÓSTICO COVID-19 EN EL LABORATORIO DE REFERENCIA REGIONAL DE LA DIRESA PUNO,  DISTRITO DE PUNO - PROVINCIA DE PUNO - DEPARTAMENTO DE PUNO</t>
  </si>
  <si>
    <t>2026-04-27</t>
  </si>
  <si>
    <t>2544369</t>
  </si>
  <si>
    <t>0249</t>
  </si>
  <si>
    <t>2544369: ADQUISICION DE AMBULANCIA RURAL Y AMBULANCIA RURAL; EN CINCUENTA Y CINCO ESTABLECIMIENTOS DE SALUD I.4, ESTABLECIMIENTOS DE SALUD I.2, ESTABLECIMIENTOS DE SALUD I.3 A NIVEL DEPARTAMENTAL (PUNO)</t>
  </si>
  <si>
    <t>2567368</t>
  </si>
  <si>
    <t>0254</t>
  </si>
  <si>
    <t>2567368: ADQUISICION DE MAMOGRAFO; EN EL(LA) EESS SAN MARTIN DE P. (MACUSANI) - MACUSANI  DISTRITO DE MACUSANI, PROVINCIA CARABAYA, DEPARTAMENTO PUNO</t>
  </si>
  <si>
    <t>2567375</t>
  </si>
  <si>
    <t>0255</t>
  </si>
  <si>
    <t>2567375: ADQUISICION DE TOMOGRAFO COMPUTARIZADO MULTICORTE; EN EL(LA) EESS SAN MARTIN DE P. (MACUSANI) - MACUSANI  DISTRITO DE MACUSANI, PROVINCIA CARABAYA, DEPARTAMENTO PUNO</t>
  </si>
  <si>
    <t>2026-06-26</t>
  </si>
  <si>
    <t>2600443</t>
  </si>
  <si>
    <t>0263</t>
  </si>
  <si>
    <t>2600443: ADQUISICION DE SISTEMA DE CIRUGIA LAPAROSCOPICA, TOMOGRAFO, MESA DE OPERACIONES HIDRAULICA/ELECTRICA Y LAMPARA QUIRURGICA DE TECHO; ADEMÁS DE OTROS ACTIVOS EN EL(LA) YUNGUYO  DISTRITO DE YUNGUYO, PROVINCIA YUNGUYO, DEPARTAMENTO PUNO</t>
  </si>
  <si>
    <t>2650340</t>
  </si>
  <si>
    <t>0281</t>
  </si>
  <si>
    <t>2650340: ADQUISICION DE MESA DE OPERACIONES HIDRAULICA/ELECTRICA, ESTERILIZADOR CON GENERADOR ELECTRICO DE VAPOR (INS), EQUIPOS BIOMEDICOS Y COCHE DE PARO; ADEMÁS DE OTROS ACTIVOS EN EL(LA) PUTINA  DISTRITO DE PUTINA, PROVINCIA SAN ANTONIO DE PUTINA, DEPARTAMENTO PUNO</t>
  </si>
  <si>
    <t>2684028</t>
  </si>
  <si>
    <t>0285</t>
  </si>
  <si>
    <t>2684028: ADQUISICION DE AMBULANCIA URBANA; EN ONCE ESTABLECIMIENTOS DE SALUD II.1, ESTABLECIMIENTOS DE SALUD II.2 A NIVEL DEPARTAMENTAL (PUNO)</t>
  </si>
  <si>
    <t>2026-08-21</t>
  </si>
  <si>
    <t>2685776</t>
  </si>
  <si>
    <t>0287</t>
  </si>
  <si>
    <t>2685776: ADQUISICION DE ANALIZADOR DE GASES Y ELECTROLITOS, ESPECTROFOTOMETRO, EQUIPO DE RAYOS X DENTAL Y BIDESTILADOR DE AGUA; ADEMÁS DE OTROS ACTIVOS EN EL(LA) MOHO  DISTRITO DE MOHO, PROVINCIA MOHO, DEPARTAMENTO PUNO</t>
  </si>
  <si>
    <t>2694246</t>
  </si>
  <si>
    <t>0313</t>
  </si>
  <si>
    <t>2694246: ADQUISICION DE MAMOGRAFO, COLONOVIDEOENDOSCOPIO, MESA DE OPERACIONES HIDRAULICA/ELECTRICA Y CALDERO; ADEMÁS DE OTROS ACTIVOS EN EL(LA) HOSPITAL REGIONAL MANUEL NUÑEZ BUTRON HOSPITAL REGIONAL MANUEL NUÑEZ BUTRON DISTRITO DE PUNO, PROVINCIA PUNO, DEPARTAMENTO PUNO</t>
  </si>
  <si>
    <t>2611144</t>
  </si>
  <si>
    <t>0314</t>
  </si>
  <si>
    <t>2611144: ADQUISICION DE ANALIZADOR DE GASES Y ELECTROLITOS, ASPIRADOR DE SECRECIONES, BOMBA DE INFUSION Y COCHE DE PARO EQUIPADO; ADEMÁS DE OTROS ACTIVOS EN EL(LA) CARLOS MONJE MEDRANO  DISTRITO DE JULIACA, PROVINCIA SAN ROMAN, DEPARTAMENTO PUNO</t>
  </si>
  <si>
    <t>2692290</t>
  </si>
  <si>
    <t>0343</t>
  </si>
  <si>
    <t>2692290: ADQUISICION DE EQUIPO DE ANESTESIA, VENTILADOR MECANICO, SISTEMA DE CIRUGIA LAPAROSCOPICA Y SISTEMA DE VIDEO GASTROENDOSCOPIA; ADEMÁS DE OTROS ACTIVOS EN EL(LA) HOSPITAL SAN MARTIN DE PORRES  DISTRITO DE MACUSANI, PROVINCIA CARABAYA, DEPARTAMENTO PUNO</t>
  </si>
  <si>
    <t>2668521</t>
  </si>
  <si>
    <t>0344</t>
  </si>
  <si>
    <t>2668521: ADQUISICION DE AMBULANCIA ACUATICA; EN DOS ESTABLECIMIENTOS DE SALUD I.2 A NIVEL PROVINCIAL (PUNO - YUNGUYO)</t>
  </si>
  <si>
    <t>2613817</t>
  </si>
  <si>
    <t>0346</t>
  </si>
  <si>
    <t>2613817: ADQUISICION DE ECOCARDIOGRAFO, ARCO EN C, BOMBA DE INFUSION Y EQUIPO ECOGRAFO; ADEMÁS DE OTROS ACTIVOS EN SIETE ESTABLECIMIENTOS DE SALUD II.1 A NIVEL DEPARTAMENTAL (PUNO)</t>
  </si>
  <si>
    <t>Contrata / Equipamiento / Personal/bienes/servicios</t>
  </si>
  <si>
    <t>2692846</t>
  </si>
  <si>
    <t>0379</t>
  </si>
  <si>
    <t>2692846: ADQUISICION DE EQUIPO ECOGRAFO, MESA HIDRAULICA PARA OPERACION QUIRURGICA, LAVADORA SECADORA AUTOMATICA Y INCUBADORA DE TRANSPORTE (SAMU); ADEMÁS DE OTROS ACTIVOS EN EL(LA) CARLOS CORNEJO ROSELLO  DISTRITO DE AZANGARO, PROVINCIA AZANGARO, DEPARTAMENTO PUNO</t>
  </si>
  <si>
    <t>2691682</t>
  </si>
  <si>
    <t>0380</t>
  </si>
  <si>
    <t>2691682: ADQUISICION DE MESA DE OPERACIONES HIDRAULICA/ELECTRICA, EQUIPO ECOGRAFO - ULTRASONIDO, EQUIPO ECOGRAFO Y ELECTROENCEFALOGRAFO; ADEMÁS DE OTROS ACTIVOS EN EL(LA) ANTONIO BARRIONUEVO (LAMPA)  DISTRITO DE LAMPA, PROVINCIA LAMPA, DEPARTAMENTO PUNO</t>
  </si>
  <si>
    <t>2711034</t>
  </si>
  <si>
    <t>0382</t>
  </si>
  <si>
    <t>2711034: ADQUISICION DE ESTERILIZADOR; EN SIETE ESTABLECIMIENTOS DE SALUD II.1, ESTABLECIMIENTOS DE SALUD II.2  DISTRITO DE PUNO, PROVINCIA PUNO, DEPARTAMENTO PUNO</t>
  </si>
  <si>
    <t>Equipamiento / Contrata / Expediente técnico / Personal/bienes/servicios</t>
  </si>
  <si>
    <t>GRDS - ESTUDIOS DEFINITIVOS</t>
  </si>
  <si>
    <t>2693367</t>
  </si>
  <si>
    <t>0437</t>
  </si>
  <si>
    <t>2693367: ADQUISICION DE EQUIPO DE ANESTESIA, ELECTROBISTURI, ELECTROBISTURI Y ELECTROBISTURI; ADEMÁS DE OTROS ACTIVOS EN EL(LA) SAN JUAN DE DIOS (AYAVIRI) JR SANTA ROSA DISTRITO DE AYAVIRI, PROVINCIA MELGAR, DEPARTAMENTO PUNO</t>
  </si>
  <si>
    <t>2707256</t>
  </si>
  <si>
    <t>0454</t>
  </si>
  <si>
    <t>2707256: ADQUISICION DE SISTEMA DE VIDEO GASTROENDOSCOPIA, GRUPO ELECTROGENO, EQUIPO ECOGRAFO - ULTRASONIDO Y LAVADORA SECADORA AUTOMATICA; ADEMAS DE OTROS ACTIVOS EN EL(LA) CARLOS MONJE MEDRANO DISTRITO DE JULIACA, PROVINCIA SAN ROMAN, DEPARTAMENTO PUNO</t>
  </si>
  <si>
    <t>El 12-B programa S/ 80,738 de un PIM de S/ 80,738: la UEI debe actualizarlo (el proyecto no está en ningún PMI)</t>
  </si>
  <si>
    <t>2026-05-05</t>
  </si>
  <si>
    <t>0462</t>
  </si>
  <si>
    <t>2531093</t>
  </si>
  <si>
    <t>0482</t>
  </si>
  <si>
    <t>2531093: ADQUISICION DE INCUBADORA NEONATAL Y CUNA DE CALOR RADIANTE; EN EL(LA) EESS YUNGUYO - YUNGUYO EN LA LOCALIDAD YUNGUYO, DISTRITO DE YUNGUYO, PROVINCIA YUNGUYO, DEPARTAMENTO PUNO</t>
  </si>
  <si>
    <t>2639523</t>
  </si>
  <si>
    <t>0485</t>
  </si>
  <si>
    <t>2639523: ADQUISICION DE TOMOGRAFO COMPUTARIZADO MULTICORTE; EN EL(LA) CARLOS MONJE MEDRANO  DISTRITO DE JULIACA, PROVINCIA SAN ROMAN, DEPARTAMENTO PUNO</t>
  </si>
  <si>
    <t>2695768</t>
  </si>
  <si>
    <t>0494</t>
  </si>
  <si>
    <t>2695768: REPARACION DE SALA DE CUIDADOS INTENSIVOS; EN EL(LA) CARLOS MONJE MEDRANO DISTRITO DE JULIACA, PROVINCIA SAN ROMAN, DEPARTAMENTO PUNO</t>
  </si>
  <si>
    <t>El 12-B programa S/ 114,255 de un PIM de S/ 114,255: la UEI debe actualizarlo (el proyecto no está en ningún PMI)</t>
  </si>
  <si>
    <t>2694640</t>
  </si>
  <si>
    <t>0497</t>
  </si>
  <si>
    <t>2694640: ADQUISICION DE EQUIPO ECOGRAFO, EQUIPO ECOGRAFO, EQUIPO ECOGRAFO Y EQUIPO ECOGRAFO; ADEMAS DE OTROS ACTIVOS EN NUEVE ESTABLECIMIENTOS DE SALUD I.2, ESTABLECIMIENTOS DE SALUD I.3, ESTABLECIMIENTOS DE SALUD I.1 A NIVEL PROVINCIAL (PUNO - MELGAR)</t>
  </si>
  <si>
    <t>El 12-B programa S/ 36,445 de un PIM de S/ 36,445: la UEI debe actualizarlo (el proyecto no está en ningún PMI)</t>
  </si>
  <si>
    <t>2026-07-01</t>
  </si>
  <si>
    <t>2694772</t>
  </si>
  <si>
    <t>0498</t>
  </si>
  <si>
    <t>2694772: ADQUISICION DE ANALIZADOR BIOQUIMICO SEMI AUTOMATICO, DETECTOR DE LATIDOS FETALES (TELEMEDICINA), ANALIZADOR BIOQUIMICO SEMI AUTOMATICO Y ANALIZADOR BIOQUIMICO SEMI AUTOMATICO; ADEMAS DE OTROS ACTIVOS EN CATORCE ESTABLECIMIENTOS DE SALUD I.2, ESTA</t>
  </si>
  <si>
    <t>El 12-B programa S/ 39,485 de un PIM de S/ 39,485: la UEI debe actualizarlo (el proyecto no está en ningún PMI)</t>
  </si>
  <si>
    <t>2026-08-11</t>
  </si>
  <si>
    <t>2733644</t>
  </si>
  <si>
    <t>0524</t>
  </si>
  <si>
    <t>2733644: ADQUISICION DE PATRULLEROS Y PATRULLEROS; EN EL(LA) FRENTE POLICIAL PUNO - COMISARIAS EN LAS 13 PROVINCIAS DE LA REGION PUNO, DISTRITO DE PUNO, PROVINCIA PUNO, DEPARTAMENTO PUNO</t>
  </si>
  <si>
    <t>2721991</t>
  </si>
  <si>
    <t>0512</t>
  </si>
  <si>
    <t>2721991: RENOVACION DE AULA DE EDUCACION PRIMARIA, AMBIENTE ADMINISTRATIVO, SERVICIOS HIGIENICOS Y/O VESTIDORES Y AMBIENTE DE USOS MULTIPLES; ADEMAS DE OTROS ACTIVOS EN CUATRO II.EE. PRIMARIA A NIVEL DISTRITAL (PUNO - SANDIA - SAN PEDRO DE PUTINA PUNCO)</t>
  </si>
  <si>
    <t>El 12-B programa S/ 3,254,770 de un PIM de S/ 3,254,770: la UEI debe actualizarlo (el proyecto no está en ningún PMI)</t>
  </si>
  <si>
    <t>2026-08-12</t>
  </si>
  <si>
    <t>Contrata / Expediente técnico / Personal/bienes/servicios</t>
  </si>
  <si>
    <t>2721892</t>
  </si>
  <si>
    <t>0513</t>
  </si>
  <si>
    <t>2721892: CONSTRUCCION DE AULA DE EDUCACION SECUNDARIA, AMBIENTE ADMINISTRATIVO Y SERVICIOS HIGIENICOS Y/O VESTIDORES; ADQUISICION DE MOBILIARIO DE AULA; EN EL(LA) IE PUERTO DE EDEN DISTRITO DE SAN PEDRO DE PUTINA PUNCO, PROVINCIA SANDIA, DEPARTAMENTO PUNO</t>
  </si>
  <si>
    <t>El 12-B programa S/ 1,007,572 de un PIM de S/ 1,007,572: la UEI debe actualizarlo (el proyecto no está en ningún PMI)</t>
  </si>
  <si>
    <t>2719529</t>
  </si>
  <si>
    <t>0515</t>
  </si>
  <si>
    <t>2719529: RENOVACION DE AULA DE EDUCACION PRIMARIA, SERVICIOS HIGIENICOS Y/O VESTIDORES Y AMBIENTE DE USOS MULTIPLES; ADQUISICION DE MOBILIARIO DE AULA; EN TRES II.EE. PRIMARIA A NIVEL DISTRITAL (PUNO - SANDIA - ALTO INAMBARI)</t>
  </si>
  <si>
    <t>El 12-B programa S/ 1,688,098 de un PIM de S/ 1,688,098: la UEI debe actualizarlo (el proyecto no está en ningún PMI)</t>
  </si>
  <si>
    <t>2723359</t>
  </si>
  <si>
    <t>0509</t>
  </si>
  <si>
    <t>2723359: CONSTRUCCION DE AULA DE EDUCACION SECUNDARIA; ADQUISICION DE MOBILIARIO DE AULA; EN EL(LA) IE SECUNDARIA SANTA ROSA DISTRITO DE ALTO INAMBARI, PROVINCIA SANDIA, DEPARTAMENTO PUNO</t>
  </si>
  <si>
    <t>El 12-B programa S/ 680,748 de un PIM de S/ 680,748: la UEI debe actualizarlo (el proyecto no está en ningún PMI)</t>
  </si>
  <si>
    <t>2721888</t>
  </si>
  <si>
    <t>0510</t>
  </si>
  <si>
    <t>2721888: CONSTRUCCION DE AULA DE EDUCACION SECUNDARIA; ADQUISICION DE MOBILIARIO DE AULA; EN EL(LA) IE I.E. SECUNDARIA JOSE MARIA ARGUEDAS EN LA LOCALIDAD CCAPUNA, DISTRITO DE SANDIA, PROVINCIA SANDIA, DEPARTAMENTO PUNO</t>
  </si>
  <si>
    <t>El 12-B programa S/ 670,100 de un PIM de S/ 670,100: la UEI debe actualizarlo (el proyecto no está en ningún PMI)</t>
  </si>
  <si>
    <t>2721886</t>
  </si>
  <si>
    <t>0511</t>
  </si>
  <si>
    <t>2721886: CONSTRUCCION DE AULA DE EDUCACION INICIAL; ADQUISICION DE MOBILIARIO DE AULA; EN EL(LA) IE INICIAL N° 1048 DE HUENCALLA DISTRITO DE SANDIA, PROVINCIA SANDIA, DEPARTAMENTO PUNO</t>
  </si>
  <si>
    <t>El 12-B programa S/ 388,514 de un PIM de S/ 388,514: la UEI debe actualizarlo (el proyecto no está en ningún PMI)</t>
  </si>
  <si>
    <t>2721889</t>
  </si>
  <si>
    <t>0514</t>
  </si>
  <si>
    <t>2721889: CONSTRUCCION DE AULA DE EDUCACION INICIAL Y AMBIENTE ADMINISTRATIVO; ADQUISICION DE MOBILIARIO DE AULA Y EQUIPAMIENTO DE AULA; EN EL(LA) IE 1027 EN LA LOCALIDAD ISILLUMA, DISTRITO DE ALTO INAMBARI, PROVINCIA SANDIA, DEPARTAMENTO PUNO</t>
  </si>
  <si>
    <t>El 12-B programa S/ 542,416 de un PIM de S/ 542,416: la UEI debe actualizarlo (el proyecto no está en ningún PMI)</t>
  </si>
  <si>
    <t>2729834</t>
  </si>
  <si>
    <t>0516</t>
  </si>
  <si>
    <t>2729834: CONSTRUCCION DE AULA DE EDUCACION PRIMARIA, SERVICIOS HIGIENICOS Y/O VESTIDORES PARA ESTUDIANTES Y AMBIENTE DE GESTION ADMINISTRATIVA Y DIRECCION; ADQUISICION DE MOBILIARIO DE AULA; EN EL(LA) I.E. 72544 DISTRITO DE ALTO INAMBARI, PROVINCIA SANDIA,</t>
  </si>
  <si>
    <t>El 12-B programa S/ 928,545 de un PIM de S/ 928,545: la UEI debe actualizarlo (el proyecto no está en ningún PMI)</t>
  </si>
  <si>
    <t>2693441</t>
  </si>
  <si>
    <t>0348</t>
  </si>
  <si>
    <t>2693441: ADQUISICION DE EQUIPO DE AULA DE EDUCACION SECUNDARIA; EN EL(LA) I.E. GLORIOSO SAN CARLOS  DISTRITO DE PUNO, PROVINCIA PUNO, DEPARTAMENTO PUNO</t>
  </si>
  <si>
    <t>Otro (SOFTWARES) / Contrata / Personal/bienes/servicios</t>
  </si>
  <si>
    <t>2692840</t>
  </si>
  <si>
    <t>0349</t>
  </si>
  <si>
    <t>2692840: ADQUISICION DE EQUIPO DE AULA DE EDUCACION PRIMARIA; EN EL(LA) I.E. GLORIOSO SAN CARLOS  DISTRITO DE PUNO, PROVINCIA PUNO, DEPARTAMENTO PUNO</t>
  </si>
  <si>
    <t>Contrata / Otro (SOFTWARES) / Personal/bienes/servicios</t>
  </si>
  <si>
    <t>2699544</t>
  </si>
  <si>
    <t>0461</t>
  </si>
  <si>
    <t>2699544: ADQUISICION DE EQUIPAMIENTO DE AULA; EN SIETE II.EE. INICIAL  DISTRITO DE SAN JUAN DE SALINAS, PROVINCIA AZANGARO, DEPARTAMENTO PUNO</t>
  </si>
  <si>
    <t>2683535</t>
  </si>
  <si>
    <t>0003</t>
  </si>
  <si>
    <t>2683535: MEJORAMIENTO DEL SERVICIO DE SEGURIDAD CIUDADANA LOCAL EN 73 UNIDADES PRODUCTORAS 73 DISTRITOS DE 11 PROVINCIAS DEL DEPARTAMENTO DE PUNO 11 PROVINCIAS DEL DEPARTAMENTO DE PUNO</t>
  </si>
  <si>
    <t>2685431</t>
  </si>
  <si>
    <t>0286</t>
  </si>
  <si>
    <t>2685431: ADQUISICION DE AMBULANCIA URBANA, CAMIONETA, CAMIÓN PLATAFORMA Y CAMION CISTERNA; ADEMÁS DE OTROS ACTIVOS EN CINCO COMPAÑÍA DE BOMBEROS A NIVEL DEPARTAMENTAL (PUNO)</t>
  </si>
  <si>
    <t>2608728</t>
  </si>
  <si>
    <t>0266</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</si>
  <si>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</si>
  <si>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2026-08-25</t>
  </si>
  <si>
    <t>DIRECCIÓN DE ESTUDIOS DE PREINVERSIÓN</t>
  </si>
  <si>
    <t>2001621</t>
  </si>
  <si>
    <t>0213</t>
  </si>
  <si>
    <t>2001621: ESTUDIOS DE PRE-INVERSION</t>
  </si>
  <si>
    <t>DEPI</t>
  </si>
  <si>
    <t>0214</t>
  </si>
  <si>
    <t>0215</t>
  </si>
  <si>
    <t>0428</t>
  </si>
  <si>
    <t>0429</t>
  </si>
  <si>
    <t>0430</t>
  </si>
  <si>
    <t>0431</t>
  </si>
  <si>
    <t>0432</t>
  </si>
  <si>
    <t>0436</t>
  </si>
  <si>
    <t>Estudio de preinversión / Equipamiento</t>
  </si>
  <si>
    <t>0481</t>
  </si>
  <si>
    <t>(grupo por asignar)</t>
  </si>
  <si>
    <t>2662519</t>
  </si>
  <si>
    <t>0284</t>
  </si>
  <si>
    <t>2662519: MEJORAMIENTO DEL SERVICIO DE ATENCIÓN DE SALUD BÁSICOS EN C.S. CLAS PUSI   DISTRITO DE PUSI DE LA PROVINCIA DE HUANCANE DEL DEPARTAMENTO DE PUNO</t>
  </si>
  <si>
    <t>Gerencia sugerida por Silucia (ejecutora "SGED"): confirmar en maestro.xlsx</t>
  </si>
  <si>
    <t>2699546</t>
  </si>
  <si>
    <t>0345</t>
  </si>
  <si>
    <t>2699546: ADQUISICION DE EQUIPAMIENTO DE AULA DE INNOVACION PEDAGOGICA; EN OCHO II.EE. PRIMARIA  DISTRITO DE SAN JUAN DE SALINAS, PROVINCIA AZANGARO, DEPARTAMENTO PUNO</t>
  </si>
  <si>
    <t>Equipamiento / Administración directa / Contrata / Personal/bienes/servicios</t>
  </si>
  <si>
    <t>Gerencia sugerida por Silucia (ejecutora "GRDS - EJECUCION"): confirmar en maestro.xlsx</t>
  </si>
  <si>
    <t>2617364</t>
  </si>
  <si>
    <t>0532</t>
  </si>
  <si>
    <t>2617364: 2617364: (MEJORAMIENTO DE INFRAESTRUCTURA DE EDUCACION BASICA REGULAR - nombre no disponible en fuentes)</t>
  </si>
  <si>
    <t>Gerencia sugerida por Silucia (ejecutora "GRI - POR ADM. DIRECTA"): confirmar en maestro.xlsx</t>
  </si>
  <si>
    <t>MUNICIPALIDAD DISTRITAL DE MACARI</t>
  </si>
  <si>
    <t>Sin clasificar</t>
  </si>
  <si>
    <t>SIN CLASIFICAR (pendiente de asignar gerencia)</t>
  </si>
  <si>
    <t>2681141</t>
  </si>
  <si>
    <t>0533</t>
  </si>
  <si>
    <t>2681141: MEJORAMIENTO DEL SERVICIO DE ATENCIÓN DE SALUD BÁSICOS EN HUACULLANI   DISTRITO DE HUACULLANI DE LA PROVINCIA DE CHUCUITO DEL DEPARTAMENTO DE PUNO</t>
  </si>
  <si>
    <t>2231037</t>
  </si>
  <si>
    <t>0499</t>
  </si>
  <si>
    <t>2231037: MEJORAMIENTO DE LOS SERVICIOS EDUCATIVOS EN LA I.E.I. N 596 MUNAYPATA DEL CENTRO POBLADO DE MUNAYPATA, DISTRITO DE OLLACHEA  PROVINCIA DE CARABAYA  PUNO</t>
  </si>
  <si>
    <t>Avance financiero acumulado 92% (&gt; 90%)</t>
  </si>
  <si>
    <t>002</t>
  </si>
  <si>
    <t>Otras UE</t>
  </si>
  <si>
    <t>002. REGION PUNO-PESQUERIA</t>
  </si>
  <si>
    <t>2336682</t>
  </si>
  <si>
    <t>2336682: RECUPERACION DE LA BIOMASA DEL CARACHI GRIS Y AMARILLO EN ZONAS DE DESOVE DE LA CUENCA DEL LAGO TITICACA DE LA REGION PUNO</t>
  </si>
  <si>
    <t>2230619</t>
  </si>
  <si>
    <t>0015</t>
  </si>
  <si>
    <t>2230619: MEJORAMIENTO DE LA PRODUCCIÓN Y PRODUCTIVIDAD DE LAS MYPE DE LAS PRINCIPALES LINEAS DE PRODUCCION  EN LAS PROVINCIAS DE PUNO, SAN ROMÁN Y EL COLLAO DE LA REGIÓN PUNO</t>
  </si>
  <si>
    <t>2714101</t>
  </si>
  <si>
    <t>2714101: (EXPEDIENTE TECNICO - nombre no disponible en fuentes)</t>
  </si>
  <si>
    <t>El 12-B programa S/ 1,346,495 de un PIM de S/ 45,000: la UEI debe actualizarlo (el proyecto no está en ningún PMI)</t>
  </si>
  <si>
    <t>0014</t>
  </si>
  <si>
    <t>003</t>
  </si>
  <si>
    <t>003. REGION PUNO-PROGRAMA REGIONAL DE RIEGO Y DRENAJE</t>
  </si>
  <si>
    <t>2651742</t>
  </si>
  <si>
    <t>2651742: MEJORAMIENTO Y AMPLIACION DEL SERVICIO DE PROVISIÓN DE AGUA PARA RIEGO EN LA MICROCUENCA DEL RÍO CONDORIRI   DISTRITO DE AZANGARO DE LA PROVINCIA DE AZANGARO DEL DEPARTAMENTO DE PUNO</t>
  </si>
  <si>
    <t>Administración directa / Personal/bienes/servicios / Equipamiento / Contrata</t>
  </si>
  <si>
    <t>2454391</t>
  </si>
  <si>
    <t>2454391: AMPLIACION DEL SERVICIO DE AGUA PARA RIEGO MEDIANTE LA CONSTRUCCIÓN DE LA REPRESA SAPANCCOTA DEL DISTRITO DE PUCARA - PROVINCIA DE LAMPA - DEPARTAMENTO DE PUNO</t>
  </si>
  <si>
    <t>Está programado en el PMI 2026 · Tiene monto en el PMI 2027 (S/ 108,325)</t>
  </si>
  <si>
    <t>2566500</t>
  </si>
  <si>
    <t>0012</t>
  </si>
  <si>
    <t>2566500: MEJORAMIENTO Y AMPLIACION DEL SISTEMA DE RIEGO CHAJANA DEL DISTRITO DE ACORA - PROVINCIA DE PUNO - DEPARTAMENTO DE PUNO</t>
  </si>
  <si>
    <t>Está programado en el PMI 2026 · Tiene monto en el PMI 2027 (S/ 62,456)</t>
  </si>
  <si>
    <t>2477014</t>
  </si>
  <si>
    <t>2477014: CREACION DEL SERVICIO DE AGUA PARA RIEGO TECNIFICADO EN LAS COMUNIDADES DE IPARO, ARICATO, QUENEQUE, MORORIA, CCAPUNA Y APABUCO DEL DISTRITO DE SANDIA - PROVINCIA DE SANDIA - DEPARTAMENTO DE PUNO</t>
  </si>
  <si>
    <t>2540745</t>
  </si>
  <si>
    <t>0008</t>
  </si>
  <si>
    <t>2540745: MEJORAMIENTO Y AMPLIACION DEL SERVICIO DE AGUA PARA LOS SISTEMAS DE RIEGO HUALLATIRI, HUAYRAPATA Y HUARANCA GRANDE DEL DISTRITO DE HUAYRAPATA - PROVINCIA DE MOHO - DEPARTAMENTO DE PUNO</t>
  </si>
  <si>
    <t>0009</t>
  </si>
  <si>
    <t>2470845</t>
  </si>
  <si>
    <t>2470845: MEJORAMIENTO Y AMPLIACION DEL SERVICIO DE AGUA PARA RIEGO TECNIFICADO EN LAS COMUNIDADES DE SAN JUAN DE TAHUACO Y MACHACMARCA DEL DISTRITO DE YUNGUYO - PROVINCIA DE YUNGUYO - DEPARTAMENTO DE PUNO</t>
  </si>
  <si>
    <t>0017</t>
  </si>
  <si>
    <t>2001621: (ESTUDIOS DE PRE - INVERSION - nombre no disponible en fuentes)</t>
  </si>
  <si>
    <t>0013</t>
  </si>
  <si>
    <t>2651727</t>
  </si>
  <si>
    <t>2651727: MEJORAMIENTO Y AMPLIACION DEL SERVICIO DE PROVISIÓN DE AGUA PARA RIEGO EN 16 UNIDADES PRODUCTORAS  3 DISTRITOS  DE LA PROVINCIA DE MOHO DEL DEPARTAMENTO DE PUNO</t>
  </si>
  <si>
    <t>2634779</t>
  </si>
  <si>
    <t>2634779: CREACION DEL SERVICIO DE PROVISIÓN DE AGUA PARA RIEGO EN LAS COMUNIDADES , MEDIANTE POZOS TUBULARES EN LOS   DISTRITOS DE HUANCANE, VILQUE CHICO DE LA PROVINCIA DE HUANCANE DEL DEPARTAMENTO DE PUNO</t>
  </si>
  <si>
    <t>0019</t>
  </si>
  <si>
    <t>2668257</t>
  </si>
  <si>
    <t>2668257: (EXPEDIENTE TECNICO - nombre no disponible en fuentes)</t>
  </si>
  <si>
    <t>MUNICIPALIDAD DISTRITAL DE CAPASO</t>
  </si>
  <si>
    <t>2681358</t>
  </si>
  <si>
    <t>2681358: MEJORAMIENTO Y AMPLIACION DEL SERVICIO DE PROVISIÓN DE AGUA PARA RIEGO EN LOS SECTORES DE ALBERTONI Y AGUADA DE LA COMUNIDAD DE LLUSTA,   DISTRITO DE SANTA ROSA DE LA PROVINCIA DE EL COLLAO DEL DEPARTAMENTO DE PUNO</t>
  </si>
  <si>
    <t>2429723</t>
  </si>
  <si>
    <t>2429723: MEJORAMIENTO Y AMPLIACION DEL SERVICIO DE AGUA PARA EL SISTEMA DE RIEGO PRESURIZADO EN LA MICROCUENCA YANAMAYO DEL DISTRITO DE AZANGARO - PROVINCIA DE AZANGARO - DEPARTAMENTO DE PUNO</t>
  </si>
  <si>
    <t>2026-07-14</t>
  </si>
  <si>
    <t>2541758</t>
  </si>
  <si>
    <t>0010</t>
  </si>
  <si>
    <t>2541758: CREACION DEL SERVICIO DE AGUA PARA RIEGO MEDIANTE SIEMBRA Y COSECHA DE AGUA EN LAS COMUNIDADES DE CAYATTOCCO, CARABAYA, QQUETE Y UPINA DEL DISTRITO DE ITUATA - PROVINCIA DE CARABAYA - DEPARTAMENTO DE PUNO</t>
  </si>
  <si>
    <t>0011</t>
  </si>
  <si>
    <t>2616977</t>
  </si>
  <si>
    <t>0018</t>
  </si>
  <si>
    <t>2616977: ADQUISICION DE MAQUINA PERFORADORA; EN EL(LA) REGIÓN PUNO - PROGRAMA REGIONAL DE RIEGO Y DRENAJE, PARA LA EXPLORACIÓN Y CAPTACIÓN DE AGUAS SUBTERRÁNEAS MEDIANTE POZOS TUBULARES PARA RIEGO, EN EL  DISTRITO DE PUNO, PROVINCIA PUNO, DEPARTAMENTO PUNO</t>
  </si>
  <si>
    <t>0016</t>
  </si>
  <si>
    <t>005</t>
  </si>
  <si>
    <t>005. REGION PUNO-PROGRAMA DE APOYO AL DESARROLLO RURAL ANDINO</t>
  </si>
  <si>
    <t>2559663</t>
  </si>
  <si>
    <t>2559663: AMPLIACION PARA EL MEJORAMIENTO DE LA PRODUCTIVIDAD DE CARNE Y LANA DE OVINOS 6 PROVINCIAS DEL DEPARTAMENTO DE PUNO</t>
  </si>
  <si>
    <t>2631496</t>
  </si>
  <si>
    <t>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</si>
  <si>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Contrata / Equipamiento / Personal/bienes/servicios / Otro (ANIMALES REPRODUCTORES)</t>
  </si>
  <si>
    <t>2479852</t>
  </si>
  <si>
    <t>2479852: MEJORAMIENTO DE LA TRANSFERENCIA TECNOLÓGICA EN LA PRODUCCIÓN Y VALOR AGREGADO DE LA CADENA PRODUCTIVA DE VACUNOS DE CARNE EN LA REGIÓN PUNO 9 PROVINCIAS DEL DEPARTAMENTO DE PUNO</t>
  </si>
  <si>
    <t>Equipamiento / Administración directa</t>
  </si>
  <si>
    <t>2325694</t>
  </si>
  <si>
    <t>2325694: MEJORAMIENTO DE LA TECNIFICACION DE PROCESOS PARA LA CADENA PRODUCTIVA DE LA LECHE EN LA REGION PUNO</t>
  </si>
  <si>
    <t>2538654</t>
  </si>
  <si>
    <t>2538654: MEJORAMIENTO DE LA PRESTACIÓN DE SERVICIOS DE INNOVACIÓN Y TRANSFERENCIA TECNOLÓGICA PARA EL DESARROLLO COMPETITIVO DE LA PRODUCCIÓN PECUARIA 8 PROVINCIAS DEL DEPARTAMENTO DE PUNO</t>
  </si>
  <si>
    <t>2026-08-18</t>
  </si>
  <si>
    <t>100</t>
  </si>
  <si>
    <t>100. REGION PUNO-AGRICULTURA</t>
  </si>
  <si>
    <t>2557255</t>
  </si>
  <si>
    <t>2557255: MEJORAMIENTO DE CAPACIDADES PARA LA CONSERVACIÓN Y MANEJO DE CAMÉLIDOS SUDAMERICANOS DOMÉSTICOS DE LAS RAZAS SURI Y HUACAYA DE COLOR EN ZONAS ALTOANDINAS 6 PROVINCIAS DEL DEPARTAMENTO DE PUNO</t>
  </si>
  <si>
    <t>2470873</t>
  </si>
  <si>
    <t>2470873: MEJORAMIENTO DE CAPACIDADES PARA EL DESARROLLO INTEGRAL DE LOS CULTIVOS DE FRUTALES EN LA SELVA DE LAS PROVINCIAS DE SANDIA Y CARABAYA DEL  DEPARTAMENTO DE PUNO</t>
  </si>
  <si>
    <t>2511053</t>
  </si>
  <si>
    <t>2511053: MEJORAMIENTO DE CAPACIDADES PRODUCTIVAS PARA PROMOVER LA SEGURIDAD ALIMENTARIA EN LA REACTIVACIÓN  ECONÓMICA DE LAS 13 PROVINCIAS DEL DEPARTAMENTO DE PUNO</t>
  </si>
  <si>
    <t>Personal/bienes/servicios / Contrata / Otro (OTROS ANIMALES)</t>
  </si>
  <si>
    <t>2629018</t>
  </si>
  <si>
    <t>2629018: MEJORAMIENTO DE LOS SERVICIOS DE APOYO AL DESARROLLO PRODUCTIVO DE PASTOS Y FORRAJES EN 14 UNIDADES PRODUCTORAS DE 84 DISTRITOS DE 13 PROVINCIAS DEL DEPARTAMENTO DE PUNO</t>
  </si>
  <si>
    <t>Personal/bienes/servicios / Otro (SEMILLAS Y ALMACIGOS) / Contrata</t>
  </si>
  <si>
    <t>2313145</t>
  </si>
  <si>
    <t>2313145: (SUPERVISION Y LIQUIDACION DE OBRAS - nombre no disponible en fuentes)</t>
  </si>
  <si>
    <t>2318520</t>
  </si>
  <si>
    <t>2318520: MEJORAMIENTO DE LA CAPACIDAD AGROPRODUCTIVA DE GRANOS ANDINOS ORGANICOS DE QUINUA, CAÑIHUA, HABA Y TARWI EN LA REGION PUNO</t>
  </si>
  <si>
    <t>2615902</t>
  </si>
  <si>
    <t>2615902: REMODELACION DE AUDITORIO; ADQUISICION DE EQUIPOS COMPLEMENTARIOS; REPARACION DE ESCALERA DE ACCESO Y ; EN EL(LA) DIRECCIÓN REGIONAL AGRARIA SEDE CENTRAL  DISTRITO DE PUNO, PROVINCIA PUNO, DEPARTAMENTO PUNO</t>
  </si>
  <si>
    <t>302</t>
  </si>
  <si>
    <t>302. REGION PUNO-EDUCACION MELGAR</t>
  </si>
  <si>
    <t>413</t>
  </si>
  <si>
    <t>413. GOB. REG. DPTO. DE PUNO - SALUD SAN ANTONIO DE PUTINA</t>
  </si>
  <si>
    <t>2730957</t>
  </si>
  <si>
    <t>2730957: ADQUISICION DE UNIDAD DENTAL Y AUTOCLAVE; EN EL(LA) ANANEA  DISTRITO DE ANANEA, PROVINCIA SAN ANTONIO DE PUTINA, DEPARTAMENTO PUNO</t>
  </si>
  <si>
    <t>¿Dónde hay plata? · proyectos con saldo libre · al 09/10/2026</t>
  </si>
  <si>
    <t>Cada fila es un proyecto (UE-CUI-meta) con al menos S/ 10,000. VERDE = saldo libre sin condiciones. AMARILLO = saldo libre con las condiciones del último campo. AZUL (rebajando certificación) = no hay saldo libre, pero hay dinero certificado sin comprometer ni programar en el 12-B: solo sirve si la UEI rebaja la certificación. ★ = proyecto de la lista de Antony. Los rubros son el PIM por fuente de financiamiento.</t>
  </si>
  <si>
    <t>Verde (disponible)</t>
  </si>
  <si>
    <t>0 proyectos</t>
  </si>
  <si>
    <t>Amarillo (con condiciones)</t>
  </si>
  <si>
    <t>40 proyectos</t>
  </si>
  <si>
    <t>Azul (rebajando certificación)</t>
  </si>
  <si>
    <t>8 proyectos azules; la columna Potencial también existe en verdes y amarillos</t>
  </si>
  <si>
    <t>N°</t>
  </si>
  <si>
    <t>Rubro principal</t>
  </si>
  <si>
    <t>RO (00)</t>
  </si>
  <si>
    <t>RDR (09)</t>
  </si>
  <si>
    <t>FONCOR (15)</t>
  </si>
  <si>
    <t>CANON (18)</t>
  </si>
  <si>
    <t>ROOC (19)</t>
  </si>
  <si>
    <t>Otros rubros</t>
  </si>
  <si>
    <t>% Avance acumulado</t>
  </si>
  <si>
    <t>ANEXO N° 01</t>
  </si>
  <si>
    <t>COMPORTAMIENTO DE EJECUCIÓN DE PROYECTOS DE INVERSION PUBLICA DEL AÑO FISCAL 2026 · Gerencia de Infraestructura · AL 09/10/2026</t>
  </si>
  <si>
    <t>META</t>
  </si>
  <si>
    <t>PROYECTO</t>
  </si>
  <si>
    <t>PIM 2026
(A)</t>
  </si>
  <si>
    <t>CERTIFICACIÓN
(B)</t>
  </si>
  <si>
    <t>SALDO
(A-B)</t>
  </si>
  <si>
    <t>DEVENGADO
( C )</t>
  </si>
  <si>
    <t>SALDO
(A-C)</t>
  </si>
  <si>
    <t>DEVEN
%</t>
  </si>
  <si>
    <t>MODALIDAD
DE
EJECUCIÓN</t>
  </si>
  <si>
    <t>TIPO DE
INVERSIÓN</t>
  </si>
  <si>
    <t>Monto Año 2026 (S/)</t>
  </si>
  <si>
    <t>Monto Año 2027 (S/)</t>
  </si>
  <si>
    <t>Monto Año 2028 (S/)</t>
  </si>
  <si>
    <t>Monto Año 2029 (S/)</t>
  </si>
  <si>
    <t>BASE LEGAL</t>
  </si>
  <si>
    <t>SEMÁFORO</t>
  </si>
  <si>
    <t>% AVANCE
FINANCIERO
ACUMULADO</t>
  </si>
  <si>
    <t>DISPONIBLE
LEGAL (S/)</t>
  </si>
  <si>
    <t>MOTIVO / CONDICIONES</t>
  </si>
  <si>
    <t>EJECUCIÓN POR ADMINISTRACIÓN DIRECTA - DIRECTIVA 10</t>
  </si>
  <si>
    <t>EJECUCIÓN POR ADMINISTRACIÓN DIRECTA - DIRECTIVA 17</t>
  </si>
  <si>
    <t>EJECUCIÓN POR ADMINISTRACIÓN DIRECTA</t>
  </si>
  <si>
    <t>TOTAL GERENCIA DE INFRAESTRUCTURA</t>
  </si>
  <si>
    <t>ANEXO N° 02</t>
  </si>
  <si>
    <t>COMPORTAMIENTO DE EJECUCIÓN DE PROYECTOS DE INVERSION PUBLICA DEL AÑO FISCAL 2026 · Gerencias y Oficinas · AL 09/10/2026</t>
  </si>
  <si>
    <t>TOTAL GERENCIAS Y OFICINAS</t>
  </si>
  <si>
    <t>ANEXO N° 03</t>
  </si>
  <si>
    <t>COMPORTAMIENTO DE EJECUCIÓN DE PROYECTOS DE INVERSION PUBLICA DEL AÑO FISCAL 2026 · PROYECTOS SIN GERENCIA ASIGNADA · AL 09/10/2026</t>
  </si>
  <si>
    <t>TOTAL PROYECTOS SIN GERENCIA ASIGNADA</t>
  </si>
  <si>
    <t>ANEXO N° 04</t>
  </si>
  <si>
    <t>COMPORTAMIENTO DE EJECUCIÓN DE PROYECTOS DE INVERSION PUBLICA DEL AÑO FISCAL 2026 · OTRAS UNIDADES EJECUTORAS · AL 09/10/2026</t>
  </si>
  <si>
    <t>TOTAL OTRAS UNIDADES EJECUTORAS</t>
  </si>
  <si>
    <t>Proyectos de inversión · GORE Puno · mapeo de disponibilidad · al 09/10/2026</t>
  </si>
  <si>
    <t>Montos en soles. Todo se calcula desde la hoja Base. "Disponible legal" = saldo libre según las reglas de la hoja Reglas (no es PIM − compromiso).</t>
  </si>
  <si>
    <t>Disponible (verde)</t>
  </si>
  <si>
    <t>Con condiciones (amarillo)</t>
  </si>
  <si>
    <t>Restringido (PROCOMPITE / Anexo I)</t>
  </si>
  <si>
    <t>Potencial rebajando certificación</t>
  </si>
  <si>
    <t>Detalle ordenado por monto: hoja "Dónde hay plata". Lista completa y filtrable: hoja "Base".</t>
  </si>
  <si>
    <t>Por unidad ejecutora</t>
  </si>
  <si>
    <t>Unidad</t>
  </si>
  <si>
    <t>Proyectos (UE-CUI-meta)</t>
  </si>
  <si>
    <t>Saldo sin certificar</t>
  </si>
  <si>
    <t>Disponible legal · Disponible</t>
  </si>
  <si>
    <t>Disponible legal · Con condiciones</t>
  </si>
  <si>
    <t>Disponible legal · Restringido</t>
  </si>
  <si>
    <t>PIM · No mover</t>
  </si>
  <si>
    <t>PIM · Sin saldo útil / rebajando cert. / bolsas / sin PIM</t>
  </si>
  <si>
    <t>001. REGION PUNO-SEDE CENTRAL</t>
  </si>
  <si>
    <t>TOTAL</t>
  </si>
  <si>
    <t>UE 001 Sede Central · por gerencia / oficina</t>
  </si>
  <si>
    <t>Rubro de financiamiento por UE y CUI · fuente: API Datos Abiertos MEF (por UE) · al 09/10/2026</t>
  </si>
  <si>
    <t>PIM por rubro. "s/d" = sin dato (falta el reporte del rubro, está incompleto, o el CUI está en varias UE y la fuente no lo separa).</t>
  </si>
  <si>
    <t>PIM SIAF
(esta UE)</t>
  </si>
  <si>
    <t>Suma rubros</t>
  </si>
  <si>
    <t>PIM sin rubro
asignado</t>
  </si>
  <si>
    <t>Cobertura</t>
  </si>
  <si>
    <t>Clave</t>
  </si>
  <si>
    <t>Completo</t>
  </si>
  <si>
    <t>COMPORTAMIENTO DE PROYECTOS DE INVERSION PUBLICA AL 09/10/2026 · por función · saldo al expediente</t>
  </si>
  <si>
    <t>Saldo = Costo actualizado − Ejecución acumulada al 2025 − PIM 2026 (lo que falta financiar después de 2026). Un CUI se cuenta una vez por UE; no sumar el costo entre UE.</t>
  </si>
  <si>
    <t>Rubro: API Datos Abiertos MEF (por UE y CUI), descargada 09/10/2026 20:08.</t>
  </si>
  <si>
    <t>META(S)</t>
  </si>
  <si>
    <t>NOMBRE DEL PROYECTO</t>
  </si>
  <si>
    <t>COSTO
ACTUALIZADO
(Cartera)</t>
  </si>
  <si>
    <t>EJEC. ACUM.
AL 31/12/2025
(Cartera)</t>
  </si>
  <si>
    <t>RECURSOS
ORDINARIOS
(00)</t>
  </si>
  <si>
    <t>RDR
(09)</t>
  </si>
  <si>
    <t>FONCOR
(15)</t>
  </si>
  <si>
    <t>CANON
(18)</t>
  </si>
  <si>
    <t>ROOC
(19)</t>
  </si>
  <si>
    <t>PIM SIN
RUBRO
ASIGNADO</t>
  </si>
  <si>
    <t>SALDO AL EXPEDIENTE /
INVERSIÓN</t>
  </si>
  <si>
    <t>OBSERVACIÓN</t>
  </si>
  <si>
    <t>219</t>
  </si>
  <si>
    <t>Sin datos en Cartera: no se puede calcular el saldo</t>
  </si>
  <si>
    <t>220</t>
  </si>
  <si>
    <t>434</t>
  </si>
  <si>
    <t>226</t>
  </si>
  <si>
    <t>234</t>
  </si>
  <si>
    <t>343</t>
  </si>
  <si>
    <t>227</t>
  </si>
  <si>
    <t>240</t>
  </si>
  <si>
    <t>313</t>
  </si>
  <si>
    <t>242</t>
  </si>
  <si>
    <t>281, 462</t>
  </si>
  <si>
    <t>237</t>
  </si>
  <si>
    <t>228</t>
  </si>
  <si>
    <t>241</t>
  </si>
  <si>
    <t>314</t>
  </si>
  <si>
    <t>2</t>
  </si>
  <si>
    <t>437</t>
  </si>
  <si>
    <t>197</t>
  </si>
  <si>
    <t>263</t>
  </si>
  <si>
    <t>221</t>
  </si>
  <si>
    <t>380</t>
  </si>
  <si>
    <t>254</t>
  </si>
  <si>
    <t>382</t>
  </si>
  <si>
    <t>262</t>
  </si>
  <si>
    <t>282</t>
  </si>
  <si>
    <t>287</t>
  </si>
  <si>
    <t>344</t>
  </si>
  <si>
    <t>233</t>
  </si>
  <si>
    <t>267</t>
  </si>
  <si>
    <t>251</t>
  </si>
  <si>
    <t>268</t>
  </si>
  <si>
    <t>222</t>
  </si>
  <si>
    <t>346</t>
  </si>
  <si>
    <t>283</t>
  </si>
  <si>
    <t>278</t>
  </si>
  <si>
    <t>284</t>
  </si>
  <si>
    <t>238</t>
  </si>
  <si>
    <t>1</t>
  </si>
  <si>
    <t>379</t>
  </si>
  <si>
    <t>261</t>
  </si>
  <si>
    <t>528</t>
  </si>
  <si>
    <t>341</t>
  </si>
  <si>
    <t>494</t>
  </si>
  <si>
    <t>257</t>
  </si>
  <si>
    <t>533</t>
  </si>
  <si>
    <t>244</t>
  </si>
  <si>
    <t>256</t>
  </si>
  <si>
    <t>273</t>
  </si>
  <si>
    <t>454</t>
  </si>
  <si>
    <t>275</t>
  </si>
  <si>
    <t>276</t>
  </si>
  <si>
    <t>271</t>
  </si>
  <si>
    <t>277</t>
  </si>
  <si>
    <t>498</t>
  </si>
  <si>
    <t>497</t>
  </si>
  <si>
    <t>285</t>
  </si>
  <si>
    <t>524</t>
  </si>
  <si>
    <t>255</t>
  </si>
  <si>
    <t>482</t>
  </si>
  <si>
    <t>485</t>
  </si>
  <si>
    <t>235</t>
  </si>
  <si>
    <t>230</t>
  </si>
  <si>
    <t>258</t>
  </si>
  <si>
    <t>265</t>
  </si>
  <si>
    <t>269</t>
  </si>
  <si>
    <t>272</t>
  </si>
  <si>
    <t>274</t>
  </si>
  <si>
    <t>279</t>
  </si>
  <si>
    <t>280</t>
  </si>
  <si>
    <t>195</t>
  </si>
  <si>
    <t>196</t>
  </si>
  <si>
    <t>239</t>
  </si>
  <si>
    <t>249</t>
  </si>
  <si>
    <t>25</t>
  </si>
  <si>
    <t>35</t>
  </si>
  <si>
    <t>30</t>
  </si>
  <si>
    <t>229</t>
  </si>
  <si>
    <t>33</t>
  </si>
  <si>
    <t>161</t>
  </si>
  <si>
    <t>245</t>
  </si>
  <si>
    <t>223</t>
  </si>
  <si>
    <t>224</t>
  </si>
  <si>
    <t>311, 36</t>
  </si>
  <si>
    <t>247</t>
  </si>
  <si>
    <t>160</t>
  </si>
  <si>
    <t>34</t>
  </si>
  <si>
    <t>39</t>
  </si>
  <si>
    <t>159</t>
  </si>
  <si>
    <t>41</t>
  </si>
  <si>
    <t>162</t>
  </si>
  <si>
    <t>157</t>
  </si>
  <si>
    <t>32</t>
  </si>
  <si>
    <t>460</t>
  </si>
  <si>
    <t>26</t>
  </si>
  <si>
    <t>455</t>
  </si>
  <si>
    <t>28</t>
  </si>
  <si>
    <t>306</t>
  </si>
  <si>
    <t>44</t>
  </si>
  <si>
    <t>512</t>
  </si>
  <si>
    <t>525</t>
  </si>
  <si>
    <t>187</t>
  </si>
  <si>
    <t>172</t>
  </si>
  <si>
    <t>29</t>
  </si>
  <si>
    <t>248</t>
  </si>
  <si>
    <t>193</t>
  </si>
  <si>
    <t>515</t>
  </si>
  <si>
    <t>156</t>
  </si>
  <si>
    <t>315</t>
  </si>
  <si>
    <t>307</t>
  </si>
  <si>
    <t>181</t>
  </si>
  <si>
    <t>506</t>
  </si>
  <si>
    <t>513</t>
  </si>
  <si>
    <t>516</t>
  </si>
  <si>
    <t>333</t>
  </si>
  <si>
    <t>27, 489, 490</t>
  </si>
  <si>
    <t>492</t>
  </si>
  <si>
    <t>168</t>
  </si>
  <si>
    <t>180</t>
  </si>
  <si>
    <t>509</t>
  </si>
  <si>
    <t>480</t>
  </si>
  <si>
    <t>510</t>
  </si>
  <si>
    <t>319</t>
  </si>
  <si>
    <t>459</t>
  </si>
  <si>
    <t>514</t>
  </si>
  <si>
    <t>47</t>
  </si>
  <si>
    <t>479</t>
  </si>
  <si>
    <t>82</t>
  </si>
  <si>
    <t>50</t>
  </si>
  <si>
    <t>179</t>
  </si>
  <si>
    <t>511</t>
  </si>
  <si>
    <t>495</t>
  </si>
  <si>
    <t>316</t>
  </si>
  <si>
    <t>57</t>
  </si>
  <si>
    <t>48</t>
  </si>
  <si>
    <t>190</t>
  </si>
  <si>
    <t>46</t>
  </si>
  <si>
    <t>318</t>
  </si>
  <si>
    <t>501</t>
  </si>
  <si>
    <t>345</t>
  </si>
  <si>
    <t>155</t>
  </si>
  <si>
    <t>502</t>
  </si>
  <si>
    <t>331</t>
  </si>
  <si>
    <t>164</t>
  </si>
  <si>
    <t>532</t>
  </si>
  <si>
    <t>178</t>
  </si>
  <si>
    <t>517</t>
  </si>
  <si>
    <t>518</t>
  </si>
  <si>
    <t>461</t>
  </si>
  <si>
    <t>496</t>
  </si>
  <si>
    <t>182</t>
  </si>
  <si>
    <t>163</t>
  </si>
  <si>
    <t>55</t>
  </si>
  <si>
    <t>192</t>
  </si>
  <si>
    <t>332</t>
  </si>
  <si>
    <t>52</t>
  </si>
  <si>
    <t>170</t>
  </si>
  <si>
    <t>54</t>
  </si>
  <si>
    <t>189</t>
  </si>
  <si>
    <t>349</t>
  </si>
  <si>
    <t>31</t>
  </si>
  <si>
    <t>42</t>
  </si>
  <si>
    <t>43</t>
  </si>
  <si>
    <t>49</t>
  </si>
  <si>
    <t>81</t>
  </si>
  <si>
    <t>56</t>
  </si>
  <si>
    <t>317</t>
  </si>
  <si>
    <t>176</t>
  </si>
  <si>
    <t>22</t>
  </si>
  <si>
    <t>348</t>
  </si>
  <si>
    <t>83</t>
  </si>
  <si>
    <t>323</t>
  </si>
  <si>
    <t>40</t>
  </si>
  <si>
    <t>165</t>
  </si>
  <si>
    <t>188</t>
  </si>
  <si>
    <t>194</t>
  </si>
  <si>
    <t>37</t>
  </si>
  <si>
    <t>320</t>
  </si>
  <si>
    <t>173</t>
  </si>
  <si>
    <t>464</t>
  </si>
  <si>
    <t>191</t>
  </si>
  <si>
    <t>184</t>
  </si>
  <si>
    <t>175</t>
  </si>
  <si>
    <t>334</t>
  </si>
  <si>
    <t>484</t>
  </si>
  <si>
    <t>499</t>
  </si>
  <si>
    <t>453</t>
  </si>
  <si>
    <t>158</t>
  </si>
  <si>
    <t>45</t>
  </si>
  <si>
    <t>24</t>
  </si>
  <si>
    <t>169</t>
  </si>
  <si>
    <t>23</t>
  </si>
  <si>
    <t>21</t>
  </si>
  <si>
    <t>38</t>
  </si>
  <si>
    <t>51</t>
  </si>
  <si>
    <t>53</t>
  </si>
  <si>
    <t>58</t>
  </si>
  <si>
    <t>171</t>
  </si>
  <si>
    <t>174</t>
  </si>
  <si>
    <t>177</t>
  </si>
  <si>
    <t>183</t>
  </si>
  <si>
    <t>185</t>
  </si>
  <si>
    <t>186</t>
  </si>
  <si>
    <t>243</t>
  </si>
  <si>
    <t>110</t>
  </si>
  <si>
    <t>107</t>
  </si>
  <si>
    <t>95</t>
  </si>
  <si>
    <t>103</t>
  </si>
  <si>
    <t>124</t>
  </si>
  <si>
    <t>98</t>
  </si>
  <si>
    <t>123</t>
  </si>
  <si>
    <t>105</t>
  </si>
  <si>
    <t>116, 508</t>
  </si>
  <si>
    <t>119</t>
  </si>
  <si>
    <t>106</t>
  </si>
  <si>
    <t>128</t>
  </si>
  <si>
    <t>109</t>
  </si>
  <si>
    <t>112</t>
  </si>
  <si>
    <t>99</t>
  </si>
  <si>
    <t>121</t>
  </si>
  <si>
    <t>324, 347, 90</t>
  </si>
  <si>
    <t>463</t>
  </si>
  <si>
    <t>92</t>
  </si>
  <si>
    <t>87</t>
  </si>
  <si>
    <t>114</t>
  </si>
  <si>
    <t>138</t>
  </si>
  <si>
    <t>101</t>
  </si>
  <si>
    <t>122</t>
  </si>
  <si>
    <t>147</t>
  </si>
  <si>
    <t>327</t>
  </si>
  <si>
    <t>125</t>
  </si>
  <si>
    <t>342</t>
  </si>
  <si>
    <t>137</t>
  </si>
  <si>
    <t>167</t>
  </si>
  <si>
    <t>308, 534</t>
  </si>
  <si>
    <t>126</t>
  </si>
  <si>
    <t>328</t>
  </si>
  <si>
    <t>135</t>
  </si>
  <si>
    <t>304</t>
  </si>
  <si>
    <t>309</t>
  </si>
  <si>
    <t>117</t>
  </si>
  <si>
    <t>145</t>
  </si>
  <si>
    <t>310</t>
  </si>
  <si>
    <t>91</t>
  </si>
  <si>
    <t>130</t>
  </si>
  <si>
    <t>142</t>
  </si>
  <si>
    <t>127</t>
  </si>
  <si>
    <t>141</t>
  </si>
  <si>
    <t>144</t>
  </si>
  <si>
    <t>149</t>
  </si>
  <si>
    <t>150</t>
  </si>
  <si>
    <t>131</t>
  </si>
  <si>
    <t>129</t>
  </si>
  <si>
    <t>134</t>
  </si>
  <si>
    <t>326</t>
  </si>
  <si>
    <t>151</t>
  </si>
  <si>
    <t>329</t>
  </si>
  <si>
    <t>120</t>
  </si>
  <si>
    <t>104</t>
  </si>
  <si>
    <t>146</t>
  </si>
  <si>
    <t>133</t>
  </si>
  <si>
    <t>132</t>
  </si>
  <si>
    <t>433</t>
  </si>
  <si>
    <t>113</t>
  </si>
  <si>
    <t>139</t>
  </si>
  <si>
    <t>115</t>
  </si>
  <si>
    <t>96</t>
  </si>
  <si>
    <t>522</t>
  </si>
  <si>
    <t>94</t>
  </si>
  <si>
    <t>143</t>
  </si>
  <si>
    <t>521</t>
  </si>
  <si>
    <t>457</t>
  </si>
  <si>
    <t>325</t>
  </si>
  <si>
    <t>166</t>
  </si>
  <si>
    <t>88</t>
  </si>
  <si>
    <t>89</t>
  </si>
  <si>
    <t>97</t>
  </si>
  <si>
    <t>108</t>
  </si>
  <si>
    <t>93</t>
  </si>
  <si>
    <t>102</t>
  </si>
  <si>
    <t>111</t>
  </si>
  <si>
    <t>118</t>
  </si>
  <si>
    <t>136</t>
  </si>
  <si>
    <t>140</t>
  </si>
  <si>
    <t>148</t>
  </si>
  <si>
    <t>64</t>
  </si>
  <si>
    <t>63</t>
  </si>
  <si>
    <t>217</t>
  </si>
  <si>
    <t>73</t>
  </si>
  <si>
    <t>66</t>
  </si>
  <si>
    <t>67</t>
  </si>
  <si>
    <t>72</t>
  </si>
  <si>
    <t>71</t>
  </si>
  <si>
    <t>252</t>
  </si>
  <si>
    <t>65</t>
  </si>
  <si>
    <t>321, 62</t>
  </si>
  <si>
    <t>69</t>
  </si>
  <si>
    <t>504</t>
  </si>
  <si>
    <t>246</t>
  </si>
  <si>
    <t>260</t>
  </si>
  <si>
    <t>491</t>
  </si>
  <si>
    <t>74</t>
  </si>
  <si>
    <t>68</t>
  </si>
  <si>
    <t>70</t>
  </si>
  <si>
    <t>60</t>
  </si>
  <si>
    <t>259</t>
  </si>
  <si>
    <t>507</t>
  </si>
  <si>
    <t>218</t>
  </si>
  <si>
    <t>59</t>
  </si>
  <si>
    <t>399</t>
  </si>
  <si>
    <t>61</t>
  </si>
  <si>
    <t>373</t>
  </si>
  <si>
    <t>231</t>
  </si>
  <si>
    <t>232</t>
  </si>
  <si>
    <t>458</t>
  </si>
  <si>
    <t>456</t>
  </si>
  <si>
    <t>266</t>
  </si>
  <si>
    <t>470</t>
  </si>
  <si>
    <t>337</t>
  </si>
  <si>
    <t>216, 493</t>
  </si>
  <si>
    <t>225</t>
  </si>
  <si>
    <t>20</t>
  </si>
  <si>
    <t>270</t>
  </si>
  <si>
    <t>383</t>
  </si>
  <si>
    <t>475</t>
  </si>
  <si>
    <t>410</t>
  </si>
  <si>
    <t>153</t>
  </si>
  <si>
    <t>154</t>
  </si>
  <si>
    <t>465</t>
  </si>
  <si>
    <t>7</t>
  </si>
  <si>
    <t>152</t>
  </si>
  <si>
    <t>471</t>
  </si>
  <si>
    <t>250</t>
  </si>
  <si>
    <t>253</t>
  </si>
  <si>
    <t>236</t>
  </si>
  <si>
    <t>264</t>
  </si>
  <si>
    <t>5</t>
  </si>
  <si>
    <t>418</t>
  </si>
  <si>
    <t>424</t>
  </si>
  <si>
    <t>394</t>
  </si>
  <si>
    <t>408</t>
  </si>
  <si>
    <t>421</t>
  </si>
  <si>
    <t>387</t>
  </si>
  <si>
    <t>378</t>
  </si>
  <si>
    <t>392</t>
  </si>
  <si>
    <t>393</t>
  </si>
  <si>
    <t>397</t>
  </si>
  <si>
    <t>404</t>
  </si>
  <si>
    <t>407</t>
  </si>
  <si>
    <t>412</t>
  </si>
  <si>
    <t>420</t>
  </si>
  <si>
    <t>423</t>
  </si>
  <si>
    <t>425</t>
  </si>
  <si>
    <t>478</t>
  </si>
  <si>
    <t>396</t>
  </si>
  <si>
    <t>426</t>
  </si>
  <si>
    <t>411</t>
  </si>
  <si>
    <t>403</t>
  </si>
  <si>
    <t>422</t>
  </si>
  <si>
    <t>406</t>
  </si>
  <si>
    <t>389</t>
  </si>
  <si>
    <t>419</t>
  </si>
  <si>
    <t>390</t>
  </si>
  <si>
    <t>384</t>
  </si>
  <si>
    <t>388</t>
  </si>
  <si>
    <t>398</t>
  </si>
  <si>
    <t>402</t>
  </si>
  <si>
    <t>416</t>
  </si>
  <si>
    <t>409</t>
  </si>
  <si>
    <t>385</t>
  </si>
  <si>
    <t>415</t>
  </si>
  <si>
    <t>414</t>
  </si>
  <si>
    <t>405</t>
  </si>
  <si>
    <t>401</t>
  </si>
  <si>
    <t>395</t>
  </si>
  <si>
    <t>391</t>
  </si>
  <si>
    <t>400</t>
  </si>
  <si>
    <t>372</t>
  </si>
  <si>
    <t>364</t>
  </si>
  <si>
    <t>362</t>
  </si>
  <si>
    <t>354</t>
  </si>
  <si>
    <t>353</t>
  </si>
  <si>
    <t>352</t>
  </si>
  <si>
    <t>351</t>
  </si>
  <si>
    <t>355</t>
  </si>
  <si>
    <t>369</t>
  </si>
  <si>
    <t>363</t>
  </si>
  <si>
    <t>487</t>
  </si>
  <si>
    <t>376</t>
  </si>
  <si>
    <t>367</t>
  </si>
  <si>
    <t>358</t>
  </si>
  <si>
    <t>359</t>
  </si>
  <si>
    <t>370</t>
  </si>
  <si>
    <t>365</t>
  </si>
  <si>
    <t>366</t>
  </si>
  <si>
    <t>360</t>
  </si>
  <si>
    <t>371</t>
  </si>
  <si>
    <t>357</t>
  </si>
  <si>
    <t>526</t>
  </si>
  <si>
    <t>361</t>
  </si>
  <si>
    <t>417</t>
  </si>
  <si>
    <t>474</t>
  </si>
  <si>
    <t>368</t>
  </si>
  <si>
    <t>375</t>
  </si>
  <si>
    <t>477</t>
  </si>
  <si>
    <t>374</t>
  </si>
  <si>
    <t>473</t>
  </si>
  <si>
    <t>386</t>
  </si>
  <si>
    <t>377</t>
  </si>
  <si>
    <t>476</t>
  </si>
  <si>
    <t>356</t>
  </si>
  <si>
    <t>4</t>
  </si>
  <si>
    <t>3</t>
  </si>
  <si>
    <t>286</t>
  </si>
  <si>
    <t>303</t>
  </si>
  <si>
    <t>6</t>
  </si>
  <si>
    <t>213, 214, 215, 428, 429, 430, 431, 432, 436, 481</t>
  </si>
  <si>
    <t>(sin función)</t>
  </si>
  <si>
    <t>14, 15</t>
  </si>
  <si>
    <t>17, 28, 33, 38, 40</t>
  </si>
  <si>
    <t>29, 30, 39, 7, 8, 9</t>
  </si>
  <si>
    <t>12, 13, 31</t>
  </si>
  <si>
    <t>26, 3</t>
  </si>
  <si>
    <t>21, 22, 23, 25, 27, 6</t>
  </si>
  <si>
    <t>37, 4, 5</t>
  </si>
  <si>
    <t>16, 19, 42, 43</t>
  </si>
  <si>
    <t>1, 35, 36</t>
  </si>
  <si>
    <t>2, 32</t>
  </si>
  <si>
    <t>10, 11</t>
  </si>
  <si>
    <t>18</t>
  </si>
  <si>
    <t>2, 8</t>
  </si>
  <si>
    <t>11, 27</t>
  </si>
  <si>
    <t>12, 34</t>
  </si>
  <si>
    <t>Control y conciliación</t>
  </si>
  <si>
    <t>Control</t>
  </si>
  <si>
    <t>Calculado</t>
  </si>
  <si>
    <t>Referencia</t>
  </si>
  <si>
    <t>Diferencia</t>
  </si>
  <si>
    <t>Resultado</t>
  </si>
  <si>
    <t>PIM de todos los proyectos (Base)</t>
  </si>
  <si>
    <t>Hoja "Gerencia de Infraestructura": PIM = Base</t>
  </si>
  <si>
    <t>Hoja "Gerencia de Infraestructura": Devengado = Base</t>
  </si>
  <si>
    <t>Hoja "Gerencias y Oficinas": PIM = Base</t>
  </si>
  <si>
    <t>Hoja "Gerencias y Oficinas": Devengado = Base</t>
  </si>
  <si>
    <t>Hoja "Sin clasificar": PIM = Base</t>
  </si>
  <si>
    <t>Hoja "Sin clasificar": Devengado = Base</t>
  </si>
  <si>
    <t>Hoja "Otras UE": PIM = Base</t>
  </si>
  <si>
    <t>Hoja "Otras UE": Devengado = Base</t>
  </si>
  <si>
    <t>API del MEF: PIM total de proyectos = PIM del SIAF</t>
  </si>
  <si>
    <t>Rubro por UE-CUI: PIM SIAF de la hoja = PIM de los proyectos (Base)</t>
  </si>
  <si>
    <t>Alertas (informativo)</t>
  </si>
  <si>
    <t>Proyectos sin gerencia asignada (completar en maestro.xlsx, hoja Clasificacion)</t>
  </si>
  <si>
    <t>Filas sin datos en Cartera (montos 2026-2029 = "No registrado en cartera")</t>
  </si>
  <si>
    <t>Filas con nota de clasificación</t>
  </si>
  <si>
    <t>Filas con PIM &gt; 0 sin ficha SSI ni 12-B (semáforo con datos incompletos)</t>
  </si>
  <si>
    <t>CUI con cobertura de rubro incompleta (ver hoja Rubro por CUI)</t>
  </si>
  <si>
    <t>UE-CUI cuyo rubro no se pudo repartir por UE (solo ocurre con la Consulta Amigable)</t>
  </si>
  <si>
    <t>Avisos de la corrida</t>
  </si>
  <si>
    <t>Cartera del MEF consultada SIN verificar el certificado SSL (no se pudo validar en esta PC).</t>
  </si>
  <si>
    <t>Proyectos sin clasificar:</t>
  </si>
  <si>
    <t>2681141 meta 0533 · PIM 100,000 · 2681141: MEJORAMIENTO DEL SERVICIO DE ATENCIÓN DE SALUD BÁSICOS EN HUACULLANI   DISTRITO DE HUACULLA</t>
  </si>
  <si>
    <t>2231037 meta 0499 · PIM 20,166 · 2231037: MEJORAMIENTO DE LOS SERVICIOS EDUCATIVOS EN LA I.E.I. N 596 MUNAYPATA DEL CENTRO POBLADO DE</t>
  </si>
  <si>
    <t>Qué cambió desde la corrida anterior</t>
  </si>
  <si>
    <t>Comparado con la corrida del 09/10/2026 19:48. Se listan proyectos nuevos, que ya no aparecen, que cambiaron de semáforo o cuyo disponible/PIM varió en S/ 1 000 o más.</t>
  </si>
  <si>
    <t>20 cambios</t>
  </si>
  <si>
    <t>Tipo de cambio</t>
  </si>
  <si>
    <t>Semáforo antes</t>
  </si>
  <si>
    <t>Semáforo ahora</t>
  </si>
  <si>
    <t>Disponible antes</t>
  </si>
  <si>
    <t>Disponible ahora</t>
  </si>
  <si>
    <t>Variación</t>
  </si>
  <si>
    <t>PIM antes</t>
  </si>
  <si>
    <t>PIM ahora</t>
  </si>
  <si>
    <t>Cambió el semáforo + Cambió el disponible</t>
  </si>
  <si>
    <t>Cambió el semáforo</t>
  </si>
  <si>
    <t>Disponible</t>
  </si>
  <si>
    <t>Calidad de datos · qué falta o hay que validar · al 09/10/2026</t>
  </si>
  <si>
    <t>Los datos faltantes nunca se inventan: quedan como "s/d" y el semáforo lo indica en el motivo.</t>
  </si>
  <si>
    <t>Indicador</t>
  </si>
  <si>
    <t>Filas</t>
  </si>
  <si>
    <t>PIM 2026 afectado</t>
  </si>
  <si>
    <t>Qué hacer</t>
  </si>
  <si>
    <t>Con PIM pero sin ficha SSI (tipo de inversión y avance acumulado no verificables)</t>
  </si>
  <si>
    <t>Reintentar mañana; si persiste, subir ConsultaAvanzada a "entrada".</t>
  </si>
  <si>
    <t>Con PIM pero sin Formato 12-B (saldo libre = PIM − certificado; sin programación)</t>
  </si>
  <si>
    <t>Pedir a la OPMI/UEI que registre el 12-B.</t>
  </si>
  <si>
    <t>Con 12-B pero sin programación vigente (todos los meses en 0)</t>
  </si>
  <si>
    <t>La UEI debe actualizar el 12-B.</t>
  </si>
  <si>
    <t>Con PIM y no figuran en la Cartera PMI (montos 2026-2029 no disponibles)</t>
  </si>
  <si>
    <t>Normal para PROCOMPITE o inversiones no registradas en Invierte.</t>
  </si>
  <si>
    <t>Sin costo actualizado (no se calcula % de avance acumulado)</t>
  </si>
  <si>
    <t>Revisar ficha de la inversión.</t>
  </si>
  <si>
    <t>Con cierre registrado o estado distinto de ACTIVO y aún con PIM</t>
  </si>
  <si>
    <t>Posible liberación de PIM: validar con la UEI.</t>
  </si>
  <si>
    <t>Sin gerencia asignada (UE 001)</t>
  </si>
  <si>
    <t>Completar en maestro.xlsx.</t>
  </si>
  <si>
    <t>Detalle (filtrable)</t>
  </si>
  <si>
    <t>Con PIM pero sin Formato 12-B (saldo libre = PIM − certifica</t>
  </si>
  <si>
    <t>Con 12-B pero sin programación vigente (todos los meses en 0</t>
  </si>
  <si>
    <t xml:space="preserve">Con PIM y no figuran en la Cartera PMI (montos 2026-2029 no </t>
  </si>
  <si>
    <t xml:space="preserve">Con cierre registrado o estado distinto de ACTIVO y aún con </t>
  </si>
  <si>
    <t>Reglas aplicadas (se evalúan en este orden)</t>
  </si>
  <si>
    <t>SEMÁFORO de cada fila UE-CUI-meta. Los parámetros viven en config.json (monto_minimo, umbral_ejecutado, umbral_avance_acumulado, anexo1_cuis).</t>
  </si>
  <si>
    <t xml:space="preserve">  1. Sin PIM: PIM = 0.</t>
  </si>
  <si>
    <t xml:space="preserve">  2. Bolsa genérica: códigos 2001621 (estudios de preinversión) y 2016766 (iniciativa a la competitividad). No son inversiones con CUI propio.</t>
  </si>
  <si>
    <t xml:space="preserve">  3. NO MOVER: devengado 2026 / PIM ≥ 90%, o avance financiero acumulado (devengado acumulado / costo actualizado) &gt; 90% (Art. 11 Ley 32513).</t>
  </si>
  <si>
    <t xml:space="preserve">  4. RESTRINGIDO: tipo PROCOMPITE o CUI de la lista del Anexo I (recursos con destino específico). El Anexo I se carga en config.json → anexo1_cuis (pendiente de la OPMI).</t>
  </si>
  <si>
    <t xml:space="preserve">  5. SIN SALDO ÚTIL: saldo libre menor al monto mínimo (S/ 10 000). Si además hay S/ 10 000 o más certificados sin comprometer ni programar en el 12-B: REBAJANDO CERTIFICACIÓN (azul).</t>
  </si>
  <si>
    <t xml:space="preserve">  6. CON CONDICIONES (amarillo): hay saldo libre pero está programado en el PMI 2026, tiene monto en el PMI 2027, no tiene 12-B vigente o no tiene ficha SSI.</t>
  </si>
  <si>
    <t xml:space="preserve">  7. DISPONIBLE (verde): saldo libre y sin ninguna de las condiciones anteriores (no está en el PMI 2026 ni 2027).</t>
  </si>
  <si>
    <t>POTENCIAL rebajando certificación = menor entre (PIM − 12-B) y (PIM − compromiso), menos el saldo libre: lo certificado que no está comprometido ni programado. Solo se puede usar si la UEI rebaja la certificación.</t>
  </si>
  <si>
    <t>SALDO LIBRE (Disponible legal, por CUI y repartido entre sus filas): menor entre (PIM − programación 12-B 2026 actualizada) y (PIM − certificación). Si no hay 12-B vigente: PIM − certificación.</t>
  </si>
  <si>
    <t xml:space="preserve">  EXCEPCIÓN: si el proyecto NO está en ningún PMI (ni Cartera del GR ni indicador PMI de la ficha SSI), el 12-B no limita el saldo (saldo libre = PIM − certificación) y se marca "Con condiciones": la UEI debe actualizar su 12-B (impedimento comprobable, num. 11.2).</t>
  </si>
  <si>
    <t xml:space="preserve">  La programación 12-B 2026 suma los 12 meses (enero a la fecha = devengado real; resto = programado). Lo no programado ni certificado es lo que puede cederse.</t>
  </si>
  <si>
    <t xml:space="preserve">  Restricciones del Art. 11 que NO se pueden verificar con datos públicos: deudas contractuales por devengar y fondos de transferencias condicionadas. Validar antes de decidir.</t>
  </si>
  <si>
    <t>PMI: "en el PMI" = monto 2026 en la Cartera del GR o ficha SSI con indicador PMI = SI (inversiones de municipalidades u otros sectores que la UEI del GR ejecuta). 2026 = monto 2026 de la Cartera PMI; 2027 = monto 2027. Un proyecto fuera del PMI 2026 respalda el "impedimento comprobable" (num. 11.2); con monto en 2027 es más difícil ceder su presupuesto.</t>
  </si>
  <si>
    <t>TIPO DE INVERSIÓN (proyecto, IOARR, PROCOMPITE): informativo, salvo PROCOMPITE que es Restringido. No cambia el semáforo del resto.</t>
  </si>
  <si>
    <t>No se usa ningún % de compromiso: se trabaja con saldos (sin certificar, certificado no comprometido, sin devengar).</t>
  </si>
  <si>
    <t>FUENTES: PIM, certificado, compromiso y devengado = API de ejecución del MEF (o reporte SIAF); tipo, estado, cierre y costo = ficha SSI; programación y devengado acumulado = 12-B (Datos Abiertos);</t>
  </si>
  <si>
    <t xml:space="preserve">  PMI 2026-2029 = Cartera PMI; gerencia = maestro.xlsx (Alex) + Silucia. Ver hoja Config para la fecha de cada fuente.</t>
  </si>
  <si>
    <t>MODALIDAD DE EJECUCIÓN (derivada del SIAF, específicas con PIM &gt; 0): Contrata · Administración directa · Expediente técnico · Estudio de preinversión · Laudos · Equipamiento · Personal/bienes/servicios.</t>
  </si>
  <si>
    <t>GERENCIA / GRUPO (UE 001): maestro.xlsx. Los proyectos nuevos aparecen en "Sin clasificar" y se agregan solos al maestro (completar la Gerencia).</t>
  </si>
  <si>
    <t>Otras UE: una sola hoja ("Otras UE") agrupada por unidad ejecutora y función.</t>
  </si>
</sst>
</file>

<file path=xl/styles.xml><?xml version="1.0" encoding="utf-8"?>
<styleSheet xmlns="http://schemas.openxmlformats.org/spreadsheetml/2006/main">
  <numFmts count="6">
    <numFmt numFmtId="164" formatCode="&quot;S/ &quot;#,##0"/>
    <numFmt numFmtId="165" formatCode="#,##0;(#,##0);&quot;-&quot;"/>
    <numFmt numFmtId="166" formatCode="0%"/>
    <numFmt numFmtId="167" formatCode="0.0%"/>
    <numFmt numFmtId="168" formatCode="#,##0.00;(#,##0.00);&quot;-&quot;"/>
    <numFmt numFmtId="169" formatCode="#,##0.##"/>
  </numFmts>
  <fonts count="13">
    <font>
      <sz val="11"/>
      <color theme="1"/>
      <name val="Calibri"/>
      <family val="2"/>
      <scheme val="minor"/>
    </font>
    <font>
      <b/>
      <sz val="14"/>
      <color theme="1"/>
      <name val="Arial"/>
      <family val="2"/>
    </font>
    <font>
      <i/>
      <sz val="9"/>
      <color rgb="FF595959"/>
      <name val="Arial"/>
      <family val="2"/>
    </font>
    <font>
      <b/>
      <sz val="9"/>
      <color rgb="FF595959"/>
      <name val="Arial"/>
      <family val="2"/>
    </font>
    <font>
      <b/>
      <sz val="13"/>
      <color theme="1"/>
      <name val="Arial"/>
      <family val="2"/>
    </font>
    <font>
      <b/>
      <sz val="9"/>
      <color theme="1"/>
      <name val="Arial"/>
      <family val="2"/>
    </font>
    <font>
      <b/>
      <sz val="9"/>
      <color rgb="FFFFFFFF"/>
      <name val="Arial"/>
      <family val="2"/>
    </font>
    <font>
      <sz val="9"/>
      <color theme="1"/>
      <name val="Arial"/>
      <family val="2"/>
    </font>
    <font>
      <b/>
      <sz val="9"/>
      <color rgb="FF000000"/>
      <name val="Arial"/>
      <family val="2"/>
    </font>
    <font>
      <b/>
      <sz val="12"/>
      <color theme="1"/>
      <name val="Arial"/>
      <family val="2"/>
    </font>
    <font>
      <b/>
      <i/>
      <sz val="9"/>
      <color theme="1"/>
      <name val="Arial"/>
      <family val="2"/>
    </font>
    <font>
      <sz val="9"/>
      <color rgb="FF0000FF"/>
      <name val="Arial"/>
      <family val="2"/>
    </font>
    <font>
      <sz val="9"/>
      <color rgb="FFC00000"/>
      <name val="Arial"/>
      <family val="2"/>
    </font>
  </fonts>
  <fills count="8">
    <fill>
      <patternFill patternType="none"/>
    </fill>
    <fill>
      <patternFill patternType="gray125"/>
    </fill>
    <fill>
      <patternFill patternType="solid">
        <fgColor rgb="FF002060"/>
        <bgColor indexed="64"/>
      </patternFill>
    </fill>
    <fill>
      <patternFill patternType="solid">
        <fgColor rgb="FFD9D9D9"/>
        <bgColor indexed="64"/>
      </patternFill>
    </fill>
    <fill>
      <patternFill patternType="solid">
        <fgColor rgb="FFB4C6E7"/>
        <bgColor indexed="64"/>
      </patternFill>
    </fill>
    <fill>
      <patternFill patternType="solid">
        <fgColor rgb="FFFFFF00"/>
        <bgColor indexed="64"/>
      </patternFill>
    </fill>
    <fill>
      <patternFill patternType="solid">
        <fgColor rgb="FFF4B08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applyAlignment="1">
      <alignment horizontal="left"/>
    </xf>
    <xf numFmtId="0" fontId="5" fillId="0" borderId="0" xfId="0" applyFont="1"/>
    <xf numFmtId="0" fontId="6" fillId="2" borderId="1" xfId="0" applyFont="1" applyFill="1" applyBorder="1" applyAlignment="1">
      <alignment horizontal="center" vertical="center" wrapText="1"/>
    </xf>
    <xf numFmtId="0" fontId="7" fillId="0" borderId="1" xfId="0" applyFont="1" applyBorder="1" applyAlignment="1">
      <alignment vertical="center" wrapText="1"/>
    </xf>
    <xf numFmtId="165" fontId="7" fillId="0" borderId="1" xfId="0" applyNumberFormat="1" applyFont="1" applyBorder="1" applyAlignment="1">
      <alignment horizontal="right" vertical="center"/>
    </xf>
    <xf numFmtId="0" fontId="8" fillId="3" borderId="1" xfId="0" applyFont="1" applyFill="1" applyBorder="1"/>
    <xf numFmtId="165" fontId="8" fillId="3" borderId="1" xfId="0" applyNumberFormat="1" applyFont="1" applyFill="1" applyBorder="1"/>
    <xf numFmtId="164" fontId="9" fillId="0" borderId="0" xfId="0" applyNumberFormat="1" applyFont="1" applyAlignment="1">
      <alignment horizontal="left"/>
    </xf>
    <xf numFmtId="0" fontId="7" fillId="0" borderId="0" xfId="0" applyFont="1"/>
    <xf numFmtId="0" fontId="7" fillId="0" borderId="1" xfId="0" applyFont="1" applyBorder="1" applyAlignment="1">
      <alignment horizontal="center" vertical="top"/>
    </xf>
    <xf numFmtId="0" fontId="7" fillId="0" borderId="1" xfId="0" applyFont="1" applyBorder="1" applyAlignment="1">
      <alignment vertical="top" wrapText="1"/>
    </xf>
    <xf numFmtId="165" fontId="7" fillId="0" borderId="1" xfId="0" applyNumberFormat="1" applyFont="1" applyBorder="1" applyAlignment="1">
      <alignment vertical="top"/>
    </xf>
    <xf numFmtId="166" fontId="7" fillId="0" borderId="1" xfId="0" applyNumberFormat="1" applyFont="1" applyBorder="1" applyAlignment="1">
      <alignment horizontal="center" vertical="top"/>
    </xf>
    <xf numFmtId="0" fontId="7" fillId="0" borderId="0" xfId="0" applyFont="1" applyAlignment="1">
      <alignment horizontal="center" vertical="center"/>
    </xf>
    <xf numFmtId="165" fontId="7" fillId="0" borderId="0" xfId="0" applyNumberFormat="1" applyFont="1" applyAlignment="1">
      <alignment horizontal="right" vertical="center"/>
    </xf>
    <xf numFmtId="0" fontId="9" fillId="0" borderId="0" xfId="0" applyFont="1"/>
    <xf numFmtId="0" fontId="10" fillId="4" borderId="1" xfId="0" applyFont="1" applyFill="1" applyBorder="1" applyAlignment="1">
      <alignment horizontal="center" vertical="center" wrapText="1"/>
    </xf>
    <xf numFmtId="0" fontId="8" fillId="5" borderId="1" xfId="0" applyFont="1" applyFill="1" applyBorder="1"/>
    <xf numFmtId="165" fontId="8" fillId="5" borderId="1" xfId="0" applyNumberFormat="1" applyFont="1" applyFill="1" applyBorder="1"/>
    <xf numFmtId="167" fontId="8" fillId="5" borderId="1" xfId="0" applyNumberFormat="1" applyFont="1" applyFill="1" applyBorder="1" applyAlignment="1">
      <alignment horizontal="center"/>
    </xf>
    <xf numFmtId="167" fontId="8" fillId="3" borderId="1" xfId="0" applyNumberFormat="1" applyFont="1" applyFill="1" applyBorder="1" applyAlignment="1">
      <alignment horizontal="center"/>
    </xf>
    <xf numFmtId="0" fontId="8" fillId="6" borderId="1" xfId="0" applyFont="1" applyFill="1" applyBorder="1"/>
    <xf numFmtId="165" fontId="8" fillId="6" borderId="1" xfId="0" applyNumberFormat="1" applyFont="1" applyFill="1" applyBorder="1"/>
    <xf numFmtId="167" fontId="8" fillId="6" borderId="1" xfId="0" applyNumberFormat="1" applyFont="1" applyFill="1" applyBorder="1" applyAlignment="1">
      <alignment horizontal="center"/>
    </xf>
    <xf numFmtId="0" fontId="7" fillId="0" borderId="1" xfId="0" applyFont="1" applyBorder="1" applyAlignment="1">
      <alignment horizontal="center" vertical="center"/>
    </xf>
    <xf numFmtId="167" fontId="7" fillId="0" borderId="1" xfId="0" applyNumberFormat="1" applyFont="1" applyBorder="1" applyAlignment="1">
      <alignment horizontal="center" vertical="center"/>
    </xf>
    <xf numFmtId="0" fontId="6" fillId="2" borderId="1" xfId="0" applyFont="1" applyFill="1" applyBorder="1"/>
    <xf numFmtId="165" fontId="6" fillId="2" borderId="1" xfId="0" applyNumberFormat="1" applyFont="1" applyFill="1" applyBorder="1"/>
    <xf numFmtId="167" fontId="6" fillId="2" borderId="1" xfId="0" applyNumberFormat="1" applyFont="1" applyFill="1" applyBorder="1" applyAlignment="1">
      <alignment horizontal="center"/>
    </xf>
    <xf numFmtId="165" fontId="11" fillId="0" borderId="1" xfId="0" applyNumberFormat="1" applyFont="1" applyBorder="1" applyAlignment="1">
      <alignment horizontal="right"/>
    </xf>
    <xf numFmtId="0" fontId="7" fillId="0" borderId="0" xfId="0" applyFont="1" applyAlignment="1">
      <alignment vertical="center" wrapText="1"/>
    </xf>
    <xf numFmtId="165" fontId="11" fillId="0" borderId="0" xfId="0" applyNumberFormat="1" applyFont="1" applyAlignment="1">
      <alignment horizontal="right"/>
    </xf>
    <xf numFmtId="167" fontId="7" fillId="0" borderId="0" xfId="0" applyNumberFormat="1" applyFont="1" applyAlignment="1">
      <alignment horizontal="center" vertical="center"/>
    </xf>
    <xf numFmtId="0" fontId="7" fillId="0" borderId="1" xfId="0" applyFont="1" applyBorder="1"/>
    <xf numFmtId="168" fontId="7" fillId="0" borderId="1" xfId="0" applyNumberFormat="1" applyFont="1" applyBorder="1"/>
    <xf numFmtId="0" fontId="12" fillId="0" borderId="0" xfId="0" applyFont="1"/>
    <xf numFmtId="169" fontId="11" fillId="7" borderId="1" xfId="0" applyNumberFormat="1" applyFont="1" applyFill="1" applyBorder="1"/>
  </cellXfs>
  <cellStyles count="1">
    <cellStyle name="Normal" xfId="0" builtinId="0"/>
  </cellStyles>
  <dxfs count="7">
    <dxf>
      <fill>
        <patternFill>
          <bgColor rgb="FFC6EFCE"/>
        </patternFill>
      </fill>
    </dxf>
    <dxf>
      <fill>
        <patternFill>
          <bgColor rgb="FFFFEB9C"/>
        </patternFill>
      </fill>
    </dxf>
    <dxf>
      <fill>
        <patternFill>
          <bgColor rgb="FFDDEBF7"/>
        </patternFill>
      </fill>
    </dxf>
    <dxf>
      <fill>
        <patternFill>
          <bgColor rgb="FFF8CBAD"/>
        </patternFill>
      </fill>
    </dxf>
    <dxf>
      <fill>
        <patternFill>
          <bgColor rgb="FFFFC7CE"/>
        </patternFill>
      </fill>
    </dxf>
    <dxf>
      <fill>
        <patternFill>
          <bgColor rgb="FFEDEDED"/>
        </patternFill>
      </fill>
    </dxf>
    <dxf>
      <fill>
        <patternFill>
          <bgColor rgb="FFD9E1F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2"/>
  <sheetViews>
    <sheetView tabSelected="1" workbookViewId="0">
      <pane xSplit="1" topLeftCell="B1" activePane="topRight" state="frozen"/>
      <selection pane="topRight"/>
    </sheetView>
  </sheetViews>
  <sheetFormatPr defaultRowHeight="15"/>
  <cols>
    <col min="1" max="1" width="58.7109375" customWidth="1"/>
    <col min="2" max="2" width="22.7109375" customWidth="1"/>
    <col min="3" max="12" width="17.7109375" customWidth="1"/>
  </cols>
  <sheetData>
    <row r="1" spans="1:12">
      <c r="A1" s="1" t="s">
        <v>1753</v>
      </c>
    </row>
    <row r="2" spans="1:12">
      <c r="A2" s="2" t="s">
        <v>1754</v>
      </c>
    </row>
    <row r="4" spans="1:12">
      <c r="A4" s="3" t="s">
        <v>1755</v>
      </c>
      <c r="B4" s="4">
        <f>SUMIFS(Base!$K$5:$K$504,Base!$J$5:$J$504,"Disponible")</f>
        <v>0</v>
      </c>
    </row>
    <row r="5" spans="1:12">
      <c r="A5" s="3" t="s">
        <v>1756</v>
      </c>
      <c r="B5" s="4">
        <f>SUMIFS(Base!$K$5:$K$504,Base!$J$5:$J$504,"Con condiciones")</f>
        <v>9379726.350956457</v>
      </c>
    </row>
    <row r="6" spans="1:12">
      <c r="A6" s="3" t="s">
        <v>1757</v>
      </c>
      <c r="B6" s="4">
        <f>SUMIFS(Base!$K$5:$K$504,Base!$J$5:$J$504,"Restringido")</f>
        <v>1267703.19</v>
      </c>
    </row>
    <row r="7" spans="1:12">
      <c r="A7" s="3" t="s">
        <v>1758</v>
      </c>
      <c r="B7" s="4">
        <f>SUMIFS(Base!$L$5:$L$504,Base!$J$5:$J$504,"Disponible")+SUMIFS(Base!$L$5:$L$504,Base!$J$5:$J$504,"Con condiciones")+SUMIFS(Base!$L$5:$L$504,Base!$J$5:$J$504,"Rebajando certificación")</f>
        <v>71996647.66246937</v>
      </c>
    </row>
    <row r="8" spans="1:12">
      <c r="A8" s="2" t="s">
        <v>1759</v>
      </c>
    </row>
    <row r="10" spans="1:12">
      <c r="A10" s="5" t="s">
        <v>1760</v>
      </c>
    </row>
    <row r="11" spans="1:12" ht="44" customHeight="1">
      <c r="A11" s="6" t="s">
        <v>1761</v>
      </c>
      <c r="B11" s="6" t="s">
        <v>1762</v>
      </c>
      <c r="C11" s="6" t="s">
        <v>47</v>
      </c>
      <c r="D11" s="6" t="s">
        <v>48</v>
      </c>
      <c r="E11" s="6" t="s">
        <v>50</v>
      </c>
      <c r="F11" s="6" t="s">
        <v>1763</v>
      </c>
      <c r="G11" s="6" t="s">
        <v>1764</v>
      </c>
      <c r="H11" s="6" t="s">
        <v>1765</v>
      </c>
      <c r="I11" s="6" t="s">
        <v>1766</v>
      </c>
      <c r="J11" s="6" t="s">
        <v>1767</v>
      </c>
      <c r="K11" s="6" t="s">
        <v>1768</v>
      </c>
      <c r="L11" s="6" t="s">
        <v>1758</v>
      </c>
    </row>
    <row r="12" spans="1:12">
      <c r="A12" s="7" t="s">
        <v>1769</v>
      </c>
      <c r="B12" s="8">
        <f>COUNTIFS(Base!$A$5:$A$504,"001")</f>
        <v>437</v>
      </c>
      <c r="C12" s="8">
        <f>SUMIFS(Base!$N$5:$N$504,Base!$A$5:$A$504,"001")</f>
        <v>895026984.0</v>
      </c>
      <c r="D12" s="8">
        <f>SUMIFS(Base!$O$5:$O$504,Base!$A$5:$A$504,"001")</f>
        <v>833697707.17</v>
      </c>
      <c r="E12" s="8">
        <f>SUMIFS(Base!$Q$5:$Q$504,Base!$A$5:$A$504,"001")</f>
        <v>437817077.57</v>
      </c>
      <c r="F12" s="8">
        <f>C12-D12</f>
        <v>61329276.83000004</v>
      </c>
      <c r="G12" s="8">
        <f>SUMIFS(Base!$K$5:$K$504,Base!$A$5:$A$504,"001",Base!$J$5:$J$504,"Disponible")</f>
        <v>0</v>
      </c>
      <c r="H12" s="8">
        <f>SUMIFS(Base!$K$5:$K$504,Base!$A$5:$A$504,"001",Base!$J$5:$J$504,"Con condiciones")</f>
        <v>8673723.992350398</v>
      </c>
      <c r="I12" s="8">
        <f>SUMIFS(Base!$K$5:$K$504,Base!$A$5:$A$504,"001",Base!$J$5:$J$504,"Restringido")</f>
        <v>1267703.19</v>
      </c>
      <c r="J12" s="8">
        <f>SUMIFS(Base!$N$5:$N$504,Base!$A$5:$A$504,"001",Base!$J$5:$J$504,"No mover")</f>
        <v>140037928.0</v>
      </c>
      <c r="K12" s="8">
        <f>C12-SUMIFS(Base!$N$5:$N$504,Base!$A$5:$A$504,"001",Base!$J$5:$J$504,"Disponible")-SUMIFS(Base!$N$5:$N$504,Base!$A$5:$A$504,"001",Base!$J$5:$J$504,"Con condiciones")-SUMIFS(Base!$N$5:$N$504,Base!$A$5:$A$504,"001",Base!$J$5:$J$504,"Restringido")-J12</f>
        <v>650989858.0</v>
      </c>
      <c r="L12" s="8">
        <f>SUMIFS(Base!$L$5:$L$504,Base!$A$5:$A$504,"001",Base!$J$5:$J$504,"Disponible")+SUMIFS(Base!$L$5:$L$504,Base!$A$5:$A$504,"001",Base!$J$5:$J$504,"Con condiciones")+SUMIFS(Base!$L$5:$L$504,Base!$A$5:$A$504,"001",Base!$J$5:$J$504,"Rebajando certificación")</f>
        <v>71516769.36</v>
      </c>
    </row>
    <row r="13" spans="1:12">
      <c r="A13" s="7" t="s">
        <v>1609</v>
      </c>
      <c r="B13" s="8">
        <f>COUNTIFS(Base!$A$5:$A$504,"002")</f>
        <v>4</v>
      </c>
      <c r="C13" s="8">
        <f>SUMIFS(Base!$N$5:$N$504,Base!$A$5:$A$504,"002")</f>
        <v>2582404.0</v>
      </c>
      <c r="D13" s="8">
        <f>SUMIFS(Base!$O$5:$O$504,Base!$A$5:$A$504,"002")</f>
        <v>1853925.82</v>
      </c>
      <c r="E13" s="8">
        <f>SUMIFS(Base!$Q$5:$Q$504,Base!$A$5:$A$504,"002")</f>
        <v>1594267.12</v>
      </c>
      <c r="F13" s="8">
        <f>C13-D13</f>
        <v>728478.1799999999</v>
      </c>
      <c r="G13" s="8">
        <f>SUMIFS(Base!$K$5:$K$504,Base!$A$5:$A$504,"002",Base!$J$5:$J$504,"Disponible")</f>
        <v>0</v>
      </c>
      <c r="H13" s="8">
        <f>SUMIFS(Base!$K$5:$K$504,Base!$A$5:$A$504,"002",Base!$J$5:$J$504,"Con condiciones")</f>
        <v>45000.0</v>
      </c>
      <c r="I13" s="8">
        <f>SUMIFS(Base!$K$5:$K$504,Base!$A$5:$A$504,"002",Base!$J$5:$J$504,"Restringido")</f>
        <v>0</v>
      </c>
      <c r="J13" s="8">
        <f>SUMIFS(Base!$N$5:$N$504,Base!$A$5:$A$504,"002",Base!$J$5:$J$504,"No mover")</f>
        <v>119950.0</v>
      </c>
      <c r="K13" s="8">
        <f>C13-SUMIFS(Base!$N$5:$N$504,Base!$A$5:$A$504,"002",Base!$J$5:$J$504,"Disponible")-SUMIFS(Base!$N$5:$N$504,Base!$A$5:$A$504,"002",Base!$J$5:$J$504,"Con condiciones")-SUMIFS(Base!$N$5:$N$504,Base!$A$5:$A$504,"002",Base!$J$5:$J$504,"Restringido")-J13</f>
        <v>2417454.0</v>
      </c>
      <c r="L13" s="8">
        <f>SUMIFS(Base!$L$5:$L$504,Base!$A$5:$A$504,"002",Base!$J$5:$J$504,"Disponible")+SUMIFS(Base!$L$5:$L$504,Base!$A$5:$A$504,"002",Base!$J$5:$J$504,"Con condiciones")+SUMIFS(Base!$L$5:$L$504,Base!$A$5:$A$504,"002",Base!$J$5:$J$504,"Rebajando certificación")</f>
        <v>0.0</v>
      </c>
    </row>
    <row r="14" spans="1:12">
      <c r="A14" s="7" t="s">
        <v>1620</v>
      </c>
      <c r="B14" s="8">
        <f>COUNTIFS(Base!$A$5:$A$504,"003")</f>
        <v>41</v>
      </c>
      <c r="C14" s="8">
        <f>SUMIFS(Base!$N$5:$N$504,Base!$A$5:$A$504,"003")</f>
        <v>55637342.0</v>
      </c>
      <c r="D14" s="8">
        <f>SUMIFS(Base!$O$5:$O$504,Base!$A$5:$A$504,"003")</f>
        <v>51017385.46</v>
      </c>
      <c r="E14" s="8">
        <f>SUMIFS(Base!$Q$5:$Q$504,Base!$A$5:$A$504,"003")</f>
        <v>33578061.61</v>
      </c>
      <c r="F14" s="8">
        <f>C14-D14</f>
        <v>4619956.539999999</v>
      </c>
      <c r="G14" s="8">
        <f>SUMIFS(Base!$K$5:$K$504,Base!$A$5:$A$504,"003",Base!$J$5:$J$504,"Disponible")</f>
        <v>0</v>
      </c>
      <c r="H14" s="8">
        <f>SUMIFS(Base!$K$5:$K$504,Base!$A$5:$A$504,"003",Base!$J$5:$J$504,"Con condiciones")</f>
        <v>661002.3586060584</v>
      </c>
      <c r="I14" s="8">
        <f>SUMIFS(Base!$K$5:$K$504,Base!$A$5:$A$504,"003",Base!$J$5:$J$504,"Restringido")</f>
        <v>0</v>
      </c>
      <c r="J14" s="8">
        <f>SUMIFS(Base!$N$5:$N$504,Base!$A$5:$A$504,"003",Base!$J$5:$J$504,"No mover")</f>
        <v>18969913.0</v>
      </c>
      <c r="K14" s="8">
        <f>C14-SUMIFS(Base!$N$5:$N$504,Base!$A$5:$A$504,"003",Base!$J$5:$J$504,"Disponible")-SUMIFS(Base!$N$5:$N$504,Base!$A$5:$A$504,"003",Base!$J$5:$J$504,"Con condiciones")-SUMIFS(Base!$N$5:$N$504,Base!$A$5:$A$504,"003",Base!$J$5:$J$504,"Restringido")-J14</f>
        <v>21058189.0</v>
      </c>
      <c r="L14" s="8">
        <f>SUMIFS(Base!$L$5:$L$504,Base!$A$5:$A$504,"003",Base!$J$5:$J$504,"Disponible")+SUMIFS(Base!$L$5:$L$504,Base!$A$5:$A$504,"003",Base!$J$5:$J$504,"Con condiciones")+SUMIFS(Base!$L$5:$L$504,Base!$A$5:$A$504,"003",Base!$J$5:$J$504,"Rebajando certificación")</f>
        <v>479878.30246937426</v>
      </c>
    </row>
    <row r="15" spans="1:12">
      <c r="A15" s="7" t="s">
        <v>1664</v>
      </c>
      <c r="B15" s="8">
        <f>COUNTIFS(Base!$A$5:$A$504,"005")</f>
        <v>6</v>
      </c>
      <c r="C15" s="8">
        <f>SUMIFS(Base!$N$5:$N$504,Base!$A$5:$A$504,"005")</f>
        <v>20087412.0</v>
      </c>
      <c r="D15" s="8">
        <f>SUMIFS(Base!$O$5:$O$504,Base!$A$5:$A$504,"005")</f>
        <v>19625208.96</v>
      </c>
      <c r="E15" s="8">
        <f>SUMIFS(Base!$Q$5:$Q$504,Base!$A$5:$A$504,"005")</f>
        <v>15134741.829999998</v>
      </c>
      <c r="F15" s="8">
        <f>C15-D15</f>
        <v>462203.0399999991</v>
      </c>
      <c r="G15" s="8">
        <f>SUMIFS(Base!$K$5:$K$504,Base!$A$5:$A$504,"005",Base!$J$5:$J$504,"Disponible")</f>
        <v>0</v>
      </c>
      <c r="H15" s="8">
        <f>SUMIFS(Base!$K$5:$K$504,Base!$A$5:$A$504,"005",Base!$J$5:$J$504,"Con condiciones")</f>
        <v>0</v>
      </c>
      <c r="I15" s="8">
        <f>SUMIFS(Base!$K$5:$K$504,Base!$A$5:$A$504,"005",Base!$J$5:$J$504,"Restringido")</f>
        <v>0</v>
      </c>
      <c r="J15" s="8">
        <f>SUMIFS(Base!$N$5:$N$504,Base!$A$5:$A$504,"005",Base!$J$5:$J$504,"No mover")</f>
        <v>3912438.0</v>
      </c>
      <c r="K15" s="8">
        <f>C15-SUMIFS(Base!$N$5:$N$504,Base!$A$5:$A$504,"005",Base!$J$5:$J$504,"Disponible")-SUMIFS(Base!$N$5:$N$504,Base!$A$5:$A$504,"005",Base!$J$5:$J$504,"Con condiciones")-SUMIFS(Base!$N$5:$N$504,Base!$A$5:$A$504,"005",Base!$J$5:$J$504,"Restringido")-J15</f>
        <v>16174974.0</v>
      </c>
      <c r="L15" s="8">
        <f>SUMIFS(Base!$L$5:$L$504,Base!$A$5:$A$504,"005",Base!$J$5:$J$504,"Disponible")+SUMIFS(Base!$L$5:$L$504,Base!$A$5:$A$504,"005",Base!$J$5:$J$504,"Con condiciones")+SUMIFS(Base!$L$5:$L$504,Base!$A$5:$A$504,"005",Base!$J$5:$J$504,"Rebajando certificación")</f>
        <v>0</v>
      </c>
    </row>
    <row r="16" spans="1:12">
      <c r="A16" s="7" t="s">
        <v>1679</v>
      </c>
      <c r="B16" s="8">
        <f>COUNTIFS(Base!$A$5:$A$504,"100")</f>
        <v>10</v>
      </c>
      <c r="C16" s="8">
        <f>SUMIFS(Base!$N$5:$N$504,Base!$A$5:$A$504,"100")</f>
        <v>14581394.0</v>
      </c>
      <c r="D16" s="8">
        <f>SUMIFS(Base!$O$5:$O$504,Base!$A$5:$A$504,"100")</f>
        <v>12915991.439999998</v>
      </c>
      <c r="E16" s="8">
        <f>SUMIFS(Base!$Q$5:$Q$504,Base!$A$5:$A$504,"100")</f>
        <v>11236500.850000001</v>
      </c>
      <c r="F16" s="8">
        <f>C16-D16</f>
        <v>1665402.5600000024</v>
      </c>
      <c r="G16" s="8">
        <f>SUMIFS(Base!$K$5:$K$504,Base!$A$5:$A$504,"100",Base!$J$5:$J$504,"Disponible")</f>
        <v>0</v>
      </c>
      <c r="H16" s="8">
        <f>SUMIFS(Base!$K$5:$K$504,Base!$A$5:$A$504,"100",Base!$J$5:$J$504,"Con condiciones")</f>
        <v>0</v>
      </c>
      <c r="I16" s="8">
        <f>SUMIFS(Base!$K$5:$K$504,Base!$A$5:$A$504,"100",Base!$J$5:$J$504,"Restringido")</f>
        <v>0</v>
      </c>
      <c r="J16" s="8">
        <f>SUMIFS(Base!$N$5:$N$504,Base!$A$5:$A$504,"100",Base!$J$5:$J$504,"No mover")</f>
        <v>2070892.0</v>
      </c>
      <c r="K16" s="8">
        <f>C16-SUMIFS(Base!$N$5:$N$504,Base!$A$5:$A$504,"100",Base!$J$5:$J$504,"Disponible")-SUMIFS(Base!$N$5:$N$504,Base!$A$5:$A$504,"100",Base!$J$5:$J$504,"Con condiciones")-SUMIFS(Base!$N$5:$N$504,Base!$A$5:$A$504,"100",Base!$J$5:$J$504,"Restringido")-J16</f>
        <v>12510502.0</v>
      </c>
      <c r="L16" s="8">
        <f>SUMIFS(Base!$L$5:$L$504,Base!$A$5:$A$504,"100",Base!$J$5:$J$504,"Disponible")+SUMIFS(Base!$L$5:$L$504,Base!$A$5:$A$504,"100",Base!$J$5:$J$504,"Con condiciones")+SUMIFS(Base!$L$5:$L$504,Base!$A$5:$A$504,"100",Base!$J$5:$J$504,"Rebajando certificación")</f>
        <v>0</v>
      </c>
    </row>
    <row r="17" spans="1:12">
      <c r="A17" s="7" t="s">
        <v>1697</v>
      </c>
      <c r="B17" s="8">
        <f>COUNTIFS(Base!$A$5:$A$504,"302")</f>
        <v>1</v>
      </c>
      <c r="C17" s="8">
        <f>SUMIFS(Base!$N$5:$N$504,Base!$A$5:$A$504,"302")</f>
        <v>32592.0</v>
      </c>
      <c r="D17" s="8">
        <f>SUMIFS(Base!$O$5:$O$504,Base!$A$5:$A$504,"302")</f>
        <v>0.0</v>
      </c>
      <c r="E17" s="8">
        <f>SUMIFS(Base!$Q$5:$Q$504,Base!$A$5:$A$504,"302")</f>
        <v>0.0</v>
      </c>
      <c r="F17" s="8">
        <f>C17-D17</f>
        <v>32592.0</v>
      </c>
      <c r="G17" s="8">
        <f>SUMIFS(Base!$K$5:$K$504,Base!$A$5:$A$504,"302",Base!$J$5:$J$504,"Disponible")</f>
        <v>0</v>
      </c>
      <c r="H17" s="8">
        <f>SUMIFS(Base!$K$5:$K$504,Base!$A$5:$A$504,"302",Base!$J$5:$J$504,"Con condiciones")</f>
        <v>0</v>
      </c>
      <c r="I17" s="8">
        <f>SUMIFS(Base!$K$5:$K$504,Base!$A$5:$A$504,"302",Base!$J$5:$J$504,"Restringido")</f>
        <v>0</v>
      </c>
      <c r="J17" s="8">
        <f>SUMIFS(Base!$N$5:$N$504,Base!$A$5:$A$504,"302",Base!$J$5:$J$504,"No mover")</f>
        <v>32592.0</v>
      </c>
      <c r="K17" s="8">
        <f>C17-SUMIFS(Base!$N$5:$N$504,Base!$A$5:$A$504,"302",Base!$J$5:$J$504,"Disponible")-SUMIFS(Base!$N$5:$N$504,Base!$A$5:$A$504,"302",Base!$J$5:$J$504,"Con condiciones")-SUMIFS(Base!$N$5:$N$504,Base!$A$5:$A$504,"302",Base!$J$5:$J$504,"Restringido")-J17</f>
        <v>0</v>
      </c>
      <c r="L17" s="8">
        <f>SUMIFS(Base!$L$5:$L$504,Base!$A$5:$A$504,"302",Base!$J$5:$J$504,"Disponible")+SUMIFS(Base!$L$5:$L$504,Base!$A$5:$A$504,"302",Base!$J$5:$J$504,"Con condiciones")+SUMIFS(Base!$L$5:$L$504,Base!$A$5:$A$504,"302",Base!$J$5:$J$504,"Rebajando certificación")</f>
        <v>0</v>
      </c>
    </row>
    <row r="18" spans="1:12">
      <c r="A18" s="7" t="s">
        <v>1699</v>
      </c>
      <c r="B18" s="8">
        <f>COUNTIFS(Base!$A$5:$A$504,"413")</f>
        <v>1</v>
      </c>
      <c r="C18" s="8">
        <f>SUMIFS(Base!$N$5:$N$504,Base!$A$5:$A$504,"413")</f>
        <v>41800.0</v>
      </c>
      <c r="D18" s="8">
        <f>SUMIFS(Base!$O$5:$O$504,Base!$A$5:$A$504,"413")</f>
        <v>41500.0</v>
      </c>
      <c r="E18" s="8">
        <f>SUMIFS(Base!$Q$5:$Q$504,Base!$A$5:$A$504,"413")</f>
        <v>41500.0</v>
      </c>
      <c r="F18" s="8">
        <f>C18-D18</f>
        <v>300.0</v>
      </c>
      <c r="G18" s="8">
        <f>SUMIFS(Base!$K$5:$K$504,Base!$A$5:$A$504,"413",Base!$J$5:$J$504,"Disponible")</f>
        <v>0</v>
      </c>
      <c r="H18" s="8">
        <f>SUMIFS(Base!$K$5:$K$504,Base!$A$5:$A$504,"413",Base!$J$5:$J$504,"Con condiciones")</f>
        <v>0</v>
      </c>
      <c r="I18" s="8">
        <f>SUMIFS(Base!$K$5:$K$504,Base!$A$5:$A$504,"413",Base!$J$5:$J$504,"Restringido")</f>
        <v>0</v>
      </c>
      <c r="J18" s="8">
        <f>SUMIFS(Base!$N$5:$N$504,Base!$A$5:$A$504,"413",Base!$J$5:$J$504,"No mover")</f>
        <v>41800.0</v>
      </c>
      <c r="K18" s="8">
        <f>C18-SUMIFS(Base!$N$5:$N$504,Base!$A$5:$A$504,"413",Base!$J$5:$J$504,"Disponible")-SUMIFS(Base!$N$5:$N$504,Base!$A$5:$A$504,"413",Base!$J$5:$J$504,"Con condiciones")-SUMIFS(Base!$N$5:$N$504,Base!$A$5:$A$504,"413",Base!$J$5:$J$504,"Restringido")-J18</f>
        <v>0</v>
      </c>
      <c r="L18" s="8">
        <f>SUMIFS(Base!$L$5:$L$504,Base!$A$5:$A$504,"413",Base!$J$5:$J$504,"Disponible")+SUMIFS(Base!$L$5:$L$504,Base!$A$5:$A$504,"413",Base!$J$5:$J$504,"Con condiciones")+SUMIFS(Base!$L$5:$L$504,Base!$A$5:$A$504,"413",Base!$J$5:$J$504,"Rebajando certificación")</f>
        <v>0</v>
      </c>
    </row>
    <row r="19" spans="1:12">
      <c r="A19" s="9" t="s">
        <v>1770</v>
      </c>
      <c r="B19" s="10">
        <f>SUM(B12:B18)</f>
        <v>500</v>
      </c>
      <c r="C19" s="10">
        <f>SUM(C12:C18)</f>
        <v>987989928.0</v>
      </c>
      <c r="D19" s="10">
        <f>SUM(D12:D18)</f>
        <v>919151718.8500001</v>
      </c>
      <c r="E19" s="10">
        <f>SUM(E12:E18)</f>
        <v>499402148.98</v>
      </c>
      <c r="F19" s="10">
        <f>SUM(F12:F18)</f>
        <v>68838209.15000004</v>
      </c>
      <c r="G19" s="10">
        <f>SUM(G12:G18)</f>
        <v>0</v>
      </c>
      <c r="H19" s="10">
        <f>SUM(H12:H18)</f>
        <v>9379726.350956457</v>
      </c>
      <c r="I19" s="10">
        <f>SUM(I12:I18)</f>
        <v>1267703.19</v>
      </c>
      <c r="J19" s="10">
        <f>SUM(J12:J18)</f>
        <v>165185513.0</v>
      </c>
      <c r="K19" s="10">
        <f>SUM(K12:K18)</f>
        <v>703150977.0</v>
      </c>
      <c r="L19" s="10">
        <f>SUM(L12:L18)</f>
        <v>71996647.66246937</v>
      </c>
    </row>
    <row r="22" spans="1:12">
      <c r="A22" s="5" t="s">
        <v>1771</v>
      </c>
    </row>
    <row r="23" spans="1:12" ht="44" customHeight="1">
      <c r="A23" s="6" t="s">
        <v>1761</v>
      </c>
      <c r="B23" s="6" t="s">
        <v>1762</v>
      </c>
      <c r="C23" s="6" t="s">
        <v>47</v>
      </c>
      <c r="D23" s="6" t="s">
        <v>48</v>
      </c>
      <c r="E23" s="6" t="s">
        <v>50</v>
      </c>
      <c r="F23" s="6" t="s">
        <v>1763</v>
      </c>
      <c r="G23" s="6" t="s">
        <v>1764</v>
      </c>
      <c r="H23" s="6" t="s">
        <v>1765</v>
      </c>
      <c r="I23" s="6" t="s">
        <v>1766</v>
      </c>
      <c r="J23" s="6" t="s">
        <v>1767</v>
      </c>
      <c r="K23" s="6" t="s">
        <v>1768</v>
      </c>
      <c r="L23" s="6" t="s">
        <v>1758</v>
      </c>
    </row>
    <row r="24" spans="1:12">
      <c r="A24" s="7" t="s">
        <v>76</v>
      </c>
      <c r="B24" s="8">
        <f>COUNTIFS(Base!$C$5:$C$504,$A24)</f>
        <v>284</v>
      </c>
      <c r="C24" s="8">
        <f>SUMIFS(Base!$N$5:$N$504,Base!$C$5:$C$504,$A24)</f>
        <v>760705923.0</v>
      </c>
      <c r="D24" s="8">
        <f>SUMIFS(Base!$O$5:$O$504,Base!$C$5:$C$504,$A24)</f>
        <v>713703324.26</v>
      </c>
      <c r="E24" s="8">
        <f>SUMIFS(Base!$Q$5:$Q$504,Base!$C$5:$C$504,$A24)</f>
        <v>385954767.56</v>
      </c>
      <c r="F24" s="8">
        <f>C24-D24</f>
        <v>47002598.74000001</v>
      </c>
      <c r="G24" s="8">
        <f>SUMIFS(Base!$K$5:$K$504,Base!$C$5:$C$504,$A24,Base!$J$5:$J$504,"Disponible")</f>
        <v>0</v>
      </c>
      <c r="H24" s="8">
        <f>SUMIFS(Base!$K$5:$K$504,Base!$C$5:$C$504,$A24,Base!$J$5:$J$504,"Con condiciones")</f>
        <v>6193074.592350398</v>
      </c>
      <c r="I24" s="8">
        <f>SUMIFS(Base!$K$5:$K$504,Base!$C$5:$C$504,$A24,Base!$J$5:$J$504,"Restringido")</f>
        <v>0</v>
      </c>
      <c r="J24" s="8">
        <f>SUMIFS(Base!$N$5:$N$504,Base!$C$5:$C$504,$A24,Base!$J$5:$J$504,"No mover")</f>
        <v>130870596.0</v>
      </c>
      <c r="K24" s="8">
        <f>C24-SUMIFS(Base!$N$5:$N$504,Base!$C$5:$C$504,$A24,Base!$J$5:$J$504,"Disponible")-SUMIFS(Base!$N$5:$N$504,Base!$C$5:$C$504,$A24,Base!$J$5:$J$504,"Con condiciones")-SUMIFS(Base!$N$5:$N$504,Base!$C$5:$C$504,$A24,Base!$J$5:$J$504,"Restringido")-J24</f>
        <v>544993457.0</v>
      </c>
      <c r="L24" s="8">
        <f>SUMIFS(Base!$L$5:$L$504,Base!$C$5:$C$504,$A24,Base!$J$5:$J$504,"Disponible")+SUMIFS(Base!$L$5:$L$504,Base!$C$5:$C$504,$A24,Base!$J$5:$J$504,"Con condiciones")+SUMIFS(Base!$L$5:$L$504,Base!$C$5:$C$504,$A24,Base!$J$5:$J$504,"Rebajando certificación")</f>
        <v>71516769.36</v>
      </c>
    </row>
    <row r="25" spans="1:12">
      <c r="A25" s="7" t="s">
        <v>1096</v>
      </c>
      <c r="B25" s="8">
        <f>COUNTIFS(Base!$C$5:$C$504,$A25)</f>
        <v>83</v>
      </c>
      <c r="C25" s="8">
        <f>SUMIFS(Base!$N$5:$N$504,Base!$C$5:$C$504,$A25)</f>
        <v>15438088.0</v>
      </c>
      <c r="D25" s="8">
        <f>SUMIFS(Base!$O$5:$O$504,Base!$C$5:$C$504,$A25)</f>
        <v>13331381.87</v>
      </c>
      <c r="E25" s="8">
        <f>SUMIFS(Base!$Q$5:$Q$504,Base!$C$5:$C$504,$A25)</f>
        <v>6947756.79</v>
      </c>
      <c r="F25" s="8">
        <f>C25-D25</f>
        <v>2106706.130000001</v>
      </c>
      <c r="G25" s="8">
        <f>SUMIFS(Base!$K$5:$K$504,Base!$C$5:$C$504,$A25,Base!$J$5:$J$504,"Disponible")</f>
        <v>0</v>
      </c>
      <c r="H25" s="8">
        <f>SUMIFS(Base!$K$5:$K$504,Base!$C$5:$C$504,$A25,Base!$J$5:$J$504,"Con condiciones")</f>
        <v>0</v>
      </c>
      <c r="I25" s="8">
        <f>SUMIFS(Base!$K$5:$K$504,Base!$C$5:$C$504,$A25,Base!$J$5:$J$504,"Restringido")</f>
        <v>1267703.19</v>
      </c>
      <c r="J25" s="8">
        <f>SUMIFS(Base!$N$5:$N$504,Base!$C$5:$C$504,$A25,Base!$J$5:$J$504,"No mover")</f>
        <v>2000129.0</v>
      </c>
      <c r="K25" s="8">
        <f>C25-SUMIFS(Base!$N$5:$N$504,Base!$C$5:$C$504,$A25,Base!$J$5:$J$504,"Disponible")-SUMIFS(Base!$N$5:$N$504,Base!$C$5:$C$504,$A25,Base!$J$5:$J$504,"Con condiciones")-SUMIFS(Base!$N$5:$N$504,Base!$C$5:$C$504,$A25,Base!$J$5:$J$504,"Restringido")-J25</f>
        <v>3757585.0</v>
      </c>
      <c r="L25" s="8">
        <f>SUMIFS(Base!$L$5:$L$504,Base!$C$5:$C$504,$A25,Base!$J$5:$J$504,"Disponible")+SUMIFS(Base!$L$5:$L$504,Base!$C$5:$C$504,$A25,Base!$J$5:$J$504,"Con condiciones")+SUMIFS(Base!$L$5:$L$504,Base!$C$5:$C$504,$A25,Base!$J$5:$J$504,"Rebajando certificación")</f>
        <v>0</v>
      </c>
    </row>
    <row r="26" spans="1:12">
      <c r="A26" s="7" t="s">
        <v>1356</v>
      </c>
      <c r="B26" s="8">
        <f>COUNTIFS(Base!$C$5:$C$504,$A26)</f>
        <v>11</v>
      </c>
      <c r="C26" s="8">
        <f>SUMIFS(Base!$N$5:$N$504,Base!$C$5:$C$504,$A26)</f>
        <v>18155027.0</v>
      </c>
      <c r="D26" s="8">
        <f>SUMIFS(Base!$O$5:$O$504,Base!$C$5:$C$504,$A26)</f>
        <v>15207566.98</v>
      </c>
      <c r="E26" s="8">
        <f>SUMIFS(Base!$Q$5:$Q$504,Base!$C$5:$C$504,$A26)</f>
        <v>8757642.459999999</v>
      </c>
      <c r="F26" s="8">
        <f>C26-D26</f>
        <v>2947460.0199999996</v>
      </c>
      <c r="G26" s="8">
        <f>SUMIFS(Base!$K$5:$K$504,Base!$C$5:$C$504,$A26,Base!$J$5:$J$504,"Disponible")</f>
        <v>0</v>
      </c>
      <c r="H26" s="8">
        <f>SUMIFS(Base!$K$5:$K$504,Base!$C$5:$C$504,$A26,Base!$J$5:$J$504,"Con condiciones")</f>
        <v>16045.8</v>
      </c>
      <c r="I26" s="8">
        <f>SUMIFS(Base!$K$5:$K$504,Base!$C$5:$C$504,$A26,Base!$J$5:$J$504,"Restringido")</f>
        <v>0</v>
      </c>
      <c r="J26" s="8">
        <f>SUMIFS(Base!$N$5:$N$504,Base!$C$5:$C$504,$A26,Base!$J$5:$J$504,"No mover")</f>
        <v>70632.0</v>
      </c>
      <c r="K26" s="8">
        <f>C26-SUMIFS(Base!$N$5:$N$504,Base!$C$5:$C$504,$A26,Base!$J$5:$J$504,"Disponible")-SUMIFS(Base!$N$5:$N$504,Base!$C$5:$C$504,$A26,Base!$J$5:$J$504,"Con condiciones")-SUMIFS(Base!$N$5:$N$504,Base!$C$5:$C$504,$A26,Base!$J$5:$J$504,"Restringido")-J26</f>
        <v>18064737.0</v>
      </c>
      <c r="L26" s="8">
        <f>SUMIFS(Base!$L$5:$L$504,Base!$C$5:$C$504,$A26,Base!$J$5:$J$504,"Disponible")+SUMIFS(Base!$L$5:$L$504,Base!$C$5:$C$504,$A26,Base!$J$5:$J$504,"Con condiciones")+SUMIFS(Base!$L$5:$L$504,Base!$C$5:$C$504,$A26,Base!$J$5:$J$504,"Rebajando certificación")</f>
        <v>0.0</v>
      </c>
    </row>
    <row r="27" spans="1:12">
      <c r="A27" s="7" t="s">
        <v>1396</v>
      </c>
      <c r="B27" s="8">
        <f>COUNTIFS(Base!$C$5:$C$504,$A27)</f>
        <v>3</v>
      </c>
      <c r="C27" s="8">
        <f>SUMIFS(Base!$N$5:$N$504,Base!$C$5:$C$504,$A27)</f>
        <v>13183082.0</v>
      </c>
      <c r="D27" s="8">
        <f>SUMIFS(Base!$O$5:$O$504,Base!$C$5:$C$504,$A27)</f>
        <v>12706540.85</v>
      </c>
      <c r="E27" s="8">
        <f>SUMIFS(Base!$Q$5:$Q$504,Base!$C$5:$C$504,$A27)</f>
        <v>3714211.519999999</v>
      </c>
      <c r="F27" s="8">
        <f>C27-D27</f>
        <v>476541.1500000004</v>
      </c>
      <c r="G27" s="8">
        <f>SUMIFS(Base!$K$5:$K$504,Base!$C$5:$C$504,$A27,Base!$J$5:$J$504,"Disponible")</f>
        <v>0</v>
      </c>
      <c r="H27" s="8">
        <f>SUMIFS(Base!$K$5:$K$504,Base!$C$5:$C$504,$A27,Base!$J$5:$J$504,"Con condiciones")</f>
        <v>0</v>
      </c>
      <c r="I27" s="8">
        <f>SUMIFS(Base!$K$5:$K$504,Base!$C$5:$C$504,$A27,Base!$J$5:$J$504,"Restringido")</f>
        <v>0</v>
      </c>
      <c r="J27" s="8">
        <f>SUMIFS(Base!$N$5:$N$504,Base!$C$5:$C$504,$A27,Base!$J$5:$J$504,"No mover")</f>
        <v>550560.0</v>
      </c>
      <c r="K27" s="8">
        <f>C27-SUMIFS(Base!$N$5:$N$504,Base!$C$5:$C$504,$A27,Base!$J$5:$J$504,"Disponible")-SUMIFS(Base!$N$5:$N$504,Base!$C$5:$C$504,$A27,Base!$J$5:$J$504,"Con condiciones")-SUMIFS(Base!$N$5:$N$504,Base!$C$5:$C$504,$A27,Base!$J$5:$J$504,"Restringido")-J27</f>
        <v>12632522.0</v>
      </c>
      <c r="L27" s="8">
        <f>SUMIFS(Base!$L$5:$L$504,Base!$C$5:$C$504,$A27,Base!$J$5:$J$504,"Disponible")+SUMIFS(Base!$L$5:$L$504,Base!$C$5:$C$504,$A27,Base!$J$5:$J$504,"Con condiciones")+SUMIFS(Base!$L$5:$L$504,Base!$C$5:$C$504,$A27,Base!$J$5:$J$504,"Rebajando certificación")</f>
        <v>0</v>
      </c>
    </row>
    <row r="28" spans="1:12">
      <c r="A28" s="7" t="s">
        <v>1409</v>
      </c>
      <c r="B28" s="8">
        <f>COUNTIFS(Base!$C$5:$C$504,$A28)</f>
        <v>2</v>
      </c>
      <c r="C28" s="8">
        <f>SUMIFS(Base!$N$5:$N$504,Base!$C$5:$C$504,$A28)</f>
        <v>5603985.0</v>
      </c>
      <c r="D28" s="8">
        <f>SUMIFS(Base!$O$5:$O$504,Base!$C$5:$C$504,$A28)</f>
        <v>5451422.95</v>
      </c>
      <c r="E28" s="8">
        <f>SUMIFS(Base!$Q$5:$Q$504,Base!$C$5:$C$504,$A28)</f>
        <v>3504541.3600000003</v>
      </c>
      <c r="F28" s="8">
        <f>C28-D28</f>
        <v>152562.0499999998</v>
      </c>
      <c r="G28" s="8">
        <f>SUMIFS(Base!$K$5:$K$504,Base!$C$5:$C$504,$A28,Base!$J$5:$J$504,"Disponible")</f>
        <v>0</v>
      </c>
      <c r="H28" s="8">
        <f>SUMIFS(Base!$K$5:$K$504,Base!$C$5:$C$504,$A28,Base!$J$5:$J$504,"Con condiciones")</f>
        <v>0</v>
      </c>
      <c r="I28" s="8">
        <f>SUMIFS(Base!$K$5:$K$504,Base!$C$5:$C$504,$A28,Base!$J$5:$J$504,"Restringido")</f>
        <v>0</v>
      </c>
      <c r="J28" s="8">
        <f>SUMIFS(Base!$N$5:$N$504,Base!$C$5:$C$504,$A28,Base!$J$5:$J$504,"No mover")</f>
        <v>1332387.0</v>
      </c>
      <c r="K28" s="8">
        <f>C28-SUMIFS(Base!$N$5:$N$504,Base!$C$5:$C$504,$A28,Base!$J$5:$J$504,"Disponible")-SUMIFS(Base!$N$5:$N$504,Base!$C$5:$C$504,$A28,Base!$J$5:$J$504,"Con condiciones")-SUMIFS(Base!$N$5:$N$504,Base!$C$5:$C$504,$A28,Base!$J$5:$J$504,"Restringido")-J28</f>
        <v>4271598.0</v>
      </c>
      <c r="L28" s="8">
        <f>SUMIFS(Base!$L$5:$L$504,Base!$C$5:$C$504,$A28,Base!$J$5:$J$504,"Disponible")+SUMIFS(Base!$L$5:$L$504,Base!$C$5:$C$504,$A28,Base!$J$5:$J$504,"Con condiciones")+SUMIFS(Base!$L$5:$L$504,Base!$C$5:$C$504,$A28,Base!$J$5:$J$504,"Rebajando certificación")</f>
        <v>0</v>
      </c>
    </row>
    <row r="29" spans="1:12">
      <c r="A29" s="7" t="s">
        <v>1418</v>
      </c>
      <c r="B29" s="8">
        <f>COUNTIFS(Base!$C$5:$C$504,$A29)</f>
        <v>42</v>
      </c>
      <c r="C29" s="8">
        <f>SUMIFS(Base!$N$5:$N$504,Base!$C$5:$C$504,$A29)</f>
        <v>74669674.0</v>
      </c>
      <c r="D29" s="8">
        <f>SUMIFS(Base!$O$5:$O$504,Base!$C$5:$C$504,$A29)</f>
        <v>67493227.27</v>
      </c>
      <c r="E29" s="8">
        <f>SUMIFS(Base!$Q$5:$Q$504,Base!$C$5:$C$504,$A29)</f>
        <v>23519606.32</v>
      </c>
      <c r="F29" s="8">
        <f>C29-D29</f>
        <v>7176446.730000004</v>
      </c>
      <c r="G29" s="8">
        <f>SUMIFS(Base!$K$5:$K$504,Base!$C$5:$C$504,$A29,Base!$J$5:$J$504,"Disponible")</f>
        <v>0</v>
      </c>
      <c r="H29" s="8">
        <f>SUMIFS(Base!$K$5:$K$504,Base!$C$5:$C$504,$A29,Base!$J$5:$J$504,"Con condiciones")</f>
        <v>2464603.6000000006</v>
      </c>
      <c r="I29" s="8">
        <f>SUMIFS(Base!$K$5:$K$504,Base!$C$5:$C$504,$A29,Base!$J$5:$J$504,"Restringido")</f>
        <v>0</v>
      </c>
      <c r="J29" s="8">
        <f>SUMIFS(Base!$N$5:$N$504,Base!$C$5:$C$504,$A29,Base!$J$5:$J$504,"No mover")</f>
        <v>5193458.0</v>
      </c>
      <c r="K29" s="8">
        <f>C29-SUMIFS(Base!$N$5:$N$504,Base!$C$5:$C$504,$A29,Base!$J$5:$J$504,"Disponible")-SUMIFS(Base!$N$5:$N$504,Base!$C$5:$C$504,$A29,Base!$J$5:$J$504,"Con condiciones")-SUMIFS(Base!$N$5:$N$504,Base!$C$5:$C$504,$A29,Base!$J$5:$J$504,"Restringido")-J29</f>
        <v>60018920.0</v>
      </c>
      <c r="L29" s="8">
        <f>SUMIFS(Base!$L$5:$L$504,Base!$C$5:$C$504,$A29,Base!$J$5:$J$504,"Disponible")+SUMIFS(Base!$L$5:$L$504,Base!$C$5:$C$504,$A29,Base!$J$5:$J$504,"Con condiciones")+SUMIFS(Base!$L$5:$L$504,Base!$C$5:$C$504,$A29,Base!$J$5:$J$504,"Rebajando certificación")</f>
        <v>0.0</v>
      </c>
    </row>
    <row r="30" spans="1:12">
      <c r="A30" s="7" t="s">
        <v>1568</v>
      </c>
      <c r="B30" s="8">
        <f>COUNTIFS(Base!$C$5:$C$504,$A30)</f>
        <v>10</v>
      </c>
      <c r="C30" s="8">
        <f>SUMIFS(Base!$N$5:$N$504,Base!$C$5:$C$504,$A30)</f>
        <v>7151039.0</v>
      </c>
      <c r="D30" s="8">
        <f>SUMIFS(Base!$O$5:$O$504,Base!$C$5:$C$504,$A30)</f>
        <v>5784880.99</v>
      </c>
      <c r="E30" s="8">
        <f>SUMIFS(Base!$Q$5:$Q$504,Base!$C$5:$C$504,$A30)</f>
        <v>5400403.3100000005</v>
      </c>
      <c r="F30" s="8">
        <f>C30-D30</f>
        <v>1366158.0099999998</v>
      </c>
      <c r="G30" s="8">
        <f>SUMIFS(Base!$K$5:$K$504,Base!$C$5:$C$504,$A30,Base!$J$5:$J$504,"Disponible")</f>
        <v>0</v>
      </c>
      <c r="H30" s="8">
        <f>SUMIFS(Base!$K$5:$K$504,Base!$C$5:$C$504,$A30,Base!$J$5:$J$504,"Con condiciones")</f>
        <v>0</v>
      </c>
      <c r="I30" s="8">
        <f>SUMIFS(Base!$K$5:$K$504,Base!$C$5:$C$504,$A30,Base!$J$5:$J$504,"Restringido")</f>
        <v>0</v>
      </c>
      <c r="J30" s="8">
        <f>SUMIFS(Base!$N$5:$N$504,Base!$C$5:$C$504,$A30,Base!$J$5:$J$504,"No mover")</f>
        <v>0</v>
      </c>
      <c r="K30" s="8">
        <f>C30-SUMIFS(Base!$N$5:$N$504,Base!$C$5:$C$504,$A30,Base!$J$5:$J$504,"Disponible")-SUMIFS(Base!$N$5:$N$504,Base!$C$5:$C$504,$A30,Base!$J$5:$J$504,"Con condiciones")-SUMIFS(Base!$N$5:$N$504,Base!$C$5:$C$504,$A30,Base!$J$5:$J$504,"Restringido")-J30</f>
        <v>7151039.0</v>
      </c>
      <c r="L30" s="8">
        <f>SUMIFS(Base!$L$5:$L$504,Base!$C$5:$C$504,$A30,Base!$J$5:$J$504,"Disponible")+SUMIFS(Base!$L$5:$L$504,Base!$C$5:$C$504,$A30,Base!$J$5:$J$504,"Con condiciones")+SUMIFS(Base!$L$5:$L$504,Base!$C$5:$C$504,$A30,Base!$J$5:$J$504,"Rebajando certificación")</f>
        <v>0</v>
      </c>
    </row>
    <row r="31" spans="1:12">
      <c r="A31" s="7" t="s">
        <v>1599</v>
      </c>
      <c r="B31" s="8">
        <f>COUNTIFS(Base!$C$5:$C$504,$A31)</f>
        <v>2</v>
      </c>
      <c r="C31" s="8">
        <f>SUMIFS(Base!$N$5:$N$504,Base!$C$5:$C$504,$A31)</f>
        <v>120166.0</v>
      </c>
      <c r="D31" s="8">
        <f>SUMIFS(Base!$O$5:$O$504,Base!$C$5:$C$504,$A31)</f>
        <v>19362.0</v>
      </c>
      <c r="E31" s="8">
        <f>SUMIFS(Base!$Q$5:$Q$504,Base!$C$5:$C$504,$A31)</f>
        <v>18148.25</v>
      </c>
      <c r="F31" s="8">
        <f>C31-D31</f>
        <v>100804.0</v>
      </c>
      <c r="G31" s="8">
        <f>SUMIFS(Base!$K$5:$K$504,Base!$C$5:$C$504,$A31,Base!$J$5:$J$504,"Disponible")</f>
        <v>0</v>
      </c>
      <c r="H31" s="8">
        <f>SUMIFS(Base!$K$5:$K$504,Base!$C$5:$C$504,$A31,Base!$J$5:$J$504,"Con condiciones")</f>
        <v>0</v>
      </c>
      <c r="I31" s="8">
        <f>SUMIFS(Base!$K$5:$K$504,Base!$C$5:$C$504,$A31,Base!$J$5:$J$504,"Restringido")</f>
        <v>0</v>
      </c>
      <c r="J31" s="8">
        <f>SUMIFS(Base!$N$5:$N$504,Base!$C$5:$C$504,$A31,Base!$J$5:$J$504,"No mover")</f>
        <v>20166.0</v>
      </c>
      <c r="K31" s="8">
        <f>C31-SUMIFS(Base!$N$5:$N$504,Base!$C$5:$C$504,$A31,Base!$J$5:$J$504,"Disponible")-SUMIFS(Base!$N$5:$N$504,Base!$C$5:$C$504,$A31,Base!$J$5:$J$504,"Con condiciones")-SUMIFS(Base!$N$5:$N$504,Base!$C$5:$C$504,$A31,Base!$J$5:$J$504,"Restringido")-J31</f>
        <v>100000.0</v>
      </c>
      <c r="L31" s="8">
        <f>SUMIFS(Base!$L$5:$L$504,Base!$C$5:$C$504,$A31,Base!$J$5:$J$504,"Disponible")+SUMIFS(Base!$L$5:$L$504,Base!$C$5:$C$504,$A31,Base!$J$5:$J$504,"Con condiciones")+SUMIFS(Base!$L$5:$L$504,Base!$C$5:$C$504,$A31,Base!$J$5:$J$504,"Rebajando certificación")</f>
        <v>0</v>
      </c>
    </row>
    <row r="32" spans="1:12">
      <c r="A32" s="9" t="s">
        <v>1770</v>
      </c>
      <c r="B32" s="10">
        <f>SUM(B24:B31)</f>
        <v>437</v>
      </c>
      <c r="C32" s="10">
        <f>SUM(C24:C31)</f>
        <v>895026984.0</v>
      </c>
      <c r="D32" s="10">
        <f>SUM(D24:D31)</f>
        <v>833697707.1700001</v>
      </c>
      <c r="E32" s="10">
        <f>SUM(E24:E31)</f>
        <v>437817077.57</v>
      </c>
      <c r="F32" s="10">
        <f>SUM(F24:F31)</f>
        <v>61329276.83000001</v>
      </c>
      <c r="G32" s="10">
        <f>SUM(G24:G31)</f>
        <v>0</v>
      </c>
      <c r="H32" s="10">
        <f>SUM(H24:H31)</f>
        <v>8673723.9923504</v>
      </c>
      <c r="I32" s="10">
        <f>SUM(I24:I31)</f>
        <v>1267703.19</v>
      </c>
      <c r="J32" s="10">
        <f>SUM(J24:J31)</f>
        <v>140037928.0</v>
      </c>
      <c r="K32" s="10">
        <f>SUM(K24:K31)</f>
        <v>650989858.0</v>
      </c>
      <c r="L32" s="10">
        <f>SUM(L24:L31)</f>
        <v>71516769.36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5"/>
  <sheetViews>
    <sheetView zoomScale="90" zoomScaleNormal="90" workbookViewId="0">
      <pane xSplit="6" ySplit="7" topLeftCell="G8" activePane="bottomRight" state="frozen"/>
      <selection pane="topRight" activeCell="G1" sqref="G1"/>
      <selection pane="bottomLeft" activeCell="A8" sqref="A8"/>
      <selection pane="bottomRight"/>
    </sheetView>
  </sheetViews>
  <sheetFormatPr defaultRowHeight="15" x14ac:dyDescent="0.25"/>
  <cols>
    <col min="1" max="1" width="4.28515625" customWidth="1"/>
    <col min="2" max="2" width="15.7109375" customWidth="1"/>
    <col min="3" max="3" width="5.7109375" customWidth="1"/>
    <col min="4" max="4" width="17.42578125" customWidth="1"/>
    <col min="5" max="5" width="10.7109375" customWidth="1"/>
    <col min="6" max="6" width="62.7109375" customWidth="1"/>
    <col min="7" max="7" width="16.7109375" customWidth="1"/>
    <col min="8" max="8" width="26.7109375" customWidth="1"/>
    <col min="9" max="10" width="16.7109375" customWidth="1"/>
    <col min="11" max="12" width="14.7109375" customWidth="1"/>
    <col min="13" max="13" width="15.7109375" customWidth="1"/>
    <col min="14" max="19" width="14.7109375" customWidth="1"/>
    <col min="20" max="20" width="11.7109375" customWidth="1"/>
    <col min="21" max="22" width="13.7109375" customWidth="1"/>
    <col min="23" max="23" width="60.7109375" customWidth="1"/>
  </cols>
  <sheetData>
    <row r="1" spans="1:23" x14ac:dyDescent="0.25">
      <c r="A1" s="1" t="s">
        <v>1702</v>
      </c>
    </row>
    <row r="2" spans="1:23" x14ac:dyDescent="0.25">
      <c r="A2" s="2" t="s">
        <v>1703</v>
      </c>
    </row>
    <row r="3" spans="1:23" x14ac:dyDescent="0.25">
      <c r="A3" s="3" t="s">
        <v>1704</v>
      </c>
      <c r="D3" s="11">
        <v>0</v>
      </c>
      <c r="E3" s="12" t="s">
        <v>1705</v>
      </c>
    </row>
    <row r="4" spans="1:23" x14ac:dyDescent="0.25">
      <c r="A4" s="3" t="s">
        <v>1706</v>
      </c>
      <c r="D4" s="11">
        <v>9379726.350956457</v>
      </c>
      <c r="E4" s="12" t="s">
        <v>1707</v>
      </c>
    </row>
    <row r="5" spans="1:23" x14ac:dyDescent="0.25">
      <c r="A5" s="3" t="s">
        <v>1708</v>
      </c>
      <c r="D5" s="11">
        <v>71996647.66246937</v>
      </c>
      <c r="E5" s="12" t="s">
        <v>1709</v>
      </c>
    </row>
    <row r="7" spans="1:23" ht="36" customHeight="1" x14ac:dyDescent="0.25">
      <c r="A7" s="6" t="s">
        <v>1710</v>
      </c>
      <c r="B7" s="6" t="s">
        <v>43</v>
      </c>
      <c r="C7" s="6" t="s">
        <v>34</v>
      </c>
      <c r="D7" s="6" t="s">
        <v>36</v>
      </c>
      <c r="E7" s="6" t="s">
        <v>39</v>
      </c>
      <c r="F7" s="6" t="s">
        <v>41</v>
      </c>
      <c r="G7" s="6" t="s">
        <v>42</v>
      </c>
      <c r="H7" s="6" t="s">
        <v>38</v>
      </c>
      <c r="I7" s="6" t="s">
        <v>44</v>
      </c>
      <c r="J7" s="6" t="s">
        <v>45</v>
      </c>
      <c r="K7" s="6" t="s">
        <v>47</v>
      </c>
      <c r="L7" s="6" t="s">
        <v>48</v>
      </c>
      <c r="M7" s="6" t="s">
        <v>1711</v>
      </c>
      <c r="N7" s="6" t="s">
        <v>1712</v>
      </c>
      <c r="O7" s="6" t="s">
        <v>1713</v>
      </c>
      <c r="P7" s="6" t="s">
        <v>1714</v>
      </c>
      <c r="Q7" s="6" t="s">
        <v>1715</v>
      </c>
      <c r="R7" s="6" t="s">
        <v>1716</v>
      </c>
      <c r="S7" s="6" t="s">
        <v>1717</v>
      </c>
      <c r="T7" s="6" t="s">
        <v>1718</v>
      </c>
      <c r="U7" s="6" t="s">
        <v>60</v>
      </c>
      <c r="V7" s="6" t="s">
        <v>61</v>
      </c>
      <c r="W7" s="6" t="s">
        <v>46</v>
      </c>
    </row>
    <row r="8" spans="1:23" x14ac:dyDescent="0.25">
      <c r="A8" s="13">
        <v>1</v>
      </c>
      <c r="B8" s="13" t="s">
        <v>272</v>
      </c>
      <c r="C8" s="13" t="s">
        <v>74</v>
      </c>
      <c r="D8" s="14" t="s">
        <v>76</v>
      </c>
      <c r="E8" s="13" t="s">
        <v>1073</v>
      </c>
      <c r="F8" s="14" t="s">
        <v>1075</v>
      </c>
      <c r="G8" s="13" t="s">
        <v>1076</v>
      </c>
      <c r="H8" s="14" t="s">
        <v>353</v>
      </c>
      <c r="I8" s="15">
        <v>1376515</v>
      </c>
      <c r="J8" s="15">
        <v>0</v>
      </c>
      <c r="K8" s="15">
        <v>1376515</v>
      </c>
      <c r="L8" s="15">
        <v>0</v>
      </c>
      <c r="M8" s="13" t="s">
        <v>1715</v>
      </c>
      <c r="N8" s="15">
        <v>0</v>
      </c>
      <c r="O8" s="15">
        <v>0</v>
      </c>
      <c r="P8" s="15">
        <v>0</v>
      </c>
      <c r="Q8" s="15">
        <v>1376515</v>
      </c>
      <c r="R8" s="15">
        <v>0</v>
      </c>
      <c r="S8" s="13" t="s">
        <v>89</v>
      </c>
      <c r="T8" s="13" t="s">
        <v>151</v>
      </c>
      <c r="U8" s="15">
        <v>0</v>
      </c>
      <c r="V8" s="15">
        <v>0</v>
      </c>
      <c r="W8" s="14" t="s">
        <v>709</v>
      </c>
    </row>
    <row r="9" spans="1:23" x14ac:dyDescent="0.25">
      <c r="A9" s="13">
        <v>2</v>
      </c>
      <c r="B9" s="13" t="s">
        <v>272</v>
      </c>
      <c r="C9" s="13" t="s">
        <v>74</v>
      </c>
      <c r="D9" s="14" t="s">
        <v>76</v>
      </c>
      <c r="E9" s="13" t="s">
        <v>409</v>
      </c>
      <c r="F9" s="14" t="s">
        <v>411</v>
      </c>
      <c r="G9" s="13" t="s">
        <v>82</v>
      </c>
      <c r="H9" s="14" t="s">
        <v>102</v>
      </c>
      <c r="I9" s="15">
        <v>1045528.839999998</v>
      </c>
      <c r="J9" s="15">
        <v>193060.4600000028</v>
      </c>
      <c r="K9" s="15">
        <v>15380884</v>
      </c>
      <c r="L9" s="15">
        <v>14335355.16</v>
      </c>
      <c r="M9" s="13" t="s">
        <v>1714</v>
      </c>
      <c r="N9" s="15">
        <v>0</v>
      </c>
      <c r="O9" s="15">
        <v>1000000</v>
      </c>
      <c r="P9" s="15">
        <v>14380884</v>
      </c>
      <c r="Q9" s="15">
        <v>0</v>
      </c>
      <c r="R9" s="15">
        <v>0</v>
      </c>
      <c r="S9" s="13" t="s">
        <v>89</v>
      </c>
      <c r="T9" s="16">
        <v>0.5583702623303423</v>
      </c>
      <c r="U9" s="15">
        <v>6000000</v>
      </c>
      <c r="V9" s="15">
        <v>3456765</v>
      </c>
      <c r="W9" s="14" t="s">
        <v>412</v>
      </c>
    </row>
    <row r="10" spans="1:23" x14ac:dyDescent="0.25">
      <c r="A10" s="13">
        <v>3</v>
      </c>
      <c r="B10" s="13" t="s">
        <v>272</v>
      </c>
      <c r="C10" s="13" t="s">
        <v>74</v>
      </c>
      <c r="D10" s="14" t="s">
        <v>1418</v>
      </c>
      <c r="E10" s="13" t="s">
        <v>1543</v>
      </c>
      <c r="F10" s="14" t="s">
        <v>1545</v>
      </c>
      <c r="G10" s="13" t="s">
        <v>162</v>
      </c>
      <c r="H10" s="14" t="s">
        <v>102</v>
      </c>
      <c r="I10" s="15">
        <v>928545</v>
      </c>
      <c r="J10" s="15">
        <v>0</v>
      </c>
      <c r="K10" s="15">
        <v>928545</v>
      </c>
      <c r="L10" s="15">
        <v>0</v>
      </c>
      <c r="M10" s="13" t="s">
        <v>1713</v>
      </c>
      <c r="N10" s="15">
        <v>0</v>
      </c>
      <c r="O10" s="15">
        <v>928545</v>
      </c>
      <c r="P10" s="15">
        <v>0</v>
      </c>
      <c r="Q10" s="15">
        <v>0</v>
      </c>
      <c r="R10" s="15">
        <v>0</v>
      </c>
      <c r="S10" s="13" t="s">
        <v>89</v>
      </c>
      <c r="T10" s="16">
        <v>0</v>
      </c>
      <c r="U10" s="15">
        <v>0</v>
      </c>
      <c r="V10" s="15">
        <v>0</v>
      </c>
      <c r="W10" s="14" t="s">
        <v>1546</v>
      </c>
    </row>
    <row r="11" spans="1:23" x14ac:dyDescent="0.25">
      <c r="A11" s="13">
        <v>4</v>
      </c>
      <c r="B11" s="13" t="s">
        <v>272</v>
      </c>
      <c r="C11" s="13" t="s">
        <v>74</v>
      </c>
      <c r="D11" s="14" t="s">
        <v>76</v>
      </c>
      <c r="E11" s="13" t="s">
        <v>721</v>
      </c>
      <c r="F11" s="14" t="s">
        <v>723</v>
      </c>
      <c r="G11" s="13" t="s">
        <v>82</v>
      </c>
      <c r="H11" s="14" t="s">
        <v>78</v>
      </c>
      <c r="I11" s="15">
        <v>789314</v>
      </c>
      <c r="J11" s="15">
        <v>0</v>
      </c>
      <c r="K11" s="15">
        <v>10399190</v>
      </c>
      <c r="L11" s="15">
        <v>9609876</v>
      </c>
      <c r="M11" s="13" t="s">
        <v>1714</v>
      </c>
      <c r="N11" s="15">
        <v>0</v>
      </c>
      <c r="O11" s="15">
        <v>194638</v>
      </c>
      <c r="P11" s="15">
        <v>8204552</v>
      </c>
      <c r="Q11" s="15">
        <v>2000000</v>
      </c>
      <c r="R11" s="15">
        <v>0</v>
      </c>
      <c r="S11" s="13" t="s">
        <v>89</v>
      </c>
      <c r="T11" s="16">
        <v>0.08922048236692159</v>
      </c>
      <c r="U11" s="15">
        <v>8282615</v>
      </c>
      <c r="V11" s="15">
        <v>10255200</v>
      </c>
      <c r="W11" s="14" t="s">
        <v>724</v>
      </c>
    </row>
    <row r="12" spans="1:23" x14ac:dyDescent="0.25">
      <c r="A12" s="13">
        <v>5</v>
      </c>
      <c r="B12" s="13" t="s">
        <v>272</v>
      </c>
      <c r="C12" s="13" t="s">
        <v>74</v>
      </c>
      <c r="D12" s="14" t="s">
        <v>76</v>
      </c>
      <c r="E12" s="13" t="s">
        <v>368</v>
      </c>
      <c r="F12" s="14" t="s">
        <v>370</v>
      </c>
      <c r="G12" s="13" t="s">
        <v>82</v>
      </c>
      <c r="H12" s="14" t="s">
        <v>78</v>
      </c>
      <c r="I12" s="15">
        <v>617941.4299999997</v>
      </c>
      <c r="J12" s="15">
        <v>0</v>
      </c>
      <c r="K12" s="15">
        <v>8256172</v>
      </c>
      <c r="L12" s="15">
        <v>7558918.91</v>
      </c>
      <c r="M12" s="13" t="s">
        <v>1714</v>
      </c>
      <c r="N12" s="15">
        <v>0</v>
      </c>
      <c r="O12" s="15">
        <v>0</v>
      </c>
      <c r="P12" s="15">
        <v>8256172</v>
      </c>
      <c r="Q12" s="15">
        <v>0</v>
      </c>
      <c r="R12" s="15">
        <v>0</v>
      </c>
      <c r="S12" s="13" t="s">
        <v>89</v>
      </c>
      <c r="T12" s="16">
        <v>0.4596728780466639</v>
      </c>
      <c r="U12" s="15">
        <v>9468125</v>
      </c>
      <c r="V12" s="15">
        <v>933429</v>
      </c>
      <c r="W12" s="14" t="s">
        <v>371</v>
      </c>
    </row>
    <row r="13" spans="1:23" x14ac:dyDescent="0.25">
      <c r="A13" s="13">
        <v>6</v>
      </c>
      <c r="B13" s="13" t="s">
        <v>272</v>
      </c>
      <c r="C13" s="13" t="s">
        <v>1619</v>
      </c>
      <c r="D13" s="14" t="s">
        <v>1620</v>
      </c>
      <c r="E13" s="13" t="s">
        <v>1627</v>
      </c>
      <c r="F13" s="14" t="s">
        <v>1629</v>
      </c>
      <c r="G13" s="13" t="s">
        <v>82</v>
      </c>
      <c r="H13" s="14" t="s">
        <v>1128</v>
      </c>
      <c r="I13" s="15">
        <v>356798.1117892078</v>
      </c>
      <c r="J13" s="15">
        <v>322975.6892862254</v>
      </c>
      <c r="K13" s="15">
        <v>7723291</v>
      </c>
      <c r="L13" s="15">
        <v>7350044.049999999</v>
      </c>
      <c r="M13" s="13" t="s">
        <v>1714</v>
      </c>
      <c r="N13" s="15">
        <v>0</v>
      </c>
      <c r="O13" s="15">
        <v>0</v>
      </c>
      <c r="P13" s="15">
        <v>7723291</v>
      </c>
      <c r="Q13" s="15">
        <v>0</v>
      </c>
      <c r="R13" s="15">
        <v>0</v>
      </c>
      <c r="S13" s="13" t="s">
        <v>89</v>
      </c>
      <c r="T13" s="16">
        <v>0.7620846705482515</v>
      </c>
      <c r="U13" s="15">
        <v>4665000</v>
      </c>
      <c r="V13" s="15">
        <v>62456</v>
      </c>
      <c r="W13" s="14" t="s">
        <v>1630</v>
      </c>
    </row>
    <row r="14" spans="1:23" x14ac:dyDescent="0.25">
      <c r="A14" s="13">
        <v>7</v>
      </c>
      <c r="B14" s="13" t="s">
        <v>272</v>
      </c>
      <c r="C14" s="13" t="s">
        <v>74</v>
      </c>
      <c r="D14" s="14" t="s">
        <v>1418</v>
      </c>
      <c r="E14" s="13" t="s">
        <v>1513</v>
      </c>
      <c r="F14" s="14" t="s">
        <v>1515</v>
      </c>
      <c r="G14" s="13" t="s">
        <v>162</v>
      </c>
      <c r="H14" s="14" t="s">
        <v>102</v>
      </c>
      <c r="I14" s="15">
        <v>329210.4500000002</v>
      </c>
      <c r="J14" s="15">
        <v>0</v>
      </c>
      <c r="K14" s="15">
        <v>3254770</v>
      </c>
      <c r="L14" s="15">
        <v>2925559.55</v>
      </c>
      <c r="M14" s="13" t="s">
        <v>1713</v>
      </c>
      <c r="N14" s="15">
        <v>0</v>
      </c>
      <c r="O14" s="15">
        <v>3254770</v>
      </c>
      <c r="P14" s="15">
        <v>0</v>
      </c>
      <c r="Q14" s="15">
        <v>0</v>
      </c>
      <c r="R14" s="15">
        <v>0</v>
      </c>
      <c r="S14" s="13" t="s">
        <v>89</v>
      </c>
      <c r="T14" s="16">
        <v>0</v>
      </c>
      <c r="U14" s="15">
        <v>0</v>
      </c>
      <c r="V14" s="15">
        <v>0</v>
      </c>
      <c r="W14" s="14" t="s">
        <v>1516</v>
      </c>
    </row>
    <row r="15" spans="1:23" x14ac:dyDescent="0.25">
      <c r="A15" s="13">
        <v>8</v>
      </c>
      <c r="B15" s="13" t="s">
        <v>272</v>
      </c>
      <c r="C15" s="13" t="s">
        <v>74</v>
      </c>
      <c r="D15" s="14" t="s">
        <v>76</v>
      </c>
      <c r="E15" s="13" t="s">
        <v>323</v>
      </c>
      <c r="F15" s="14" t="s">
        <v>325</v>
      </c>
      <c r="G15" s="13" t="s">
        <v>82</v>
      </c>
      <c r="H15" s="14" t="s">
        <v>319</v>
      </c>
      <c r="I15" s="15">
        <v>309147.4799999995</v>
      </c>
      <c r="J15" s="15">
        <v>2486795.52</v>
      </c>
      <c r="K15" s="15">
        <v>5921783</v>
      </c>
      <c r="L15" s="15">
        <v>5612635.52</v>
      </c>
      <c r="M15" s="13" t="s">
        <v>1714</v>
      </c>
      <c r="N15" s="15">
        <v>0</v>
      </c>
      <c r="O15" s="15">
        <v>0</v>
      </c>
      <c r="P15" s="15">
        <v>5921783</v>
      </c>
      <c r="Q15" s="15">
        <v>0</v>
      </c>
      <c r="R15" s="15">
        <v>0</v>
      </c>
      <c r="S15" s="13" t="s">
        <v>89</v>
      </c>
      <c r="T15" s="16">
        <v>0.8465737601023606</v>
      </c>
      <c r="U15" s="15">
        <v>1139986</v>
      </c>
      <c r="V15" s="15">
        <v>500000</v>
      </c>
      <c r="W15" s="14" t="s">
        <v>326</v>
      </c>
    </row>
    <row r="16" spans="1:23" x14ac:dyDescent="0.25">
      <c r="A16" s="13">
        <v>9</v>
      </c>
      <c r="B16" s="13" t="s">
        <v>272</v>
      </c>
      <c r="C16" s="13" t="s">
        <v>1619</v>
      </c>
      <c r="D16" s="14" t="s">
        <v>1620</v>
      </c>
      <c r="E16" s="13" t="s">
        <v>1624</v>
      </c>
      <c r="F16" s="14" t="s">
        <v>1625</v>
      </c>
      <c r="G16" s="13" t="s">
        <v>82</v>
      </c>
      <c r="H16" s="14" t="s">
        <v>1128</v>
      </c>
      <c r="I16" s="15">
        <v>304204.2468168506</v>
      </c>
      <c r="J16" s="15">
        <v>156902.6131831488</v>
      </c>
      <c r="K16" s="15">
        <v>7885949</v>
      </c>
      <c r="L16" s="15">
        <v>7581523.87</v>
      </c>
      <c r="M16" s="13" t="s">
        <v>1714</v>
      </c>
      <c r="N16" s="15">
        <v>0</v>
      </c>
      <c r="O16" s="15">
        <v>0</v>
      </c>
      <c r="P16" s="15">
        <v>7885949</v>
      </c>
      <c r="Q16" s="15">
        <v>0</v>
      </c>
      <c r="R16" s="15">
        <v>0</v>
      </c>
      <c r="S16" s="13" t="s">
        <v>89</v>
      </c>
      <c r="T16" s="16">
        <v>0.857122748986519</v>
      </c>
      <c r="U16" s="15">
        <v>2780000</v>
      </c>
      <c r="V16" s="15">
        <v>108325</v>
      </c>
      <c r="W16" s="14" t="s">
        <v>1626</v>
      </c>
    </row>
    <row r="17" spans="1:23" x14ac:dyDescent="0.25">
      <c r="A17" s="13">
        <v>10</v>
      </c>
      <c r="B17" s="13" t="s">
        <v>272</v>
      </c>
      <c r="C17" s="13" t="s">
        <v>74</v>
      </c>
      <c r="D17" s="14" t="s">
        <v>76</v>
      </c>
      <c r="E17" s="13" t="s">
        <v>617</v>
      </c>
      <c r="F17" s="14" t="s">
        <v>619</v>
      </c>
      <c r="G17" s="13" t="s">
        <v>82</v>
      </c>
      <c r="H17" s="14" t="s">
        <v>102</v>
      </c>
      <c r="I17" s="15">
        <v>292573</v>
      </c>
      <c r="J17" s="15">
        <v>0</v>
      </c>
      <c r="K17" s="15">
        <v>292573</v>
      </c>
      <c r="L17" s="15">
        <v>0</v>
      </c>
      <c r="M17" s="13" t="s">
        <v>1714</v>
      </c>
      <c r="N17" s="15">
        <v>0</v>
      </c>
      <c r="O17" s="15">
        <v>0</v>
      </c>
      <c r="P17" s="15">
        <v>292573</v>
      </c>
      <c r="Q17" s="15">
        <v>0</v>
      </c>
      <c r="R17" s="15">
        <v>0</v>
      </c>
      <c r="S17" s="13" t="s">
        <v>89</v>
      </c>
      <c r="T17" s="16">
        <v>0.01520733126768834</v>
      </c>
      <c r="U17" s="15">
        <v>0</v>
      </c>
      <c r="V17" s="15">
        <v>0</v>
      </c>
      <c r="W17" s="14" t="s">
        <v>620</v>
      </c>
    </row>
    <row r="18" spans="1:23" x14ac:dyDescent="0.25">
      <c r="A18" s="13">
        <v>11</v>
      </c>
      <c r="B18" s="13" t="s">
        <v>272</v>
      </c>
      <c r="C18" s="13" t="s">
        <v>74</v>
      </c>
      <c r="D18" s="14" t="s">
        <v>76</v>
      </c>
      <c r="E18" s="13" t="s">
        <v>269</v>
      </c>
      <c r="F18" s="14" t="s">
        <v>271</v>
      </c>
      <c r="G18" s="13" t="s">
        <v>82</v>
      </c>
      <c r="H18" s="14" t="s">
        <v>221</v>
      </c>
      <c r="I18" s="15">
        <v>276235.8000000007</v>
      </c>
      <c r="J18" s="15">
        <v>3131588.879999999</v>
      </c>
      <c r="K18" s="15">
        <v>22224878</v>
      </c>
      <c r="L18" s="15">
        <v>21948642.2</v>
      </c>
      <c r="M18" s="13" t="s">
        <v>1714</v>
      </c>
      <c r="N18" s="15">
        <v>0</v>
      </c>
      <c r="O18" s="15">
        <v>0</v>
      </c>
      <c r="P18" s="15">
        <v>22224878</v>
      </c>
      <c r="Q18" s="15">
        <v>0</v>
      </c>
      <c r="R18" s="15">
        <v>0</v>
      </c>
      <c r="S18" s="13" t="s">
        <v>89</v>
      </c>
      <c r="T18" s="16">
        <v>0.1102530834929485</v>
      </c>
      <c r="U18" s="15">
        <v>0</v>
      </c>
      <c r="V18" s="15">
        <v>0</v>
      </c>
      <c r="W18" s="14" t="s">
        <v>273</v>
      </c>
    </row>
    <row r="19" spans="1:23" x14ac:dyDescent="0.25">
      <c r="A19" s="13">
        <v>12</v>
      </c>
      <c r="B19" s="13" t="s">
        <v>272</v>
      </c>
      <c r="C19" s="13" t="s">
        <v>74</v>
      </c>
      <c r="D19" s="14" t="s">
        <v>76</v>
      </c>
      <c r="E19" s="13" t="s">
        <v>871</v>
      </c>
      <c r="F19" s="14" t="s">
        <v>873</v>
      </c>
      <c r="G19" s="13" t="s">
        <v>82</v>
      </c>
      <c r="H19" s="14" t="s">
        <v>102</v>
      </c>
      <c r="I19" s="15">
        <v>270568</v>
      </c>
      <c r="J19" s="15">
        <v>0</v>
      </c>
      <c r="K19" s="15">
        <v>5931027</v>
      </c>
      <c r="L19" s="15">
        <v>5660459</v>
      </c>
      <c r="M19" s="13" t="s">
        <v>1714</v>
      </c>
      <c r="N19" s="15">
        <v>0</v>
      </c>
      <c r="O19" s="15">
        <v>0</v>
      </c>
      <c r="P19" s="15">
        <v>5931027</v>
      </c>
      <c r="Q19" s="15">
        <v>0</v>
      </c>
      <c r="R19" s="15">
        <v>0</v>
      </c>
      <c r="S19" s="13" t="s">
        <v>89</v>
      </c>
      <c r="T19" s="16">
        <v>0.1302215585925401</v>
      </c>
      <c r="U19" s="15">
        <v>2769903</v>
      </c>
      <c r="V19" s="15">
        <v>8258956</v>
      </c>
      <c r="W19" s="14" t="s">
        <v>874</v>
      </c>
    </row>
    <row r="20" spans="1:23" x14ac:dyDescent="0.25">
      <c r="A20" s="13">
        <v>13</v>
      </c>
      <c r="B20" s="13" t="s">
        <v>272</v>
      </c>
      <c r="C20" s="13" t="s">
        <v>74</v>
      </c>
      <c r="D20" s="14" t="s">
        <v>76</v>
      </c>
      <c r="E20" s="13" t="s">
        <v>1063</v>
      </c>
      <c r="F20" s="14" t="s">
        <v>1065</v>
      </c>
      <c r="G20" s="13" t="s">
        <v>82</v>
      </c>
      <c r="H20" s="14" t="s">
        <v>319</v>
      </c>
      <c r="I20" s="15">
        <v>229217</v>
      </c>
      <c r="J20" s="15">
        <v>0</v>
      </c>
      <c r="K20" s="15">
        <v>369217</v>
      </c>
      <c r="L20" s="15">
        <v>140000</v>
      </c>
      <c r="M20" s="13" t="s">
        <v>1714</v>
      </c>
      <c r="N20" s="15">
        <v>19217</v>
      </c>
      <c r="O20" s="15">
        <v>0</v>
      </c>
      <c r="P20" s="15">
        <v>350000</v>
      </c>
      <c r="Q20" s="15">
        <v>0</v>
      </c>
      <c r="R20" s="15">
        <v>0</v>
      </c>
      <c r="S20" s="13" t="s">
        <v>89</v>
      </c>
      <c r="T20" s="16">
        <v>0.05368825565380954</v>
      </c>
      <c r="U20" s="15">
        <v>0</v>
      </c>
      <c r="V20" s="15">
        <v>0</v>
      </c>
      <c r="W20" s="14" t="s">
        <v>705</v>
      </c>
    </row>
    <row r="21" spans="1:23" x14ac:dyDescent="0.25">
      <c r="A21" s="13">
        <v>14</v>
      </c>
      <c r="B21" s="13" t="s">
        <v>272</v>
      </c>
      <c r="C21" s="13" t="s">
        <v>74</v>
      </c>
      <c r="D21" s="14" t="s">
        <v>76</v>
      </c>
      <c r="E21" s="13" t="s">
        <v>557</v>
      </c>
      <c r="F21" s="14" t="s">
        <v>559</v>
      </c>
      <c r="G21" s="13" t="s">
        <v>82</v>
      </c>
      <c r="H21" s="14" t="s">
        <v>78</v>
      </c>
      <c r="I21" s="15">
        <v>219373.9399999999</v>
      </c>
      <c r="J21" s="15">
        <v>150907.0600000001</v>
      </c>
      <c r="K21" s="15">
        <v>966193</v>
      </c>
      <c r="L21" s="15">
        <v>746819.0600000001</v>
      </c>
      <c r="M21" s="13" t="s">
        <v>1714</v>
      </c>
      <c r="N21" s="15">
        <v>0</v>
      </c>
      <c r="O21" s="15">
        <v>0</v>
      </c>
      <c r="P21" s="15">
        <v>966193</v>
      </c>
      <c r="Q21" s="15">
        <v>0</v>
      </c>
      <c r="R21" s="15">
        <v>0</v>
      </c>
      <c r="S21" s="13" t="s">
        <v>89</v>
      </c>
      <c r="T21" s="16">
        <v>0.002832533548099745</v>
      </c>
      <c r="U21" s="15">
        <v>0</v>
      </c>
      <c r="V21" s="15">
        <v>0</v>
      </c>
      <c r="W21" s="14" t="s">
        <v>560</v>
      </c>
    </row>
    <row r="22" spans="1:23" x14ac:dyDescent="0.25">
      <c r="A22" s="13">
        <v>15</v>
      </c>
      <c r="B22" s="13" t="s">
        <v>272</v>
      </c>
      <c r="C22" s="13" t="s">
        <v>74</v>
      </c>
      <c r="D22" s="14" t="s">
        <v>76</v>
      </c>
      <c r="E22" s="13" t="s">
        <v>377</v>
      </c>
      <c r="F22" s="14" t="s">
        <v>379</v>
      </c>
      <c r="G22" s="13" t="s">
        <v>82</v>
      </c>
      <c r="H22" s="14" t="s">
        <v>78</v>
      </c>
      <c r="I22" s="15">
        <v>210271.1900000004</v>
      </c>
      <c r="J22" s="15">
        <v>1463593.729999999</v>
      </c>
      <c r="K22" s="15">
        <v>6997430</v>
      </c>
      <c r="L22" s="15">
        <v>6787158.81</v>
      </c>
      <c r="M22" s="13" t="s">
        <v>1714</v>
      </c>
      <c r="N22" s="15">
        <v>0</v>
      </c>
      <c r="O22" s="15">
        <v>0</v>
      </c>
      <c r="P22" s="15">
        <v>6997430</v>
      </c>
      <c r="Q22" s="15">
        <v>0</v>
      </c>
      <c r="R22" s="15">
        <v>0</v>
      </c>
      <c r="S22" s="13" t="s">
        <v>89</v>
      </c>
      <c r="T22" s="16">
        <v>0.2048618315928439</v>
      </c>
      <c r="U22" s="15">
        <v>8000000</v>
      </c>
      <c r="V22" s="15">
        <v>10256256</v>
      </c>
      <c r="W22" s="14" t="s">
        <v>380</v>
      </c>
    </row>
    <row r="23" spans="1:23" x14ac:dyDescent="0.25">
      <c r="A23" s="13">
        <v>16</v>
      </c>
      <c r="B23" s="13" t="s">
        <v>272</v>
      </c>
      <c r="C23" s="13" t="s">
        <v>74</v>
      </c>
      <c r="D23" s="14" t="s">
        <v>1418</v>
      </c>
      <c r="E23" s="13" t="s">
        <v>1523</v>
      </c>
      <c r="F23" s="14" t="s">
        <v>1525</v>
      </c>
      <c r="G23" s="13" t="s">
        <v>162</v>
      </c>
      <c r="H23" s="14" t="s">
        <v>102</v>
      </c>
      <c r="I23" s="15">
        <v>201494.77</v>
      </c>
      <c r="J23" s="15">
        <v>0</v>
      </c>
      <c r="K23" s="15">
        <v>1688098</v>
      </c>
      <c r="L23" s="15">
        <v>1486603.23</v>
      </c>
      <c r="M23" s="13" t="s">
        <v>1713</v>
      </c>
      <c r="N23" s="15">
        <v>0</v>
      </c>
      <c r="O23" s="15">
        <v>1688098</v>
      </c>
      <c r="P23" s="15">
        <v>0</v>
      </c>
      <c r="Q23" s="15">
        <v>0</v>
      </c>
      <c r="R23" s="15">
        <v>0</v>
      </c>
      <c r="S23" s="13" t="s">
        <v>89</v>
      </c>
      <c r="T23" s="16">
        <v>0</v>
      </c>
      <c r="U23" s="15">
        <v>0</v>
      </c>
      <c r="V23" s="15">
        <v>0</v>
      </c>
      <c r="W23" s="14" t="s">
        <v>1526</v>
      </c>
    </row>
    <row r="24" spans="1:23" x14ac:dyDescent="0.25">
      <c r="A24" s="13">
        <v>17</v>
      </c>
      <c r="B24" s="13" t="s">
        <v>272</v>
      </c>
      <c r="C24" s="13" t="s">
        <v>74</v>
      </c>
      <c r="D24" s="14" t="s">
        <v>1418</v>
      </c>
      <c r="E24" s="13" t="s">
        <v>1519</v>
      </c>
      <c r="F24" s="14" t="s">
        <v>1521</v>
      </c>
      <c r="G24" s="13" t="s">
        <v>162</v>
      </c>
      <c r="H24" s="14" t="s">
        <v>102</v>
      </c>
      <c r="I24" s="15">
        <v>169272.62</v>
      </c>
      <c r="J24" s="15">
        <v>0</v>
      </c>
      <c r="K24" s="15">
        <v>1007572</v>
      </c>
      <c r="L24" s="15">
        <v>838299.38</v>
      </c>
      <c r="M24" s="13" t="s">
        <v>1713</v>
      </c>
      <c r="N24" s="15">
        <v>0</v>
      </c>
      <c r="O24" s="15">
        <v>1007572</v>
      </c>
      <c r="P24" s="15">
        <v>0</v>
      </c>
      <c r="Q24" s="15">
        <v>0</v>
      </c>
      <c r="R24" s="15">
        <v>0</v>
      </c>
      <c r="S24" s="13" t="s">
        <v>89</v>
      </c>
      <c r="T24" s="16">
        <v>0</v>
      </c>
      <c r="U24" s="15">
        <v>0</v>
      </c>
      <c r="V24" s="15">
        <v>0</v>
      </c>
      <c r="W24" s="14" t="s">
        <v>1522</v>
      </c>
    </row>
    <row r="25" spans="1:23" x14ac:dyDescent="0.25">
      <c r="A25" s="13">
        <v>18</v>
      </c>
      <c r="B25" s="13" t="s">
        <v>272</v>
      </c>
      <c r="C25" s="13" t="s">
        <v>74</v>
      </c>
      <c r="D25" s="14" t="s">
        <v>1418</v>
      </c>
      <c r="E25" s="13" t="s">
        <v>1527</v>
      </c>
      <c r="F25" s="14" t="s">
        <v>1529</v>
      </c>
      <c r="G25" s="13" t="s">
        <v>162</v>
      </c>
      <c r="H25" s="14" t="s">
        <v>102</v>
      </c>
      <c r="I25" s="15">
        <v>142445.0800000001</v>
      </c>
      <c r="J25" s="15">
        <v>0</v>
      </c>
      <c r="K25" s="15">
        <v>680748</v>
      </c>
      <c r="L25" s="15">
        <v>538302.9199999999</v>
      </c>
      <c r="M25" s="13" t="s">
        <v>1713</v>
      </c>
      <c r="N25" s="15">
        <v>0</v>
      </c>
      <c r="O25" s="15">
        <v>680748</v>
      </c>
      <c r="P25" s="15">
        <v>0</v>
      </c>
      <c r="Q25" s="15">
        <v>0</v>
      </c>
      <c r="R25" s="15">
        <v>0</v>
      </c>
      <c r="S25" s="13" t="s">
        <v>89</v>
      </c>
      <c r="T25" s="16">
        <v>0</v>
      </c>
      <c r="U25" s="15">
        <v>0</v>
      </c>
      <c r="V25" s="15">
        <v>0</v>
      </c>
      <c r="W25" s="14" t="s">
        <v>1530</v>
      </c>
    </row>
    <row r="26" spans="1:23" x14ac:dyDescent="0.25">
      <c r="A26" s="13">
        <v>19</v>
      </c>
      <c r="B26" s="13" t="s">
        <v>272</v>
      </c>
      <c r="C26" s="13" t="s">
        <v>74</v>
      </c>
      <c r="D26" s="14" t="s">
        <v>1418</v>
      </c>
      <c r="E26" s="13" t="s">
        <v>1539</v>
      </c>
      <c r="F26" s="14" t="s">
        <v>1541</v>
      </c>
      <c r="G26" s="13" t="s">
        <v>162</v>
      </c>
      <c r="H26" s="14" t="s">
        <v>102</v>
      </c>
      <c r="I26" s="15">
        <v>140504.49</v>
      </c>
      <c r="J26" s="15">
        <v>0</v>
      </c>
      <c r="K26" s="15">
        <v>542416</v>
      </c>
      <c r="L26" s="15">
        <v>401911.51</v>
      </c>
      <c r="M26" s="13" t="s">
        <v>1713</v>
      </c>
      <c r="N26" s="15">
        <v>0</v>
      </c>
      <c r="O26" s="15">
        <v>542416</v>
      </c>
      <c r="P26" s="15">
        <v>0</v>
      </c>
      <c r="Q26" s="15">
        <v>0</v>
      </c>
      <c r="R26" s="15">
        <v>0</v>
      </c>
      <c r="S26" s="13" t="s">
        <v>89</v>
      </c>
      <c r="T26" s="16">
        <v>0</v>
      </c>
      <c r="U26" s="15">
        <v>0</v>
      </c>
      <c r="V26" s="15">
        <v>0</v>
      </c>
      <c r="W26" s="14" t="s">
        <v>1542</v>
      </c>
    </row>
    <row r="27" spans="1:23" x14ac:dyDescent="0.25">
      <c r="A27" s="13">
        <v>20</v>
      </c>
      <c r="B27" s="13" t="s">
        <v>272</v>
      </c>
      <c r="C27" s="13" t="s">
        <v>74</v>
      </c>
      <c r="D27" s="14" t="s">
        <v>1418</v>
      </c>
      <c r="E27" s="13" t="s">
        <v>1531</v>
      </c>
      <c r="F27" s="14" t="s">
        <v>1533</v>
      </c>
      <c r="G27" s="13" t="s">
        <v>162</v>
      </c>
      <c r="H27" s="14" t="s">
        <v>102</v>
      </c>
      <c r="I27" s="15">
        <v>137308.03</v>
      </c>
      <c r="J27" s="15">
        <v>0</v>
      </c>
      <c r="K27" s="15">
        <v>670100</v>
      </c>
      <c r="L27" s="15">
        <v>532791.97</v>
      </c>
      <c r="M27" s="13" t="s">
        <v>1713</v>
      </c>
      <c r="N27" s="15">
        <v>0</v>
      </c>
      <c r="O27" s="15">
        <v>670100</v>
      </c>
      <c r="P27" s="15">
        <v>0</v>
      </c>
      <c r="Q27" s="15">
        <v>0</v>
      </c>
      <c r="R27" s="15">
        <v>0</v>
      </c>
      <c r="S27" s="13" t="s">
        <v>89</v>
      </c>
      <c r="T27" s="16">
        <v>0</v>
      </c>
      <c r="U27" s="15">
        <v>0</v>
      </c>
      <c r="V27" s="15">
        <v>0</v>
      </c>
      <c r="W27" s="14" t="s">
        <v>1534</v>
      </c>
    </row>
    <row r="28" spans="1:23" x14ac:dyDescent="0.25">
      <c r="A28" s="13">
        <v>21</v>
      </c>
      <c r="B28" s="13" t="s">
        <v>272</v>
      </c>
      <c r="C28" s="13" t="s">
        <v>74</v>
      </c>
      <c r="D28" s="14" t="s">
        <v>1418</v>
      </c>
      <c r="E28" s="13" t="s">
        <v>1535</v>
      </c>
      <c r="F28" s="14" t="s">
        <v>1537</v>
      </c>
      <c r="G28" s="13" t="s">
        <v>162</v>
      </c>
      <c r="H28" s="14" t="s">
        <v>102</v>
      </c>
      <c r="I28" s="15">
        <v>119290.16</v>
      </c>
      <c r="J28" s="15">
        <v>0</v>
      </c>
      <c r="K28" s="15">
        <v>388514</v>
      </c>
      <c r="L28" s="15">
        <v>269223.84</v>
      </c>
      <c r="M28" s="13" t="s">
        <v>1713</v>
      </c>
      <c r="N28" s="15">
        <v>0</v>
      </c>
      <c r="O28" s="15">
        <v>388514</v>
      </c>
      <c r="P28" s="15">
        <v>0</v>
      </c>
      <c r="Q28" s="15">
        <v>0</v>
      </c>
      <c r="R28" s="15">
        <v>0</v>
      </c>
      <c r="S28" s="13" t="s">
        <v>89</v>
      </c>
      <c r="T28" s="16">
        <v>0</v>
      </c>
      <c r="U28" s="15">
        <v>0</v>
      </c>
      <c r="V28" s="15">
        <v>0</v>
      </c>
      <c r="W28" s="14" t="s">
        <v>1538</v>
      </c>
    </row>
    <row r="29" spans="1:23" x14ac:dyDescent="0.25">
      <c r="A29" s="13">
        <v>22</v>
      </c>
      <c r="B29" s="13" t="s">
        <v>272</v>
      </c>
      <c r="C29" s="13" t="s">
        <v>74</v>
      </c>
      <c r="D29" s="14" t="s">
        <v>1418</v>
      </c>
      <c r="E29" s="13" t="s">
        <v>1496</v>
      </c>
      <c r="F29" s="14" t="s">
        <v>1498</v>
      </c>
      <c r="G29" s="13" t="s">
        <v>162</v>
      </c>
      <c r="H29" s="14" t="s">
        <v>78</v>
      </c>
      <c r="I29" s="15">
        <v>114255</v>
      </c>
      <c r="J29" s="15">
        <v>0</v>
      </c>
      <c r="K29" s="15">
        <v>114255</v>
      </c>
      <c r="L29" s="15">
        <v>0</v>
      </c>
      <c r="M29" s="13" t="s">
        <v>1714</v>
      </c>
      <c r="N29" s="15">
        <v>0</v>
      </c>
      <c r="O29" s="15">
        <v>0</v>
      </c>
      <c r="P29" s="15">
        <v>114255</v>
      </c>
      <c r="Q29" s="15">
        <v>0</v>
      </c>
      <c r="R29" s="15">
        <v>0</v>
      </c>
      <c r="S29" s="13" t="s">
        <v>89</v>
      </c>
      <c r="T29" s="16">
        <v>0</v>
      </c>
      <c r="U29" s="15">
        <v>0</v>
      </c>
      <c r="V29" s="15">
        <v>0</v>
      </c>
      <c r="W29" s="14" t="s">
        <v>1499</v>
      </c>
    </row>
    <row r="30" spans="1:23" x14ac:dyDescent="0.25">
      <c r="A30" s="13">
        <v>23</v>
      </c>
      <c r="B30" s="13" t="s">
        <v>272</v>
      </c>
      <c r="C30" s="13" t="s">
        <v>74</v>
      </c>
      <c r="D30" s="14" t="s">
        <v>76</v>
      </c>
      <c r="E30" s="13" t="s">
        <v>1088</v>
      </c>
      <c r="F30" s="14" t="s">
        <v>1090</v>
      </c>
      <c r="G30" s="13" t="s">
        <v>82</v>
      </c>
      <c r="H30" s="14" t="s">
        <v>1087</v>
      </c>
      <c r="I30" s="15">
        <v>100000</v>
      </c>
      <c r="J30" s="15">
        <v>0</v>
      </c>
      <c r="K30" s="15">
        <v>100000</v>
      </c>
      <c r="L30" s="15">
        <v>0</v>
      </c>
      <c r="M30" s="13" t="s">
        <v>1714</v>
      </c>
      <c r="N30" s="15">
        <v>0</v>
      </c>
      <c r="O30" s="15">
        <v>0</v>
      </c>
      <c r="P30" s="15">
        <v>100000</v>
      </c>
      <c r="Q30" s="15">
        <v>0</v>
      </c>
      <c r="R30" s="15">
        <v>0</v>
      </c>
      <c r="S30" s="13" t="s">
        <v>89</v>
      </c>
      <c r="T30" s="16">
        <v>0</v>
      </c>
      <c r="U30" s="15">
        <v>0</v>
      </c>
      <c r="V30" s="15">
        <v>0</v>
      </c>
      <c r="W30" s="14" t="s">
        <v>709</v>
      </c>
    </row>
    <row r="31" spans="1:23" x14ac:dyDescent="0.25">
      <c r="A31" s="13">
        <v>24</v>
      </c>
      <c r="B31" s="13" t="s">
        <v>272</v>
      </c>
      <c r="C31" s="13" t="s">
        <v>74</v>
      </c>
      <c r="D31" s="14" t="s">
        <v>76</v>
      </c>
      <c r="E31" s="13" t="s">
        <v>613</v>
      </c>
      <c r="F31" s="14" t="s">
        <v>615</v>
      </c>
      <c r="G31" s="13" t="s">
        <v>82</v>
      </c>
      <c r="H31" s="14" t="s">
        <v>102</v>
      </c>
      <c r="I31" s="15">
        <v>81646</v>
      </c>
      <c r="J31" s="15">
        <v>0</v>
      </c>
      <c r="K31" s="15">
        <v>81646</v>
      </c>
      <c r="L31" s="15">
        <v>0</v>
      </c>
      <c r="M31" s="13" t="s">
        <v>1714</v>
      </c>
      <c r="N31" s="15">
        <v>0</v>
      </c>
      <c r="O31" s="15">
        <v>0</v>
      </c>
      <c r="P31" s="15">
        <v>81646</v>
      </c>
      <c r="Q31" s="15">
        <v>0</v>
      </c>
      <c r="R31" s="15">
        <v>0</v>
      </c>
      <c r="S31" s="13" t="s">
        <v>89</v>
      </c>
      <c r="T31" s="16">
        <v>0.03664465521476957</v>
      </c>
      <c r="U31" s="15">
        <v>0</v>
      </c>
      <c r="V31" s="15">
        <v>0</v>
      </c>
      <c r="W31" s="14" t="s">
        <v>616</v>
      </c>
    </row>
    <row r="32" spans="1:23" x14ac:dyDescent="0.25">
      <c r="A32" s="13">
        <v>25</v>
      </c>
      <c r="B32" s="13" t="s">
        <v>272</v>
      </c>
      <c r="C32" s="13" t="s">
        <v>74</v>
      </c>
      <c r="D32" s="14" t="s">
        <v>1418</v>
      </c>
      <c r="E32" s="13" t="s">
        <v>1484</v>
      </c>
      <c r="F32" s="14" t="s">
        <v>1486</v>
      </c>
      <c r="G32" s="13" t="s">
        <v>162</v>
      </c>
      <c r="H32" s="14" t="s">
        <v>78</v>
      </c>
      <c r="I32" s="15">
        <v>80738</v>
      </c>
      <c r="J32" s="15">
        <v>0</v>
      </c>
      <c r="K32" s="15">
        <v>80738</v>
      </c>
      <c r="L32" s="15">
        <v>0</v>
      </c>
      <c r="M32" s="13" t="s">
        <v>1714</v>
      </c>
      <c r="N32" s="15">
        <v>0</v>
      </c>
      <c r="O32" s="15">
        <v>0</v>
      </c>
      <c r="P32" s="15">
        <v>80738</v>
      </c>
      <c r="Q32" s="15">
        <v>0</v>
      </c>
      <c r="R32" s="15">
        <v>0</v>
      </c>
      <c r="S32" s="13" t="s">
        <v>89</v>
      </c>
      <c r="T32" s="16">
        <v>0</v>
      </c>
      <c r="U32" s="15">
        <v>0</v>
      </c>
      <c r="V32" s="15">
        <v>0</v>
      </c>
      <c r="W32" s="14" t="s">
        <v>1487</v>
      </c>
    </row>
    <row r="33" spans="1:23" x14ac:dyDescent="0.25">
      <c r="A33" s="13">
        <v>26</v>
      </c>
      <c r="B33" s="13" t="s">
        <v>272</v>
      </c>
      <c r="C33" s="13" t="s">
        <v>74</v>
      </c>
      <c r="D33" s="14" t="s">
        <v>76</v>
      </c>
      <c r="E33" s="13" t="s">
        <v>706</v>
      </c>
      <c r="F33" s="14" t="s">
        <v>708</v>
      </c>
      <c r="G33" s="13" t="s">
        <v>162</v>
      </c>
      <c r="H33" s="14" t="s">
        <v>221</v>
      </c>
      <c r="I33" s="15">
        <v>75291</v>
      </c>
      <c r="J33" s="15">
        <v>0</v>
      </c>
      <c r="K33" s="15">
        <v>75291</v>
      </c>
      <c r="L33" s="15">
        <v>0</v>
      </c>
      <c r="M33" s="13" t="s">
        <v>1714</v>
      </c>
      <c r="N33" s="15">
        <v>0</v>
      </c>
      <c r="O33" s="15">
        <v>0</v>
      </c>
      <c r="P33" s="15">
        <v>75291</v>
      </c>
      <c r="Q33" s="15">
        <v>0</v>
      </c>
      <c r="R33" s="15">
        <v>0</v>
      </c>
      <c r="S33" s="13" t="s">
        <v>89</v>
      </c>
      <c r="T33" s="16">
        <v>0</v>
      </c>
      <c r="U33" s="15">
        <v>0</v>
      </c>
      <c r="V33" s="15">
        <v>0</v>
      </c>
      <c r="W33" s="14" t="s">
        <v>709</v>
      </c>
    </row>
    <row r="34" spans="1:23" x14ac:dyDescent="0.25">
      <c r="A34" s="13">
        <v>27</v>
      </c>
      <c r="B34" s="13" t="s">
        <v>272</v>
      </c>
      <c r="C34" s="13" t="s">
        <v>74</v>
      </c>
      <c r="D34" s="14" t="s">
        <v>76</v>
      </c>
      <c r="E34" s="13" t="s">
        <v>627</v>
      </c>
      <c r="F34" s="14" t="s">
        <v>629</v>
      </c>
      <c r="G34" s="13" t="s">
        <v>82</v>
      </c>
      <c r="H34" s="14" t="s">
        <v>102</v>
      </c>
      <c r="I34" s="15">
        <v>58627</v>
      </c>
      <c r="J34" s="15">
        <v>0</v>
      </c>
      <c r="K34" s="15">
        <v>58627</v>
      </c>
      <c r="L34" s="15">
        <v>0</v>
      </c>
      <c r="M34" s="13" t="s">
        <v>1714</v>
      </c>
      <c r="N34" s="15">
        <v>0</v>
      </c>
      <c r="O34" s="15">
        <v>0</v>
      </c>
      <c r="P34" s="15">
        <v>58627</v>
      </c>
      <c r="Q34" s="15">
        <v>0</v>
      </c>
      <c r="R34" s="15">
        <v>0</v>
      </c>
      <c r="S34" s="13" t="s">
        <v>89</v>
      </c>
      <c r="T34" s="16">
        <v>0.02239152869055731</v>
      </c>
      <c r="U34" s="15">
        <v>0</v>
      </c>
      <c r="V34" s="15">
        <v>0</v>
      </c>
      <c r="W34" s="14" t="s">
        <v>630</v>
      </c>
    </row>
    <row r="35" spans="1:23" x14ac:dyDescent="0.25">
      <c r="A35" s="13">
        <v>28</v>
      </c>
      <c r="B35" s="13" t="s">
        <v>272</v>
      </c>
      <c r="C35" s="13" t="s">
        <v>74</v>
      </c>
      <c r="D35" s="14" t="s">
        <v>76</v>
      </c>
      <c r="E35" s="13" t="s">
        <v>329</v>
      </c>
      <c r="F35" s="14" t="s">
        <v>331</v>
      </c>
      <c r="G35" s="13" t="s">
        <v>82</v>
      </c>
      <c r="H35" s="14" t="s">
        <v>319</v>
      </c>
      <c r="I35" s="15">
        <v>55258.30235039968</v>
      </c>
      <c r="J35" s="15">
        <v>0</v>
      </c>
      <c r="K35" s="15">
        <v>1180793</v>
      </c>
      <c r="L35" s="15">
        <v>1110291.73</v>
      </c>
      <c r="M35" s="13" t="s">
        <v>1714</v>
      </c>
      <c r="N35" s="15">
        <v>0</v>
      </c>
      <c r="O35" s="15">
        <v>0</v>
      </c>
      <c r="P35" s="15">
        <v>1180793</v>
      </c>
      <c r="Q35" s="15">
        <v>0</v>
      </c>
      <c r="R35" s="15">
        <v>0</v>
      </c>
      <c r="S35" s="13" t="s">
        <v>89</v>
      </c>
      <c r="T35" s="16">
        <v>0.4841750802649868</v>
      </c>
      <c r="U35" s="15">
        <v>11675669</v>
      </c>
      <c r="V35" s="15">
        <v>6000000</v>
      </c>
      <c r="W35" s="14" t="s">
        <v>332</v>
      </c>
    </row>
    <row r="36" spans="1:23" x14ac:dyDescent="0.25">
      <c r="A36" s="13">
        <v>29</v>
      </c>
      <c r="B36" s="13" t="s">
        <v>272</v>
      </c>
      <c r="C36" s="13" t="s">
        <v>74</v>
      </c>
      <c r="D36" s="14" t="s">
        <v>76</v>
      </c>
      <c r="E36" s="13" t="s">
        <v>575</v>
      </c>
      <c r="F36" s="14" t="s">
        <v>577</v>
      </c>
      <c r="G36" s="13" t="s">
        <v>82</v>
      </c>
      <c r="H36" s="14" t="s">
        <v>78</v>
      </c>
      <c r="I36" s="15">
        <v>53287.85999999999</v>
      </c>
      <c r="J36" s="15">
        <v>0</v>
      </c>
      <c r="K36" s="15">
        <v>407088</v>
      </c>
      <c r="L36" s="15">
        <v>327566</v>
      </c>
      <c r="M36" s="13" t="s">
        <v>1714</v>
      </c>
      <c r="N36" s="15">
        <v>0</v>
      </c>
      <c r="O36" s="15">
        <v>0</v>
      </c>
      <c r="P36" s="15">
        <v>407088</v>
      </c>
      <c r="Q36" s="15">
        <v>0</v>
      </c>
      <c r="R36" s="15">
        <v>0</v>
      </c>
      <c r="S36" s="13" t="s">
        <v>89</v>
      </c>
      <c r="T36" s="16">
        <v>0.388565773159751</v>
      </c>
      <c r="U36" s="15">
        <v>1199085</v>
      </c>
      <c r="V36" s="15">
        <v>5128392</v>
      </c>
      <c r="W36" s="14" t="s">
        <v>578</v>
      </c>
    </row>
    <row r="37" spans="1:23" x14ac:dyDescent="0.25">
      <c r="A37" s="13">
        <v>30</v>
      </c>
      <c r="B37" s="13" t="s">
        <v>272</v>
      </c>
      <c r="C37" s="13" t="s">
        <v>1607</v>
      </c>
      <c r="D37" s="14" t="s">
        <v>1609</v>
      </c>
      <c r="E37" s="13" t="s">
        <v>1615</v>
      </c>
      <c r="F37" s="14" t="s">
        <v>1616</v>
      </c>
      <c r="G37" s="13" t="s">
        <v>162</v>
      </c>
      <c r="H37" s="14" t="s">
        <v>1321</v>
      </c>
      <c r="I37" s="15">
        <v>45000</v>
      </c>
      <c r="J37" s="15">
        <v>0</v>
      </c>
      <c r="K37" s="15">
        <v>45000</v>
      </c>
      <c r="L37" s="15">
        <v>0</v>
      </c>
      <c r="M37" s="13" t="s">
        <v>1714</v>
      </c>
      <c r="N37" s="15">
        <v>0</v>
      </c>
      <c r="O37" s="15">
        <v>0</v>
      </c>
      <c r="P37" s="15">
        <v>45000</v>
      </c>
      <c r="Q37" s="15">
        <v>0</v>
      </c>
      <c r="R37" s="15">
        <v>0</v>
      </c>
      <c r="S37" s="13" t="s">
        <v>89</v>
      </c>
      <c r="T37" s="16">
        <v>0</v>
      </c>
      <c r="U37" s="15">
        <v>0</v>
      </c>
      <c r="V37" s="15">
        <v>0</v>
      </c>
      <c r="W37" s="14" t="s">
        <v>1617</v>
      </c>
    </row>
    <row r="38" spans="1:23" x14ac:dyDescent="0.25">
      <c r="A38" s="13">
        <v>31</v>
      </c>
      <c r="B38" s="13" t="s">
        <v>272</v>
      </c>
      <c r="C38" s="13" t="s">
        <v>74</v>
      </c>
      <c r="D38" s="14" t="s">
        <v>76</v>
      </c>
      <c r="E38" s="13" t="s">
        <v>702</v>
      </c>
      <c r="F38" s="14" t="s">
        <v>704</v>
      </c>
      <c r="G38" s="13" t="s">
        <v>162</v>
      </c>
      <c r="H38" s="14" t="s">
        <v>221</v>
      </c>
      <c r="I38" s="15">
        <v>40572</v>
      </c>
      <c r="J38" s="15">
        <v>0</v>
      </c>
      <c r="K38" s="15">
        <v>40572</v>
      </c>
      <c r="L38" s="15">
        <v>0</v>
      </c>
      <c r="M38" s="13" t="s">
        <v>1714</v>
      </c>
      <c r="N38" s="15">
        <v>0</v>
      </c>
      <c r="O38" s="15">
        <v>0</v>
      </c>
      <c r="P38" s="15">
        <v>40572</v>
      </c>
      <c r="Q38" s="15">
        <v>0</v>
      </c>
      <c r="R38" s="15">
        <v>0</v>
      </c>
      <c r="S38" s="13" t="s">
        <v>89</v>
      </c>
      <c r="T38" s="16">
        <v>0</v>
      </c>
      <c r="U38" s="15">
        <v>0</v>
      </c>
      <c r="V38" s="15">
        <v>0</v>
      </c>
      <c r="W38" s="14" t="s">
        <v>705</v>
      </c>
    </row>
    <row r="39" spans="1:23" x14ac:dyDescent="0.25">
      <c r="A39" s="13">
        <v>32</v>
      </c>
      <c r="B39" s="13" t="s">
        <v>272</v>
      </c>
      <c r="C39" s="13" t="s">
        <v>74</v>
      </c>
      <c r="D39" s="14" t="s">
        <v>1418</v>
      </c>
      <c r="E39" s="13" t="s">
        <v>1505</v>
      </c>
      <c r="F39" s="14" t="s">
        <v>1507</v>
      </c>
      <c r="G39" s="13" t="s">
        <v>162</v>
      </c>
      <c r="H39" s="14" t="s">
        <v>78</v>
      </c>
      <c r="I39" s="15">
        <v>39485</v>
      </c>
      <c r="J39" s="15">
        <v>0</v>
      </c>
      <c r="K39" s="15">
        <v>39485</v>
      </c>
      <c r="L39" s="15">
        <v>0</v>
      </c>
      <c r="M39" s="13" t="s">
        <v>1714</v>
      </c>
      <c r="N39" s="15">
        <v>0</v>
      </c>
      <c r="O39" s="15">
        <v>0</v>
      </c>
      <c r="P39" s="15">
        <v>39485</v>
      </c>
      <c r="Q39" s="15">
        <v>0</v>
      </c>
      <c r="R39" s="15">
        <v>0</v>
      </c>
      <c r="S39" s="13" t="s">
        <v>89</v>
      </c>
      <c r="T39" s="16">
        <v>0</v>
      </c>
      <c r="U39" s="15">
        <v>0</v>
      </c>
      <c r="V39" s="15">
        <v>0</v>
      </c>
      <c r="W39" s="14" t="s">
        <v>1508</v>
      </c>
    </row>
    <row r="40" spans="1:23" x14ac:dyDescent="0.25">
      <c r="A40" s="13">
        <v>33</v>
      </c>
      <c r="B40" s="13" t="s">
        <v>272</v>
      </c>
      <c r="C40" s="13" t="s">
        <v>74</v>
      </c>
      <c r="D40" s="14" t="s">
        <v>1418</v>
      </c>
      <c r="E40" s="13" t="s">
        <v>1500</v>
      </c>
      <c r="F40" s="14" t="s">
        <v>1502</v>
      </c>
      <c r="G40" s="13" t="s">
        <v>162</v>
      </c>
      <c r="H40" s="14" t="s">
        <v>78</v>
      </c>
      <c r="I40" s="15">
        <v>36445</v>
      </c>
      <c r="J40" s="15">
        <v>0</v>
      </c>
      <c r="K40" s="15">
        <v>36445</v>
      </c>
      <c r="L40" s="15">
        <v>0</v>
      </c>
      <c r="M40" s="13" t="s">
        <v>1714</v>
      </c>
      <c r="N40" s="15">
        <v>0</v>
      </c>
      <c r="O40" s="15">
        <v>0</v>
      </c>
      <c r="P40" s="15">
        <v>36445</v>
      </c>
      <c r="Q40" s="15">
        <v>0</v>
      </c>
      <c r="R40" s="15">
        <v>0</v>
      </c>
      <c r="S40" s="13" t="s">
        <v>89</v>
      </c>
      <c r="T40" s="16">
        <v>0</v>
      </c>
      <c r="U40" s="15">
        <v>0</v>
      </c>
      <c r="V40" s="15">
        <v>0</v>
      </c>
      <c r="W40" s="14" t="s">
        <v>1503</v>
      </c>
    </row>
    <row r="41" spans="1:23" x14ac:dyDescent="0.25">
      <c r="A41" s="13">
        <v>34</v>
      </c>
      <c r="B41" s="13" t="s">
        <v>272</v>
      </c>
      <c r="C41" s="13" t="s">
        <v>74</v>
      </c>
      <c r="D41" s="14" t="s">
        <v>76</v>
      </c>
      <c r="E41" s="13" t="s">
        <v>334</v>
      </c>
      <c r="F41" s="14" t="s">
        <v>336</v>
      </c>
      <c r="G41" s="13" t="s">
        <v>162</v>
      </c>
      <c r="H41" s="14" t="s">
        <v>319</v>
      </c>
      <c r="I41" s="15">
        <v>27000</v>
      </c>
      <c r="J41" s="15">
        <v>0</v>
      </c>
      <c r="K41" s="15">
        <v>2167000</v>
      </c>
      <c r="L41" s="15">
        <v>1860545</v>
      </c>
      <c r="M41" s="13" t="s">
        <v>1714</v>
      </c>
      <c r="N41" s="15">
        <v>0</v>
      </c>
      <c r="O41" s="15">
        <v>0</v>
      </c>
      <c r="P41" s="15">
        <v>2167000</v>
      </c>
      <c r="Q41" s="15">
        <v>0</v>
      </c>
      <c r="R41" s="15">
        <v>0</v>
      </c>
      <c r="S41" s="13" t="s">
        <v>89</v>
      </c>
      <c r="T41" s="16">
        <v>0.03577906961632942</v>
      </c>
      <c r="U41" s="15">
        <v>2000000</v>
      </c>
      <c r="V41" s="15">
        <v>1547463</v>
      </c>
      <c r="W41" s="14" t="s">
        <v>337</v>
      </c>
    </row>
    <row r="42" spans="1:23" x14ac:dyDescent="0.25">
      <c r="A42" s="13">
        <v>35</v>
      </c>
      <c r="B42" s="13" t="s">
        <v>272</v>
      </c>
      <c r="C42" s="13" t="s">
        <v>74</v>
      </c>
      <c r="D42" s="14" t="s">
        <v>1418</v>
      </c>
      <c r="E42" s="13" t="s">
        <v>1510</v>
      </c>
      <c r="F42" s="14" t="s">
        <v>1512</v>
      </c>
      <c r="G42" s="13" t="s">
        <v>162</v>
      </c>
      <c r="H42" s="14" t="s">
        <v>78</v>
      </c>
      <c r="I42" s="15">
        <v>25610</v>
      </c>
      <c r="J42" s="15">
        <v>0</v>
      </c>
      <c r="K42" s="15">
        <v>25610</v>
      </c>
      <c r="L42" s="15">
        <v>0</v>
      </c>
      <c r="M42" s="13" t="s">
        <v>1714</v>
      </c>
      <c r="N42" s="15">
        <v>0</v>
      </c>
      <c r="O42" s="15">
        <v>0</v>
      </c>
      <c r="P42" s="15">
        <v>25610</v>
      </c>
      <c r="Q42" s="15">
        <v>0</v>
      </c>
      <c r="R42" s="15">
        <v>0</v>
      </c>
      <c r="S42" s="13" t="s">
        <v>89</v>
      </c>
      <c r="T42" s="16">
        <v>0</v>
      </c>
      <c r="U42" s="15">
        <v>0</v>
      </c>
      <c r="V42" s="15">
        <v>0</v>
      </c>
      <c r="W42" s="14" t="s">
        <v>709</v>
      </c>
    </row>
    <row r="43" spans="1:23" x14ac:dyDescent="0.25">
      <c r="A43" s="13">
        <v>36</v>
      </c>
      <c r="B43" s="13" t="s">
        <v>272</v>
      </c>
      <c r="C43" s="13" t="s">
        <v>74</v>
      </c>
      <c r="D43" s="14" t="s">
        <v>76</v>
      </c>
      <c r="E43" s="13" t="s">
        <v>680</v>
      </c>
      <c r="F43" s="14" t="s">
        <v>682</v>
      </c>
      <c r="G43" s="13" t="s">
        <v>82</v>
      </c>
      <c r="H43" s="14" t="s">
        <v>221</v>
      </c>
      <c r="I43" s="15">
        <v>18371</v>
      </c>
      <c r="J43" s="15">
        <v>0</v>
      </c>
      <c r="K43" s="15">
        <v>18371</v>
      </c>
      <c r="L43" s="15">
        <v>0</v>
      </c>
      <c r="M43" s="13" t="s">
        <v>1714</v>
      </c>
      <c r="N43" s="15">
        <v>0</v>
      </c>
      <c r="O43" s="15">
        <v>0</v>
      </c>
      <c r="P43" s="15">
        <v>18371</v>
      </c>
      <c r="Q43" s="15">
        <v>0</v>
      </c>
      <c r="R43" s="15">
        <v>0</v>
      </c>
      <c r="S43" s="13" t="s">
        <v>89</v>
      </c>
      <c r="T43" s="16">
        <v>0.0554440929469731</v>
      </c>
      <c r="U43" s="15">
        <v>0</v>
      </c>
      <c r="V43" s="15">
        <v>0</v>
      </c>
      <c r="W43" s="14" t="s">
        <v>683</v>
      </c>
    </row>
    <row r="44" spans="1:23" x14ac:dyDescent="0.25">
      <c r="A44" s="13">
        <v>37</v>
      </c>
      <c r="B44" s="13" t="s">
        <v>272</v>
      </c>
      <c r="C44" s="13" t="s">
        <v>74</v>
      </c>
      <c r="D44" s="14" t="s">
        <v>76</v>
      </c>
      <c r="E44" s="13" t="s">
        <v>1007</v>
      </c>
      <c r="F44" s="14" t="s">
        <v>1009</v>
      </c>
      <c r="G44" s="13" t="s">
        <v>82</v>
      </c>
      <c r="H44" s="14" t="s">
        <v>221</v>
      </c>
      <c r="I44" s="15">
        <v>17150</v>
      </c>
      <c r="J44" s="15">
        <v>35173</v>
      </c>
      <c r="K44" s="15">
        <v>601668</v>
      </c>
      <c r="L44" s="15">
        <v>584518</v>
      </c>
      <c r="M44" s="13" t="s">
        <v>1714</v>
      </c>
      <c r="N44" s="15">
        <v>0</v>
      </c>
      <c r="O44" s="15">
        <v>0</v>
      </c>
      <c r="P44" s="15">
        <v>601668</v>
      </c>
      <c r="Q44" s="15">
        <v>0</v>
      </c>
      <c r="R44" s="15">
        <v>0</v>
      </c>
      <c r="S44" s="13" t="s">
        <v>89</v>
      </c>
      <c r="T44" s="16">
        <v>0.01435465525442984</v>
      </c>
      <c r="U44" s="15">
        <v>50000</v>
      </c>
      <c r="V44" s="15">
        <v>348574</v>
      </c>
      <c r="W44" s="14" t="s">
        <v>1010</v>
      </c>
    </row>
    <row r="45" spans="1:23" x14ac:dyDescent="0.25">
      <c r="A45" s="13">
        <v>38</v>
      </c>
      <c r="B45" s="13" t="s">
        <v>272</v>
      </c>
      <c r="C45" s="13" t="s">
        <v>74</v>
      </c>
      <c r="D45" s="14" t="s">
        <v>76</v>
      </c>
      <c r="E45" s="13" t="s">
        <v>447</v>
      </c>
      <c r="F45" s="14" t="s">
        <v>449</v>
      </c>
      <c r="G45" s="13" t="s">
        <v>82</v>
      </c>
      <c r="H45" s="14" t="s">
        <v>102</v>
      </c>
      <c r="I45" s="15">
        <v>16359.75</v>
      </c>
      <c r="J45" s="15">
        <v>0</v>
      </c>
      <c r="K45" s="15">
        <v>919876</v>
      </c>
      <c r="L45" s="15">
        <v>345226.9</v>
      </c>
      <c r="M45" s="13" t="s">
        <v>1714</v>
      </c>
      <c r="N45" s="15">
        <v>0</v>
      </c>
      <c r="O45" s="15">
        <v>0</v>
      </c>
      <c r="P45" s="15">
        <v>919876</v>
      </c>
      <c r="Q45" s="15">
        <v>0</v>
      </c>
      <c r="R45" s="15">
        <v>0</v>
      </c>
      <c r="S45" s="13" t="s">
        <v>89</v>
      </c>
      <c r="T45" s="16">
        <v>0.04168538781561456</v>
      </c>
      <c r="U45" s="15">
        <v>903516</v>
      </c>
      <c r="V45" s="15">
        <v>919620</v>
      </c>
      <c r="W45" s="14" t="s">
        <v>450</v>
      </c>
    </row>
    <row r="46" spans="1:23" x14ac:dyDescent="0.25">
      <c r="A46" s="13">
        <v>39</v>
      </c>
      <c r="B46" s="13" t="s">
        <v>272</v>
      </c>
      <c r="C46" s="13" t="s">
        <v>74</v>
      </c>
      <c r="D46" s="14" t="s">
        <v>1356</v>
      </c>
      <c r="E46" s="13" t="s">
        <v>1362</v>
      </c>
      <c r="F46" s="14" t="s">
        <v>1364</v>
      </c>
      <c r="G46" s="13" t="s">
        <v>82</v>
      </c>
      <c r="H46" s="14" t="s">
        <v>1357</v>
      </c>
      <c r="I46" s="15">
        <v>16045.8</v>
      </c>
      <c r="J46" s="15">
        <v>0</v>
      </c>
      <c r="K46" s="15">
        <v>19658</v>
      </c>
      <c r="L46" s="15">
        <v>3612</v>
      </c>
      <c r="M46" s="13" t="s">
        <v>1714</v>
      </c>
      <c r="N46" s="15">
        <v>0</v>
      </c>
      <c r="O46" s="15">
        <v>0</v>
      </c>
      <c r="P46" s="15">
        <v>19658</v>
      </c>
      <c r="Q46" s="15">
        <v>0</v>
      </c>
      <c r="R46" s="15">
        <v>0</v>
      </c>
      <c r="S46" s="13" t="s">
        <v>89</v>
      </c>
      <c r="T46" s="16">
        <v>0.0295859794799437</v>
      </c>
      <c r="U46" s="15">
        <v>200000</v>
      </c>
      <c r="V46" s="15">
        <v>2915452</v>
      </c>
      <c r="W46" s="14" t="s">
        <v>1365</v>
      </c>
    </row>
    <row r="47" spans="1:23" x14ac:dyDescent="0.25">
      <c r="A47" s="13">
        <v>40</v>
      </c>
      <c r="B47" s="13" t="s">
        <v>272</v>
      </c>
      <c r="C47" s="13" t="s">
        <v>74</v>
      </c>
      <c r="D47" s="14" t="s">
        <v>76</v>
      </c>
      <c r="E47" s="13" t="s">
        <v>497</v>
      </c>
      <c r="F47" s="14" t="s">
        <v>499</v>
      </c>
      <c r="G47" s="13" t="s">
        <v>162</v>
      </c>
      <c r="H47" s="14" t="s">
        <v>319</v>
      </c>
      <c r="I47" s="15">
        <v>12826</v>
      </c>
      <c r="J47" s="15">
        <v>999127</v>
      </c>
      <c r="K47" s="15">
        <v>1075076</v>
      </c>
      <c r="L47" s="15">
        <v>1062250</v>
      </c>
      <c r="M47" s="13" t="s">
        <v>1714</v>
      </c>
      <c r="N47" s="15">
        <v>0</v>
      </c>
      <c r="O47" s="15">
        <v>0</v>
      </c>
      <c r="P47" s="15">
        <v>1075076</v>
      </c>
      <c r="Q47" s="15">
        <v>0</v>
      </c>
      <c r="R47" s="15">
        <v>0</v>
      </c>
      <c r="S47" s="13" t="s">
        <v>89</v>
      </c>
      <c r="T47" s="16">
        <v>0.03335106433276457</v>
      </c>
      <c r="U47" s="15">
        <v>1062638</v>
      </c>
      <c r="V47" s="15">
        <v>245874</v>
      </c>
      <c r="W47" s="14" t="s">
        <v>500</v>
      </c>
    </row>
    <row r="48" spans="1:23" x14ac:dyDescent="0.25">
      <c r="A48" s="13">
        <v>41</v>
      </c>
      <c r="B48" s="13" t="s">
        <v>96</v>
      </c>
      <c r="C48" s="13" t="s">
        <v>74</v>
      </c>
      <c r="D48" s="14" t="s">
        <v>76</v>
      </c>
      <c r="E48" s="13" t="s">
        <v>93</v>
      </c>
      <c r="F48" s="14" t="s">
        <v>95</v>
      </c>
      <c r="G48" s="13" t="s">
        <v>82</v>
      </c>
      <c r="H48" s="14" t="s">
        <v>78</v>
      </c>
      <c r="I48" s="15">
        <v>0.1000000014901161</v>
      </c>
      <c r="J48" s="15">
        <v>48063959.15</v>
      </c>
      <c r="K48" s="15">
        <v>53759397</v>
      </c>
      <c r="L48" s="15">
        <v>53759396.9</v>
      </c>
      <c r="M48" s="13" t="s">
        <v>1712</v>
      </c>
      <c r="N48" s="15">
        <v>53759397</v>
      </c>
      <c r="O48" s="15">
        <v>0</v>
      </c>
      <c r="P48" s="15">
        <v>0</v>
      </c>
      <c r="Q48" s="15">
        <v>0</v>
      </c>
      <c r="R48" s="15">
        <v>0</v>
      </c>
      <c r="S48" s="13" t="s">
        <v>89</v>
      </c>
      <c r="T48" s="16">
        <v>0.3803855253332878</v>
      </c>
      <c r="U48" s="15">
        <v>0</v>
      </c>
      <c r="V48" s="15">
        <v>0</v>
      </c>
      <c r="W48" s="14" t="s">
        <v>97</v>
      </c>
    </row>
    <row r="49" spans="1:23" x14ac:dyDescent="0.25">
      <c r="A49" s="13">
        <v>42</v>
      </c>
      <c r="B49" s="13" t="s">
        <v>96</v>
      </c>
      <c r="C49" s="13" t="s">
        <v>74</v>
      </c>
      <c r="D49" s="14" t="s">
        <v>76</v>
      </c>
      <c r="E49" s="13" t="s">
        <v>372</v>
      </c>
      <c r="F49" s="14" t="s">
        <v>374</v>
      </c>
      <c r="G49" s="13" t="s">
        <v>82</v>
      </c>
      <c r="H49" s="14" t="s">
        <v>78</v>
      </c>
      <c r="I49" s="15">
        <v>190</v>
      </c>
      <c r="J49" s="15">
        <v>6993828</v>
      </c>
      <c r="K49" s="15">
        <v>7374992</v>
      </c>
      <c r="L49" s="15">
        <v>7374802</v>
      </c>
      <c r="M49" s="13" t="s">
        <v>1713</v>
      </c>
      <c r="N49" s="15">
        <v>0</v>
      </c>
      <c r="O49" s="15">
        <v>6994018</v>
      </c>
      <c r="P49" s="15">
        <v>380974</v>
      </c>
      <c r="Q49" s="15">
        <v>0</v>
      </c>
      <c r="R49" s="15">
        <v>0</v>
      </c>
      <c r="S49" s="13" t="s">
        <v>89</v>
      </c>
      <c r="T49" s="16">
        <v>0.04784283650072189</v>
      </c>
      <c r="U49" s="15">
        <v>8000000</v>
      </c>
      <c r="V49" s="15">
        <v>8258658</v>
      </c>
      <c r="W49" s="14" t="s">
        <v>375</v>
      </c>
    </row>
    <row r="50" spans="1:23" x14ac:dyDescent="0.25">
      <c r="A50" s="13">
        <v>43</v>
      </c>
      <c r="B50" s="13" t="s">
        <v>96</v>
      </c>
      <c r="C50" s="13" t="s">
        <v>74</v>
      </c>
      <c r="D50" s="14" t="s">
        <v>76</v>
      </c>
      <c r="E50" s="13" t="s">
        <v>502</v>
      </c>
      <c r="F50" s="14" t="s">
        <v>504</v>
      </c>
      <c r="G50" s="13" t="s">
        <v>162</v>
      </c>
      <c r="H50" s="14" t="s">
        <v>319</v>
      </c>
      <c r="I50" s="15">
        <v>99</v>
      </c>
      <c r="J50" s="15">
        <v>4438806</v>
      </c>
      <c r="K50" s="15">
        <v>4474004</v>
      </c>
      <c r="L50" s="15">
        <v>4473905</v>
      </c>
      <c r="M50" s="13" t="s">
        <v>1714</v>
      </c>
      <c r="N50" s="15">
        <v>0</v>
      </c>
      <c r="O50" s="15">
        <v>0</v>
      </c>
      <c r="P50" s="15">
        <v>4474004</v>
      </c>
      <c r="Q50" s="15">
        <v>0</v>
      </c>
      <c r="R50" s="15">
        <v>0</v>
      </c>
      <c r="S50" s="13" t="s">
        <v>89</v>
      </c>
      <c r="T50" s="16">
        <v>0.01487827263313157</v>
      </c>
      <c r="U50" s="15">
        <v>1556258</v>
      </c>
      <c r="V50" s="15">
        <v>2054256</v>
      </c>
      <c r="W50" s="14" t="s">
        <v>505</v>
      </c>
    </row>
    <row r="51" spans="1:23" x14ac:dyDescent="0.25">
      <c r="A51" s="13">
        <v>44</v>
      </c>
      <c r="B51" s="13" t="s">
        <v>96</v>
      </c>
      <c r="C51" s="13" t="s">
        <v>74</v>
      </c>
      <c r="D51" s="14" t="s">
        <v>76</v>
      </c>
      <c r="E51" s="13" t="s">
        <v>531</v>
      </c>
      <c r="F51" s="14" t="s">
        <v>533</v>
      </c>
      <c r="G51" s="13" t="s">
        <v>82</v>
      </c>
      <c r="H51" s="14" t="s">
        <v>102</v>
      </c>
      <c r="I51" s="15">
        <v>5679.969999999972</v>
      </c>
      <c r="J51" s="15">
        <v>1335804.03</v>
      </c>
      <c r="K51" s="15">
        <v>1479604</v>
      </c>
      <c r="L51" s="15">
        <v>1473924.03</v>
      </c>
      <c r="M51" s="13" t="s">
        <v>1714</v>
      </c>
      <c r="N51" s="15">
        <v>0</v>
      </c>
      <c r="O51" s="15">
        <v>0</v>
      </c>
      <c r="P51" s="15">
        <v>1479604</v>
      </c>
      <c r="Q51" s="15">
        <v>0</v>
      </c>
      <c r="R51" s="15">
        <v>0</v>
      </c>
      <c r="S51" s="13" t="s">
        <v>89</v>
      </c>
      <c r="T51" s="16">
        <v>0.03506289398068379</v>
      </c>
      <c r="U51" s="15">
        <v>3000000</v>
      </c>
      <c r="V51" s="15">
        <v>6984785</v>
      </c>
      <c r="W51" s="14" t="s">
        <v>534</v>
      </c>
    </row>
    <row r="52" spans="1:23" x14ac:dyDescent="0.25">
      <c r="A52" s="13">
        <v>45</v>
      </c>
      <c r="B52" s="13" t="s">
        <v>96</v>
      </c>
      <c r="C52" s="13" t="s">
        <v>74</v>
      </c>
      <c r="D52" s="14" t="s">
        <v>76</v>
      </c>
      <c r="E52" s="13" t="s">
        <v>535</v>
      </c>
      <c r="F52" s="14" t="s">
        <v>537</v>
      </c>
      <c r="G52" s="13" t="s">
        <v>82</v>
      </c>
      <c r="H52" s="14" t="s">
        <v>102</v>
      </c>
      <c r="I52" s="15">
        <v>0</v>
      </c>
      <c r="J52" s="15">
        <v>970838</v>
      </c>
      <c r="K52" s="15">
        <v>1038097</v>
      </c>
      <c r="L52" s="15">
        <v>1038097</v>
      </c>
      <c r="M52" s="13" t="s">
        <v>1714</v>
      </c>
      <c r="N52" s="15">
        <v>0</v>
      </c>
      <c r="O52" s="15">
        <v>0</v>
      </c>
      <c r="P52" s="15">
        <v>1038097</v>
      </c>
      <c r="Q52" s="15">
        <v>0</v>
      </c>
      <c r="R52" s="15">
        <v>0</v>
      </c>
      <c r="S52" s="13" t="s">
        <v>89</v>
      </c>
      <c r="T52" s="16">
        <v>0.01629321199198215</v>
      </c>
      <c r="U52" s="15">
        <v>0</v>
      </c>
      <c r="V52" s="15">
        <v>0</v>
      </c>
      <c r="W52" s="14" t="s">
        <v>538</v>
      </c>
    </row>
    <row r="53" spans="1:23" x14ac:dyDescent="0.25">
      <c r="A53" s="13">
        <v>46</v>
      </c>
      <c r="B53" s="13" t="s">
        <v>96</v>
      </c>
      <c r="C53" s="13" t="s">
        <v>74</v>
      </c>
      <c r="D53" s="14" t="s">
        <v>76</v>
      </c>
      <c r="E53" s="13" t="s">
        <v>757</v>
      </c>
      <c r="F53" s="14" t="s">
        <v>759</v>
      </c>
      <c r="G53" s="13" t="s">
        <v>82</v>
      </c>
      <c r="H53" s="14" t="s">
        <v>78</v>
      </c>
      <c r="I53" s="15">
        <v>0</v>
      </c>
      <c r="J53" s="15">
        <v>606460</v>
      </c>
      <c r="K53" s="15">
        <v>656461</v>
      </c>
      <c r="L53" s="15">
        <v>656461</v>
      </c>
      <c r="M53" s="13" t="s">
        <v>1714</v>
      </c>
      <c r="N53" s="15">
        <v>0</v>
      </c>
      <c r="O53" s="15">
        <v>0</v>
      </c>
      <c r="P53" s="15">
        <v>656461</v>
      </c>
      <c r="Q53" s="15">
        <v>0</v>
      </c>
      <c r="R53" s="15">
        <v>0</v>
      </c>
      <c r="S53" s="13" t="s">
        <v>89</v>
      </c>
      <c r="T53" s="16">
        <v>0</v>
      </c>
      <c r="U53" s="15">
        <v>50000</v>
      </c>
      <c r="V53" s="15">
        <v>7005844</v>
      </c>
      <c r="W53" s="14" t="s">
        <v>760</v>
      </c>
    </row>
    <row r="54" spans="1:23" x14ac:dyDescent="0.25">
      <c r="A54" s="13">
        <v>47</v>
      </c>
      <c r="B54" s="13" t="s">
        <v>96</v>
      </c>
      <c r="C54" s="13" t="s">
        <v>74</v>
      </c>
      <c r="D54" s="14" t="s">
        <v>76</v>
      </c>
      <c r="E54" s="13" t="s">
        <v>761</v>
      </c>
      <c r="F54" s="14" t="s">
        <v>763</v>
      </c>
      <c r="G54" s="13" t="s">
        <v>82</v>
      </c>
      <c r="H54" s="14" t="s">
        <v>78</v>
      </c>
      <c r="I54" s="15">
        <v>0.4699999999720603</v>
      </c>
      <c r="J54" s="15">
        <v>606459.53</v>
      </c>
      <c r="K54" s="15">
        <v>606461</v>
      </c>
      <c r="L54" s="15">
        <v>606460.53</v>
      </c>
      <c r="M54" s="13" t="s">
        <v>1714</v>
      </c>
      <c r="N54" s="15">
        <v>0</v>
      </c>
      <c r="O54" s="15">
        <v>0</v>
      </c>
      <c r="P54" s="15">
        <v>606461</v>
      </c>
      <c r="Q54" s="15">
        <v>0</v>
      </c>
      <c r="R54" s="15">
        <v>0</v>
      </c>
      <c r="S54" s="13" t="s">
        <v>89</v>
      </c>
      <c r="T54" s="16">
        <v>0</v>
      </c>
      <c r="U54" s="15">
        <v>706461</v>
      </c>
      <c r="V54" s="15">
        <v>7021584</v>
      </c>
      <c r="W54" s="14" t="s">
        <v>760</v>
      </c>
    </row>
    <row r="55" spans="1:23" x14ac:dyDescent="0.25">
      <c r="A55" s="13">
        <v>48</v>
      </c>
      <c r="B55" s="13" t="s">
        <v>96</v>
      </c>
      <c r="C55" s="13" t="s">
        <v>74</v>
      </c>
      <c r="D55" s="14" t="s">
        <v>76</v>
      </c>
      <c r="E55" s="13" t="s">
        <v>711</v>
      </c>
      <c r="F55" s="14" t="s">
        <v>713</v>
      </c>
      <c r="G55" s="13" t="s">
        <v>162</v>
      </c>
      <c r="H55" s="14" t="s">
        <v>319</v>
      </c>
      <c r="I55" s="15">
        <v>0</v>
      </c>
      <c r="J55" s="15">
        <v>40369</v>
      </c>
      <c r="K55" s="15">
        <v>100021</v>
      </c>
      <c r="L55" s="15">
        <v>100021</v>
      </c>
      <c r="M55" s="13" t="s">
        <v>1714</v>
      </c>
      <c r="N55" s="15">
        <v>0</v>
      </c>
      <c r="O55" s="15">
        <v>0</v>
      </c>
      <c r="P55" s="15">
        <v>100021</v>
      </c>
      <c r="Q55" s="15">
        <v>0</v>
      </c>
      <c r="R55" s="15">
        <v>0</v>
      </c>
      <c r="S55" s="13" t="s">
        <v>89</v>
      </c>
      <c r="T55" s="16">
        <v>0.01362904503284977</v>
      </c>
      <c r="U55" s="15">
        <v>50000</v>
      </c>
      <c r="V55" s="15">
        <v>0</v>
      </c>
      <c r="W55" s="14" t="s">
        <v>714</v>
      </c>
    </row>
  </sheetData>
  <autoFilter ref="A7:W55"/>
  <conditionalFormatting sqref="B8:B55">
    <cfRule type="cellIs" dxfId="0" priority="2" operator="equal">
      <formula>"Disponible"</formula>
    </cfRule>
    <cfRule type="cellIs" dxfId="1" priority="3" operator="equal">
      <formula>"Con condiciones"</formula>
    </cfRule>
    <cfRule type="cellIs" dxfId="2" priority="4" operator="equal">
      <formula>"Rebajando certificación"</formula>
    </cfRule>
    <cfRule type="cellIs" dxfId="3" priority="5" operator="equal">
      <formula>"Restringido"</formula>
    </cfRule>
    <cfRule type="cellIs" dxfId="4" priority="6" operator="equal">
      <formula>"No mover"</formula>
    </cfRule>
    <cfRule type="cellIs" dxfId="5" priority="7" operator="equal">
      <formula>"Sin saldo útil"</formula>
    </cfRule>
    <cfRule type="cellIs" dxfId="6" priority="8" operator="equal">
      <formula>"Bolsa genérica"</formula>
    </cfRule>
  </conditionalFormatting>
  <conditionalFormatting sqref="I8:I55">
    <cfRule type="dataBar" priority="1">
      <dataBar>
        <cfvo type="min"/>
        <cfvo type="max"/>
        <color rgb="FF63BE7B"/>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63BE7B"/>
              <x14:negativeFillColor rgb="FFFF0000"/>
              <x14:negativeBorderColor rgb="FFFF0000"/>
              <x14:axisColor rgb="FF000000"/>
            </x14:dataBar>
          </x14:cfRule>
          <xm:sqref>I8:I55</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M24"/>
  <sheetViews>
    <sheetView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5.7109375" customWidth="1"/>
    <col min="2" max="2" width="30.7109375" customWidth="1"/>
    <col min="3" max="3" width="6.7109375" customWidth="1"/>
    <col min="4" max="4" width="10.7109375" customWidth="1"/>
    <col min="5" max="5" width="7.7109375" customWidth="1"/>
    <col min="6" max="6" width="62.7109375" customWidth="1"/>
    <col min="7" max="8" width="18.7109375" customWidth="1"/>
    <col min="9" max="10" width="15.7109375" customWidth="1"/>
    <col min="11" max="11" width="14.7109375" customWidth="1"/>
    <col min="12" max="13" width="15.7109375" customWidth="1"/>
  </cols>
  <sheetData>
    <row r="1" spans="1:13">
      <c r="A1" s="1" t="s">
        <v>2257</v>
      </c>
    </row>
    <row r="2" spans="1:13">
      <c r="A2" s="2" t="s">
        <v>2258</v>
      </c>
    </row>
    <row r="3" spans="1:13">
      <c r="A3" s="5" t="s">
        <v>2259</v>
      </c>
    </row>
    <row r="4" spans="1:13" ht="30" customHeight="1">
      <c r="A4" s="6" t="s">
        <v>1710</v>
      </c>
      <c r="B4" s="6" t="s">
        <v>2260</v>
      </c>
      <c r="C4" s="6" t="s">
        <v>34</v>
      </c>
      <c r="D4" s="6" t="s">
        <v>39</v>
      </c>
      <c r="E4" s="6" t="s">
        <v>40</v>
      </c>
      <c r="F4" s="6" t="s">
        <v>41</v>
      </c>
      <c r="G4" s="6" t="s">
        <v>2261</v>
      </c>
      <c r="H4" s="6" t="s">
        <v>2262</v>
      </c>
      <c r="I4" s="6" t="s">
        <v>2263</v>
      </c>
      <c r="J4" s="6" t="s">
        <v>2264</v>
      </c>
      <c r="K4" s="6" t="s">
        <v>2265</v>
      </c>
      <c r="L4" s="6" t="s">
        <v>2266</v>
      </c>
      <c r="M4" s="6" t="s">
        <v>2267</v>
      </c>
    </row>
    <row r="5" spans="1:13">
      <c r="A5" s="17">
        <v>1</v>
      </c>
      <c r="B5" s="12" t="s">
        <v>2268</v>
      </c>
      <c r="C5" s="17" t="s">
        <v>74</v>
      </c>
      <c r="D5" s="17" t="s">
        <v>936</v>
      </c>
      <c r="E5" s="17" t="s">
        <v>937</v>
      </c>
      <c r="F5" s="12" t="s">
        <v>938</v>
      </c>
      <c r="G5" s="17" t="s">
        <v>272</v>
      </c>
      <c r="H5" s="17" t="s">
        <v>83</v>
      </c>
      <c r="I5" s="18">
        <v>2394005</v>
      </c>
      <c r="J5" s="18">
        <v>0</v>
      </c>
      <c r="K5" s="18">
        <v>-2394005</v>
      </c>
      <c r="L5" s="18">
        <v>2394005</v>
      </c>
      <c r="M5" s="18">
        <v>2394005</v>
      </c>
    </row>
    <row r="6" spans="1:13">
      <c r="A6" s="17">
        <v>2</v>
      </c>
      <c r="B6" s="12" t="s">
        <v>2268</v>
      </c>
      <c r="C6" s="17" t="s">
        <v>74</v>
      </c>
      <c r="D6" s="17" t="s">
        <v>554</v>
      </c>
      <c r="E6" s="17" t="s">
        <v>555</v>
      </c>
      <c r="F6" s="12" t="s">
        <v>556</v>
      </c>
      <c r="G6" s="17" t="s">
        <v>272</v>
      </c>
      <c r="H6" s="17" t="s">
        <v>83</v>
      </c>
      <c r="I6" s="18">
        <v>2318512.27</v>
      </c>
      <c r="J6" s="18">
        <v>0</v>
      </c>
      <c r="K6" s="18">
        <v>-2318512.27</v>
      </c>
      <c r="L6" s="18">
        <v>41519761</v>
      </c>
      <c r="M6" s="18">
        <v>41519761</v>
      </c>
    </row>
    <row r="7" spans="1:13">
      <c r="A7" s="17">
        <v>3</v>
      </c>
      <c r="B7" s="12" t="s">
        <v>2268</v>
      </c>
      <c r="C7" s="17" t="s">
        <v>74</v>
      </c>
      <c r="D7" s="17" t="s">
        <v>515</v>
      </c>
      <c r="E7" s="17" t="s">
        <v>516</v>
      </c>
      <c r="F7" s="12" t="s">
        <v>517</v>
      </c>
      <c r="G7" s="17" t="s">
        <v>272</v>
      </c>
      <c r="H7" s="17" t="s">
        <v>83</v>
      </c>
      <c r="I7" s="18">
        <v>832498.14</v>
      </c>
      <c r="J7" s="18">
        <v>0</v>
      </c>
      <c r="K7" s="18">
        <v>-832498.14</v>
      </c>
      <c r="L7" s="18">
        <v>4437995</v>
      </c>
      <c r="M7" s="18">
        <v>4437995</v>
      </c>
    </row>
    <row r="8" spans="1:13">
      <c r="A8" s="17">
        <v>4</v>
      </c>
      <c r="B8" s="12" t="s">
        <v>2268</v>
      </c>
      <c r="C8" s="17" t="s">
        <v>74</v>
      </c>
      <c r="D8" s="17" t="s">
        <v>479</v>
      </c>
      <c r="E8" s="17" t="s">
        <v>480</v>
      </c>
      <c r="F8" s="12" t="s">
        <v>481</v>
      </c>
      <c r="G8" s="17" t="s">
        <v>272</v>
      </c>
      <c r="H8" s="17" t="s">
        <v>83</v>
      </c>
      <c r="I8" s="18">
        <v>789311.02</v>
      </c>
      <c r="J8" s="18">
        <v>0</v>
      </c>
      <c r="K8" s="18">
        <v>-789311.02</v>
      </c>
      <c r="L8" s="18">
        <v>1827737</v>
      </c>
      <c r="M8" s="18">
        <v>1827737</v>
      </c>
    </row>
    <row r="9" spans="1:13">
      <c r="A9" s="17">
        <v>5</v>
      </c>
      <c r="B9" s="12" t="s">
        <v>2268</v>
      </c>
      <c r="C9" s="17" t="s">
        <v>74</v>
      </c>
      <c r="D9" s="17" t="s">
        <v>483</v>
      </c>
      <c r="E9" s="17" t="s">
        <v>484</v>
      </c>
      <c r="F9" s="12" t="s">
        <v>485</v>
      </c>
      <c r="G9" s="17" t="s">
        <v>272</v>
      </c>
      <c r="H9" s="17" t="s">
        <v>83</v>
      </c>
      <c r="I9" s="18">
        <v>693680.47</v>
      </c>
      <c r="J9" s="18">
        <v>0</v>
      </c>
      <c r="K9" s="18">
        <v>-693680.47</v>
      </c>
      <c r="L9" s="18">
        <v>4106961</v>
      </c>
      <c r="M9" s="18">
        <v>4106961</v>
      </c>
    </row>
    <row r="10" spans="1:13">
      <c r="A10" s="17">
        <v>6</v>
      </c>
      <c r="B10" s="12" t="s">
        <v>2268</v>
      </c>
      <c r="C10" s="17" t="s">
        <v>74</v>
      </c>
      <c r="D10" s="17" t="s">
        <v>472</v>
      </c>
      <c r="E10" s="17" t="s">
        <v>473</v>
      </c>
      <c r="F10" s="12" t="s">
        <v>474</v>
      </c>
      <c r="G10" s="17" t="s">
        <v>272</v>
      </c>
      <c r="H10" s="17" t="s">
        <v>83</v>
      </c>
      <c r="I10" s="18">
        <v>653343.71</v>
      </c>
      <c r="J10" s="18">
        <v>0</v>
      </c>
      <c r="K10" s="18">
        <v>-653343.71</v>
      </c>
      <c r="L10" s="18">
        <v>6770858</v>
      </c>
      <c r="M10" s="18">
        <v>6770858</v>
      </c>
    </row>
    <row r="11" spans="1:13">
      <c r="A11" s="17">
        <v>7</v>
      </c>
      <c r="B11" s="12" t="s">
        <v>2268</v>
      </c>
      <c r="C11" s="17" t="s">
        <v>74</v>
      </c>
      <c r="D11" s="17" t="s">
        <v>716</v>
      </c>
      <c r="E11" s="17" t="s">
        <v>717</v>
      </c>
      <c r="F11" s="12" t="s">
        <v>718</v>
      </c>
      <c r="G11" s="17" t="s">
        <v>272</v>
      </c>
      <c r="H11" s="17" t="s">
        <v>83</v>
      </c>
      <c r="I11" s="18">
        <v>500000</v>
      </c>
      <c r="J11" s="18">
        <v>0</v>
      </c>
      <c r="K11" s="18">
        <v>-500000</v>
      </c>
      <c r="L11" s="18">
        <v>500000</v>
      </c>
      <c r="M11" s="18">
        <v>500000</v>
      </c>
    </row>
    <row r="12" spans="1:13">
      <c r="A12" s="17">
        <v>8</v>
      </c>
      <c r="B12" s="12" t="s">
        <v>2268</v>
      </c>
      <c r="C12" s="17" t="s">
        <v>74</v>
      </c>
      <c r="D12" s="17" t="s">
        <v>424</v>
      </c>
      <c r="E12" s="17" t="s">
        <v>425</v>
      </c>
      <c r="F12" s="12" t="s">
        <v>426</v>
      </c>
      <c r="G12" s="17" t="s">
        <v>272</v>
      </c>
      <c r="H12" s="17" t="s">
        <v>83</v>
      </c>
      <c r="I12" s="18">
        <v>498679.49</v>
      </c>
      <c r="J12" s="18">
        <v>0</v>
      </c>
      <c r="K12" s="18">
        <v>-498679.49</v>
      </c>
      <c r="L12" s="18">
        <v>5799805</v>
      </c>
      <c r="M12" s="18">
        <v>5799805</v>
      </c>
    </row>
    <row r="13" spans="1:13">
      <c r="A13" s="17">
        <v>9</v>
      </c>
      <c r="B13" s="12" t="s">
        <v>2268</v>
      </c>
      <c r="C13" s="17" t="s">
        <v>74</v>
      </c>
      <c r="D13" s="17" t="s">
        <v>518</v>
      </c>
      <c r="E13" s="17" t="s">
        <v>519</v>
      </c>
      <c r="F13" s="12" t="s">
        <v>520</v>
      </c>
      <c r="G13" s="17" t="s">
        <v>272</v>
      </c>
      <c r="H13" s="17" t="s">
        <v>83</v>
      </c>
      <c r="I13" s="18">
        <v>418706.06</v>
      </c>
      <c r="J13" s="18">
        <v>0</v>
      </c>
      <c r="K13" s="18">
        <v>-418706.06</v>
      </c>
      <c r="L13" s="18">
        <v>4265759</v>
      </c>
      <c r="M13" s="18">
        <v>4265759</v>
      </c>
    </row>
    <row r="14" spans="1:13">
      <c r="A14" s="17">
        <v>10</v>
      </c>
      <c r="B14" s="12" t="s">
        <v>2268</v>
      </c>
      <c r="C14" s="17" t="s">
        <v>74</v>
      </c>
      <c r="D14" s="17" t="s">
        <v>1593</v>
      </c>
      <c r="E14" s="17" t="s">
        <v>1594</v>
      </c>
      <c r="F14" s="12" t="s">
        <v>1595</v>
      </c>
      <c r="G14" s="17" t="s">
        <v>272</v>
      </c>
      <c r="H14" s="17" t="s">
        <v>83</v>
      </c>
      <c r="I14" s="18">
        <v>218556</v>
      </c>
      <c r="J14" s="18">
        <v>0</v>
      </c>
      <c r="K14" s="18">
        <v>-218556</v>
      </c>
      <c r="L14" s="18">
        <v>218556</v>
      </c>
      <c r="M14" s="18">
        <v>218556</v>
      </c>
    </row>
    <row r="15" spans="1:13">
      <c r="A15" s="17">
        <v>11</v>
      </c>
      <c r="B15" s="12" t="s">
        <v>2268</v>
      </c>
      <c r="C15" s="17" t="s">
        <v>74</v>
      </c>
      <c r="D15" s="17" t="s">
        <v>487</v>
      </c>
      <c r="E15" s="17" t="s">
        <v>488</v>
      </c>
      <c r="F15" s="12" t="s">
        <v>489</v>
      </c>
      <c r="G15" s="17" t="s">
        <v>272</v>
      </c>
      <c r="H15" s="17" t="s">
        <v>83</v>
      </c>
      <c r="I15" s="18">
        <v>169873.63</v>
      </c>
      <c r="J15" s="18">
        <v>0</v>
      </c>
      <c r="K15" s="18">
        <v>-169873.63</v>
      </c>
      <c r="L15" s="18">
        <v>7751873</v>
      </c>
      <c r="M15" s="18">
        <v>7751873</v>
      </c>
    </row>
    <row r="16" spans="1:13">
      <c r="A16" s="17">
        <v>12</v>
      </c>
      <c r="B16" s="12" t="s">
        <v>2268</v>
      </c>
      <c r="C16" s="17" t="s">
        <v>74</v>
      </c>
      <c r="D16" s="17" t="s">
        <v>434</v>
      </c>
      <c r="E16" s="17" t="s">
        <v>435</v>
      </c>
      <c r="F16" s="12" t="s">
        <v>436</v>
      </c>
      <c r="G16" s="17" t="s">
        <v>272</v>
      </c>
      <c r="H16" s="17" t="s">
        <v>83</v>
      </c>
      <c r="I16" s="18">
        <v>131818.37</v>
      </c>
      <c r="J16" s="18">
        <v>0</v>
      </c>
      <c r="K16" s="18">
        <v>-131818.37</v>
      </c>
      <c r="L16" s="18">
        <v>3853164</v>
      </c>
      <c r="M16" s="18">
        <v>3853164</v>
      </c>
    </row>
    <row r="17" spans="1:13">
      <c r="A17" s="17">
        <v>13</v>
      </c>
      <c r="B17" s="12" t="s">
        <v>2268</v>
      </c>
      <c r="C17" s="17" t="s">
        <v>74</v>
      </c>
      <c r="D17" s="17" t="s">
        <v>416</v>
      </c>
      <c r="E17" s="17" t="s">
        <v>417</v>
      </c>
      <c r="F17" s="12" t="s">
        <v>418</v>
      </c>
      <c r="G17" s="17" t="s">
        <v>272</v>
      </c>
      <c r="H17" s="17" t="s">
        <v>83</v>
      </c>
      <c r="I17" s="18">
        <v>95070.21000000001</v>
      </c>
      <c r="J17" s="18">
        <v>0</v>
      </c>
      <c r="K17" s="18">
        <v>-95070.21000000001</v>
      </c>
      <c r="L17" s="18">
        <v>6765264</v>
      </c>
      <c r="M17" s="18">
        <v>6765264</v>
      </c>
    </row>
    <row r="18" spans="1:13">
      <c r="A18" s="17">
        <v>14</v>
      </c>
      <c r="B18" s="12" t="s">
        <v>2268</v>
      </c>
      <c r="C18" s="17" t="s">
        <v>74</v>
      </c>
      <c r="D18" s="17" t="s">
        <v>159</v>
      </c>
      <c r="E18" s="17" t="s">
        <v>160</v>
      </c>
      <c r="F18" s="12" t="s">
        <v>161</v>
      </c>
      <c r="G18" s="17" t="s">
        <v>272</v>
      </c>
      <c r="H18" s="17" t="s">
        <v>83</v>
      </c>
      <c r="I18" s="18">
        <v>69951.12</v>
      </c>
      <c r="J18" s="18">
        <v>0</v>
      </c>
      <c r="K18" s="18">
        <v>-69951.12</v>
      </c>
      <c r="L18" s="18">
        <v>677644</v>
      </c>
      <c r="M18" s="18">
        <v>677644</v>
      </c>
    </row>
    <row r="19" spans="1:13">
      <c r="A19" s="17">
        <v>15</v>
      </c>
      <c r="B19" s="12" t="s">
        <v>2268</v>
      </c>
      <c r="C19" s="17" t="s">
        <v>74</v>
      </c>
      <c r="D19" s="17" t="s">
        <v>666</v>
      </c>
      <c r="E19" s="17" t="s">
        <v>667</v>
      </c>
      <c r="F19" s="12" t="s">
        <v>668</v>
      </c>
      <c r="G19" s="17" t="s">
        <v>272</v>
      </c>
      <c r="H19" s="17" t="s">
        <v>83</v>
      </c>
      <c r="I19" s="18">
        <v>48619</v>
      </c>
      <c r="J19" s="18">
        <v>0</v>
      </c>
      <c r="K19" s="18">
        <v>-48619</v>
      </c>
      <c r="L19" s="18">
        <v>412686</v>
      </c>
      <c r="M19" s="18">
        <v>412686</v>
      </c>
    </row>
    <row r="20" spans="1:13">
      <c r="A20" s="17">
        <v>16</v>
      </c>
      <c r="B20" s="12" t="s">
        <v>2268</v>
      </c>
      <c r="C20" s="17" t="s">
        <v>74</v>
      </c>
      <c r="D20" s="17" t="s">
        <v>685</v>
      </c>
      <c r="E20" s="17" t="s">
        <v>686</v>
      </c>
      <c r="F20" s="12" t="s">
        <v>687</v>
      </c>
      <c r="G20" s="17" t="s">
        <v>272</v>
      </c>
      <c r="H20" s="17" t="s">
        <v>83</v>
      </c>
      <c r="I20" s="18">
        <v>45183</v>
      </c>
      <c r="J20" s="18">
        <v>0</v>
      </c>
      <c r="K20" s="18">
        <v>-45183</v>
      </c>
      <c r="L20" s="18">
        <v>225183</v>
      </c>
      <c r="M20" s="18">
        <v>225183</v>
      </c>
    </row>
    <row r="21" spans="1:13">
      <c r="A21" s="17">
        <v>17</v>
      </c>
      <c r="B21" s="12" t="s">
        <v>2268</v>
      </c>
      <c r="C21" s="17" t="s">
        <v>74</v>
      </c>
      <c r="D21" s="17" t="s">
        <v>506</v>
      </c>
      <c r="E21" s="17" t="s">
        <v>507</v>
      </c>
      <c r="F21" s="12" t="s">
        <v>508</v>
      </c>
      <c r="G21" s="17" t="s">
        <v>272</v>
      </c>
      <c r="H21" s="17" t="s">
        <v>83</v>
      </c>
      <c r="I21" s="18">
        <v>44610.36</v>
      </c>
      <c r="J21" s="18">
        <v>0</v>
      </c>
      <c r="K21" s="18">
        <v>-44610.36</v>
      </c>
      <c r="L21" s="18">
        <v>900000</v>
      </c>
      <c r="M21" s="18">
        <v>900000</v>
      </c>
    </row>
    <row r="22" spans="1:13">
      <c r="A22" s="17">
        <v>18</v>
      </c>
      <c r="B22" s="12" t="s">
        <v>2268</v>
      </c>
      <c r="C22" s="17" t="s">
        <v>74</v>
      </c>
      <c r="D22" s="17" t="s">
        <v>165</v>
      </c>
      <c r="E22" s="17" t="s">
        <v>166</v>
      </c>
      <c r="F22" s="12" t="s">
        <v>167</v>
      </c>
      <c r="G22" s="17" t="s">
        <v>272</v>
      </c>
      <c r="H22" s="17" t="s">
        <v>83</v>
      </c>
      <c r="I22" s="18">
        <v>27775</v>
      </c>
      <c r="J22" s="18">
        <v>0</v>
      </c>
      <c r="K22" s="18">
        <v>-27775</v>
      </c>
      <c r="L22" s="18">
        <v>492669</v>
      </c>
      <c r="M22" s="18">
        <v>492669</v>
      </c>
    </row>
    <row r="23" spans="1:13">
      <c r="A23" s="17">
        <v>19</v>
      </c>
      <c r="B23" s="12" t="s">
        <v>2269</v>
      </c>
      <c r="C23" s="17" t="s">
        <v>74</v>
      </c>
      <c r="D23" s="17" t="s">
        <v>269</v>
      </c>
      <c r="E23" s="17" t="s">
        <v>270</v>
      </c>
      <c r="F23" s="12" t="s">
        <v>271</v>
      </c>
      <c r="G23" s="17" t="s">
        <v>2270</v>
      </c>
      <c r="H23" s="17" t="s">
        <v>272</v>
      </c>
      <c r="I23" s="18">
        <v>276235.8</v>
      </c>
      <c r="J23" s="18">
        <v>276235.8000000007</v>
      </c>
      <c r="K23" s="18">
        <v>7.566995918750763E-10</v>
      </c>
      <c r="L23" s="18">
        <v>22224878</v>
      </c>
      <c r="M23" s="18">
        <v>22224878</v>
      </c>
    </row>
    <row r="24" spans="1:13">
      <c r="A24" s="17">
        <v>20</v>
      </c>
      <c r="B24" s="12" t="s">
        <v>2269</v>
      </c>
      <c r="C24" s="17" t="s">
        <v>74</v>
      </c>
      <c r="D24" s="17" t="s">
        <v>557</v>
      </c>
      <c r="E24" s="17" t="s">
        <v>558</v>
      </c>
      <c r="F24" s="12" t="s">
        <v>559</v>
      </c>
      <c r="G24" s="17" t="s">
        <v>2270</v>
      </c>
      <c r="H24" s="17" t="s">
        <v>272</v>
      </c>
      <c r="I24" s="18">
        <v>219373.94</v>
      </c>
      <c r="J24" s="18">
        <v>219373.9399999999</v>
      </c>
      <c r="K24" s="18">
        <v>-5.820766091346741E-11</v>
      </c>
      <c r="L24" s="18">
        <v>966193</v>
      </c>
      <c r="M24" s="18">
        <v>966193</v>
      </c>
    </row>
  </sheetData>
  <autoFilter ref="A4:M24"/>
  <conditionalFormatting sqref="G5:H2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conditionalFormatting sqref="K5:K24">
    <cfRule type="colorScale" priority="8">
      <colorScale>
        <cfvo type="min" val="0"/>
        <cfvo type="num" val="0"/>
        <cfvo type="max" val="0"/>
        <color rgb="FFF8696B"/>
        <color rgb="FFFFFF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32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19" t="s">
        <v>1719</v>
      </c>
    </row>
    <row r="2" spans="1:20">
      <c r="B2" s="5" t="s">
        <v>1720</v>
      </c>
    </row>
    <row r="4" spans="1:20" ht="44" customHeight="1">
      <c r="A4" s="6" t="s">
        <v>1710</v>
      </c>
      <c r="B4" s="6" t="s">
        <v>1721</v>
      </c>
      <c r="C4" s="6" t="s">
        <v>1722</v>
      </c>
      <c r="D4" s="6" t="s">
        <v>1723</v>
      </c>
      <c r="E4" s="6" t="s">
        <v>1724</v>
      </c>
      <c r="F4" s="6" t="s">
        <v>1725</v>
      </c>
      <c r="G4" s="6" t="s">
        <v>1726</v>
      </c>
      <c r="H4" s="6" t="s">
        <v>1727</v>
      </c>
      <c r="I4" s="6" t="s">
        <v>1728</v>
      </c>
      <c r="J4" s="20" t="s">
        <v>1729</v>
      </c>
      <c r="K4" s="20" t="s">
        <v>1730</v>
      </c>
      <c r="L4" s="20" t="s">
        <v>1731</v>
      </c>
      <c r="M4" s="20" t="s">
        <v>1732</v>
      </c>
      <c r="N4" s="20" t="s">
        <v>1733</v>
      </c>
      <c r="O4" s="20" t="s">
        <v>1734</v>
      </c>
      <c r="P4" s="20" t="s">
        <v>1735</v>
      </c>
      <c r="Q4" s="20" t="s">
        <v>1736</v>
      </c>
      <c r="R4" s="20" t="s">
        <v>1737</v>
      </c>
      <c r="S4" s="20" t="s">
        <v>1738</v>
      </c>
      <c r="T4" s="20" t="s">
        <v>1739</v>
      </c>
    </row>
    <row r="5" spans="1:20">
      <c r="A5" s="21" t="s">
        <v>76</v>
      </c>
      <c r="B5" s="21"/>
      <c r="C5" s="21"/>
      <c r="D5" s="22">
        <f>D6+D122+D151+D196+D323</f>
        <v>760705923.0</v>
      </c>
      <c r="E5" s="22">
        <f>E6+E122+E151+E196+E323</f>
        <v>713703324.2600001</v>
      </c>
      <c r="F5" s="22">
        <f>D5-E5</f>
        <v>47002598.73999989</v>
      </c>
      <c r="G5" s="22">
        <f>G6+G122+G151+G196+G323</f>
        <v>385954767.56000006</v>
      </c>
      <c r="H5" s="22">
        <f>D5-G5</f>
        <v>374751155.43999994</v>
      </c>
      <c r="I5" s="23">
        <f>IF(D5=0,0,G5/D5)</f>
        <v>0.5073639574645458</v>
      </c>
      <c r="J5" s="21"/>
      <c r="K5" s="21"/>
      <c r="L5" s="21"/>
      <c r="M5" s="21"/>
      <c r="N5" s="21"/>
      <c r="O5" s="21"/>
      <c r="P5" s="21"/>
      <c r="Q5" s="21"/>
      <c r="R5" s="21"/>
      <c r="S5" s="22">
        <f>S6+S122+S151+S196+S323</f>
        <v>6199045.142350399</v>
      </c>
      <c r="T5" s="21"/>
    </row>
    <row r="6" spans="1:20">
      <c r="A6" s="9" t="s">
        <v>1742</v>
      </c>
      <c r="B6" s="9"/>
      <c r="C6" s="9"/>
      <c r="D6" s="10">
        <f>D7+D78</f>
        <v>501856577.0</v>
      </c>
      <c r="E6" s="10">
        <f>E7+E78</f>
        <v>473474018.66</v>
      </c>
      <c r="F6" s="10">
        <f>D6-E6</f>
        <v>28382558.339999974</v>
      </c>
      <c r="G6" s="10">
        <f>G7+G78</f>
        <v>259120651.50000006</v>
      </c>
      <c r="H6" s="10">
        <f>D6-G6</f>
        <v>242735925.49999994</v>
      </c>
      <c r="I6" s="24">
        <f>IF(D6=0,0,G6/D6)</f>
        <v>0.5163241120580154</v>
      </c>
      <c r="J6" s="9"/>
      <c r="K6" s="9"/>
      <c r="L6" s="9"/>
      <c r="M6" s="9"/>
      <c r="N6" s="9"/>
      <c r="O6" s="9"/>
      <c r="P6" s="9"/>
      <c r="Q6" s="9"/>
      <c r="R6" s="9"/>
      <c r="S6" s="10">
        <f>S7+S78</f>
        <v>2570857.8923503994</v>
      </c>
      <c r="T6" s="9"/>
    </row>
    <row r="7" spans="1:20">
      <c r="A7" s="9" t="s">
        <v>1740</v>
      </c>
      <c r="B7" s="9"/>
      <c r="C7" s="9"/>
      <c r="D7" s="10">
        <f>D8+D11+D38+D63+D73+D75</f>
        <v>234460254.0</v>
      </c>
      <c r="E7" s="10">
        <f>E8+E11+E38+E63+E73+E75</f>
        <v>223910793.89</v>
      </c>
      <c r="F7" s="10">
        <f>D7-E7</f>
        <v>10549460.110000014</v>
      </c>
      <c r="G7" s="10">
        <f>G8+G11+G38+G63+G73+G75</f>
        <v>99970240.23</v>
      </c>
      <c r="H7" s="10">
        <f>D7-G7</f>
        <v>134490013.76999998</v>
      </c>
      <c r="I7" s="24">
        <f>IF(D7=0,0,G7/D7)</f>
        <v>0.4263845940813491</v>
      </c>
      <c r="J7" s="9"/>
      <c r="K7" s="9"/>
      <c r="L7" s="9"/>
      <c r="M7" s="9"/>
      <c r="N7" s="9"/>
      <c r="O7" s="9"/>
      <c r="P7" s="9"/>
      <c r="Q7" s="9"/>
      <c r="R7" s="9"/>
      <c r="S7" s="10">
        <f>S8+S11+S38+S63+S73+S75</f>
        <v>667641.6823504014</v>
      </c>
      <c r="T7" s="9"/>
    </row>
    <row r="8" spans="1:20">
      <c r="A8" s="25" t="s">
        <v>78</v>
      </c>
      <c r="B8" s="25"/>
      <c r="C8" s="25"/>
      <c r="D8" s="26">
        <f>SUM(D9:D10)</f>
        <v>53926751.0</v>
      </c>
      <c r="E8" s="26">
        <f>SUM(E9:E10)</f>
        <v>53909348.199999996</v>
      </c>
      <c r="F8" s="26">
        <f>D8-E8</f>
        <v>17402.80000000447</v>
      </c>
      <c r="G8" s="26">
        <f>SUM(G9:G10)</f>
        <v>364124.26000000007</v>
      </c>
      <c r="H8" s="26">
        <f>D8-G8</f>
        <v>53562626.74</v>
      </c>
      <c r="I8" s="27">
        <f>IF(D8=0,0,G8/D8)</f>
        <v>0.006752200962375799</v>
      </c>
      <c r="J8" s="25"/>
      <c r="K8" s="25"/>
      <c r="L8" s="25"/>
      <c r="M8" s="25"/>
      <c r="N8" s="25"/>
      <c r="O8" s="25"/>
      <c r="P8" s="25"/>
      <c r="Q8" s="25"/>
      <c r="R8" s="25"/>
      <c r="S8" s="26">
        <f>SUM(S9:S10)</f>
        <v>0.10000000149011612</v>
      </c>
      <c r="T8" s="25"/>
    </row>
    <row r="9" spans="1:20">
      <c r="A9" s="28">
        <f>SUBTOTAL(103,$B$6:B9)</f>
        <v>1</v>
      </c>
      <c r="B9" s="28">
        <v>1</v>
      </c>
      <c r="C9" s="7" t="s">
        <v>81</v>
      </c>
      <c r="D9" s="8">
        <f>Base!N5</f>
        <v>167354.0</v>
      </c>
      <c r="E9" s="8">
        <f>Base!O5</f>
        <v>149951.3</v>
      </c>
      <c r="F9" s="8">
        <f>D9-E9</f>
        <v>17402.70000000001</v>
      </c>
      <c r="G9" s="8">
        <f>Base!Q5</f>
        <v>102781.21</v>
      </c>
      <c r="H9" s="8">
        <f>D9-G9</f>
        <v>64572.78999999999</v>
      </c>
      <c r="I9" s="29">
        <f>IF(D9=0,0,G9/D9)</f>
        <v>0.6141544868960408</v>
      </c>
      <c r="J9" s="7" t="str">
        <f>Base!AH5</f>
        <v>Administración directa / Laudos arbitrales</v>
      </c>
      <c r="K9" s="28" t="str">
        <f>Base!I5</f>
        <v>Proyecto de inversión</v>
      </c>
      <c r="L9" s="8">
        <f>Base!AA5</f>
        <v>12460540.0</v>
      </c>
      <c r="M9" s="8">
        <f>Base!AB5</f>
        <v>5731000.0</v>
      </c>
      <c r="N9" s="8">
        <f>Base!AC5</f>
        <v>5000000.0</v>
      </c>
      <c r="O9" s="8">
        <f>Base!AD5</f>
        <v>5000000.0</v>
      </c>
      <c r="P9" s="7">
        <f>IF(Base!AI5="","",Base!AI5)</f>
        <v/>
      </c>
      <c r="Q9" s="28" t="str">
        <f>Base!J5</f>
        <v>Sin saldo útil</v>
      </c>
      <c r="R9" s="29">
        <f>Base!X5</f>
        <v>0.6581138198921124</v>
      </c>
      <c r="S9" s="8">
        <f>Base!K5</f>
        <v>0.0</v>
      </c>
      <c r="T9" s="7" t="str">
        <f>Base!M5</f>
        <v>Saldo libre menor a S/ 10,000</v>
      </c>
    </row>
    <row r="10" spans="1:20">
      <c r="A10" s="28">
        <f>SUBTOTAL(103,$B$6:B10)</f>
        <v>2</v>
      </c>
      <c r="B10" s="28">
        <v>220</v>
      </c>
      <c r="C10" s="7" t="s">
        <v>95</v>
      </c>
      <c r="D10" s="8">
        <f>Base!N6</f>
        <v>53759397.0</v>
      </c>
      <c r="E10" s="8">
        <f>Base!O6</f>
        <v>53759396.9</v>
      </c>
      <c r="F10" s="8">
        <f>D10-E10</f>
        <v>0.10000000149011612</v>
      </c>
      <c r="G10" s="8">
        <f>Base!Q6</f>
        <v>261343.05000000005</v>
      </c>
      <c r="H10" s="8">
        <f>D10-G10</f>
        <v>53498053.95</v>
      </c>
      <c r="I10" s="29">
        <f>IF(D10=0,0,G10/D10)</f>
        <v>0.004861346380057054</v>
      </c>
      <c r="J10" s="7" t="str">
        <f>Base!AH6</f>
        <v>Contrata / Expediente técnico / Administración directa / Laudos arbitrales</v>
      </c>
      <c r="K10" s="28" t="str">
        <f>Base!I6</f>
        <v>Proyecto de inversión</v>
      </c>
      <c r="L10" s="8" t="str">
        <f>Base!AA6</f>
        <v>No registrado en cartera</v>
      </c>
      <c r="M10" s="8" t="str">
        <f>Base!AB6</f>
        <v>No registrado en cartera</v>
      </c>
      <c r="N10" s="8" t="str">
        <f>Base!AC6</f>
        <v>No registrado en cartera</v>
      </c>
      <c r="O10" s="8" t="str">
        <f>Base!AD6</f>
        <v>No registrado en cartera</v>
      </c>
      <c r="P10" s="7">
        <f>IF(Base!AI6="","",Base!AI6)</f>
        <v/>
      </c>
      <c r="Q10" s="28" t="str">
        <f>Base!J6</f>
        <v>Rebajando certificación</v>
      </c>
      <c r="R10" s="29">
        <f>Base!X6</f>
        <v>0.3803855253332878</v>
      </c>
      <c r="S10" s="8">
        <f>Base!K6</f>
        <v>0.10000000149011612</v>
      </c>
      <c r="T10" s="7" t="str">
        <f>Base!M6</f>
        <v>Sin saldo libre; hay S/ 48,063,959 certificados sin comprometer ni programar en el 12-B (requiere rebajar la certificación)</v>
      </c>
    </row>
    <row r="11" spans="1:20">
      <c r="A11" s="25" t="s">
        <v>102</v>
      </c>
      <c r="B11" s="25"/>
      <c r="C11" s="25"/>
      <c r="D11" s="26">
        <f>SUM(D12:D37)</f>
        <v>60810433.0</v>
      </c>
      <c r="E11" s="26">
        <f>SUM(E12:E37)</f>
        <v>57629206.53000001</v>
      </c>
      <c r="F11" s="26">
        <f>D11-E11</f>
        <v>3181226.4699999914</v>
      </c>
      <c r="G11" s="26">
        <f>SUM(G12:G37)</f>
        <v>35508319.74</v>
      </c>
      <c r="H11" s="26">
        <f>D11-G11</f>
        <v>25302113.259999998</v>
      </c>
      <c r="I11" s="27">
        <f>IF(D11=0,0,G11/D11)</f>
        <v>0.5839182190990155</v>
      </c>
      <c r="J11" s="25"/>
      <c r="K11" s="25"/>
      <c r="L11" s="25"/>
      <c r="M11" s="25"/>
      <c r="N11" s="25"/>
      <c r="O11" s="25"/>
      <c r="P11" s="25"/>
      <c r="Q11" s="25"/>
      <c r="R11" s="25"/>
      <c r="S11" s="26">
        <f>SUM(S12:S37)</f>
        <v>0.0</v>
      </c>
      <c r="T11" s="25"/>
    </row>
    <row r="12" spans="1:20">
      <c r="A12" s="28">
        <f>SUBTOTAL(103,$B$6:B12)</f>
        <v>3</v>
      </c>
      <c r="B12" s="28">
        <v>223</v>
      </c>
      <c r="C12" s="7" t="s">
        <v>105</v>
      </c>
      <c r="D12" s="8">
        <f>Base!N7</f>
        <v>10519577.0</v>
      </c>
      <c r="E12" s="8">
        <f>Base!O7</f>
        <v>10422241.22</v>
      </c>
      <c r="F12" s="8">
        <f>D12-E12</f>
        <v>97335.77999999933</v>
      </c>
      <c r="G12" s="8">
        <f>Base!Q7</f>
        <v>7596372.68</v>
      </c>
      <c r="H12" s="8">
        <f>D12-G12</f>
        <v>2923204.3200000003</v>
      </c>
      <c r="I12" s="29">
        <f>IF(D12=0,0,G12/D12)</f>
        <v>0.7221176935156233</v>
      </c>
      <c r="J12" s="7" t="str">
        <f>Base!AH7</f>
        <v>Administración directa / Contrata / Personal/bienes/servicios</v>
      </c>
      <c r="K12" s="28" t="str">
        <f>Base!I7</f>
        <v>Proyecto de inversión</v>
      </c>
      <c r="L12" s="8">
        <f>Base!AA7</f>
        <v>2546207.0</v>
      </c>
      <c r="M12" s="8">
        <f>Base!AB7</f>
        <v>638376.0</v>
      </c>
      <c r="N12" s="8">
        <f>Base!AC7</f>
        <v>2568939.0</v>
      </c>
      <c r="O12" s="8">
        <f>Base!AD7</f>
        <v>0</v>
      </c>
      <c r="P12" s="7">
        <f>IF(Base!AI7="","",Base!AI7)</f>
        <v/>
      </c>
      <c r="Q12" s="28" t="str">
        <f>Base!J7</f>
        <v>No mover</v>
      </c>
      <c r="R12" s="29">
        <f>Base!X7</f>
        <v>0.9357806740015229</v>
      </c>
      <c r="S12" s="8">
        <f>Base!K7</f>
        <v>0.0</v>
      </c>
      <c r="T12" s="7" t="str">
        <f>Base!M7</f>
        <v>Avance financiero acumulado 94% (&gt; 90%)</v>
      </c>
    </row>
    <row r="13" spans="1:20">
      <c r="A13" s="28">
        <f>SUBTOTAL(103,$B$6:B13)</f>
        <v>4</v>
      </c>
      <c r="B13" s="28">
        <v>224</v>
      </c>
      <c r="C13" s="7" t="s">
        <v>112</v>
      </c>
      <c r="D13" s="8">
        <f>Base!N8</f>
        <v>10208307.0</v>
      </c>
      <c r="E13" s="8">
        <f>Base!O8</f>
        <v>9968469.620000001</v>
      </c>
      <c r="F13" s="8">
        <f>D13-E13</f>
        <v>239837.37999999896</v>
      </c>
      <c r="G13" s="8">
        <f>Base!Q8</f>
        <v>6440724.480000001</v>
      </c>
      <c r="H13" s="8">
        <f>D13-G13</f>
        <v>3767582.5199999986</v>
      </c>
      <c r="I13" s="29">
        <f>IF(D13=0,0,G13/D13)</f>
        <v>0.6309297398677373</v>
      </c>
      <c r="J13" s="7" t="str">
        <f>Base!AH8</f>
        <v>Administración directa / Equipamiento / Contrata / Personal/bienes/servicios</v>
      </c>
      <c r="K13" s="28" t="str">
        <f>Base!I8</f>
        <v>Proyecto de inversión</v>
      </c>
      <c r="L13" s="8">
        <f>Base!AA8</f>
        <v>5597990.0</v>
      </c>
      <c r="M13" s="8">
        <f>Base!AB8</f>
        <v>1254673.0</v>
      </c>
      <c r="N13" s="8">
        <f>Base!AC8</f>
        <v>2493351.0</v>
      </c>
      <c r="O13" s="8">
        <f>Base!AD8</f>
        <v>0</v>
      </c>
      <c r="P13" s="7">
        <f>IF(Base!AI8="","",Base!AI8)</f>
        <v/>
      </c>
      <c r="Q13" s="28" t="str">
        <f>Base!J8</f>
        <v>Sin saldo útil</v>
      </c>
      <c r="R13" s="29">
        <f>Base!X8</f>
        <v>0.8572210874133332</v>
      </c>
      <c r="S13" s="8">
        <f>Base!K8</f>
        <v>0.0</v>
      </c>
      <c r="T13" s="7" t="str">
        <f>Base!M8</f>
        <v>Saldo libre menor a S/ 10,000</v>
      </c>
    </row>
    <row r="14" spans="1:20">
      <c r="A14" s="28">
        <f>SUBTOTAL(103,$B$6:B14)</f>
        <v>5</v>
      </c>
      <c r="B14" s="28">
        <v>245</v>
      </c>
      <c r="C14" s="7" t="s">
        <v>117</v>
      </c>
      <c r="D14" s="8">
        <f>Base!N9</f>
        <v>11203165.0</v>
      </c>
      <c r="E14" s="8">
        <f>Base!O9</f>
        <v>10889668.59</v>
      </c>
      <c r="F14" s="8">
        <f>D14-E14</f>
        <v>313496.41000000015</v>
      </c>
      <c r="G14" s="8">
        <f>Base!Q9</f>
        <v>6395813.340000001</v>
      </c>
      <c r="H14" s="8">
        <f>D14-G14</f>
        <v>4807351.659999999</v>
      </c>
      <c r="I14" s="29">
        <f>IF(D14=0,0,G14/D14)</f>
        <v>0.5708934341322297</v>
      </c>
      <c r="J14" s="7" t="str">
        <f>Base!AH9</f>
        <v>Administración directa / Equipamiento / Contrata / Personal/bienes/servicios</v>
      </c>
      <c r="K14" s="28" t="str">
        <f>Base!I9</f>
        <v>Proyecto de inversión</v>
      </c>
      <c r="L14" s="8">
        <f>Base!AA9</f>
        <v>4902849.0</v>
      </c>
      <c r="M14" s="8">
        <f>Base!AB9</f>
        <v>60001.0</v>
      </c>
      <c r="N14" s="8">
        <f>Base!AC9</f>
        <v>2722594.0</v>
      </c>
      <c r="O14" s="8">
        <f>Base!AD9</f>
        <v>0</v>
      </c>
      <c r="P14" s="7">
        <f>IF(Base!AI9="","",Base!AI9)</f>
        <v/>
      </c>
      <c r="Q14" s="28" t="str">
        <f>Base!J9</f>
        <v>Sin saldo útil</v>
      </c>
      <c r="R14" s="29">
        <f>Base!X9</f>
        <v>0.8234535691561897</v>
      </c>
      <c r="S14" s="8">
        <f>Base!K9</f>
        <v>0.0</v>
      </c>
      <c r="T14" s="7" t="str">
        <f>Base!M9</f>
        <v>Saldo libre menor a S/ 10,000</v>
      </c>
    </row>
    <row r="15" spans="1:20">
      <c r="A15" s="28">
        <f>SUBTOTAL(103,$B$6:B15)</f>
        <v>6</v>
      </c>
      <c r="B15" s="28">
        <v>29</v>
      </c>
      <c r="C15" s="7" t="s">
        <v>120</v>
      </c>
      <c r="D15" s="8">
        <f>Base!N10</f>
        <v>2079431.0</v>
      </c>
      <c r="E15" s="8">
        <f>Base!O10</f>
        <v>1994037.46</v>
      </c>
      <c r="F15" s="8">
        <f>D15-E15</f>
        <v>85393.54000000004</v>
      </c>
      <c r="G15" s="8">
        <f>Base!Q10</f>
        <v>1946470.9399999997</v>
      </c>
      <c r="H15" s="8">
        <f>D15-G15</f>
        <v>132960.0600000003</v>
      </c>
      <c r="I15" s="29">
        <f>IF(D15=0,0,G15/D15)</f>
        <v>0.9360594027885512</v>
      </c>
      <c r="J15" s="7" t="str">
        <f>Base!AH10</f>
        <v>Administración directa / Equipamiento / Contrata / Personal/bienes/servicios</v>
      </c>
      <c r="K15" s="28" t="str">
        <f>Base!I10</f>
        <v>Proyecto de inversión</v>
      </c>
      <c r="L15" s="8">
        <f>Base!AA10</f>
        <v>298669.0</v>
      </c>
      <c r="M15" s="8">
        <f>Base!AB10</f>
        <v>349669.0</v>
      </c>
      <c r="N15" s="8">
        <f>Base!AC10</f>
        <v>84977.0</v>
      </c>
      <c r="O15" s="8">
        <f>Base!AD10</f>
        <v>0</v>
      </c>
      <c r="P15" s="7">
        <f>IF(Base!AI10="","",Base!AI10)</f>
        <v/>
      </c>
      <c r="Q15" s="28" t="str">
        <f>Base!J10</f>
        <v>No mover</v>
      </c>
      <c r="R15" s="29">
        <f>Base!X10</f>
        <v>0.9696431816864295</v>
      </c>
      <c r="S15" s="8">
        <f>Base!K10</f>
        <v>0.0</v>
      </c>
      <c r="T15" s="7" t="str">
        <f>Base!M10</f>
        <v>Devengado 2026 ≥ 90% del PIM</v>
      </c>
    </row>
    <row r="16" spans="1:20">
      <c r="A16" s="28">
        <f>SUBTOTAL(103,$B$6:B16)</f>
        <v>7</v>
      </c>
      <c r="B16" s="28">
        <v>315</v>
      </c>
      <c r="C16" s="7" t="s">
        <v>125</v>
      </c>
      <c r="D16" s="8">
        <f>Base!N11</f>
        <v>1425006.0</v>
      </c>
      <c r="E16" s="8">
        <f>Base!O11</f>
        <v>1239788.9</v>
      </c>
      <c r="F16" s="8">
        <f>D16-E16</f>
        <v>185217.1000000001</v>
      </c>
      <c r="G16" s="8">
        <f>Base!Q11</f>
        <v>1170436.98</v>
      </c>
      <c r="H16" s="8">
        <f>D16-G16</f>
        <v>254569.02000000002</v>
      </c>
      <c r="I16" s="29">
        <f>IF(D16=0,0,G16/D16)</f>
        <v>0.8213558258702068</v>
      </c>
      <c r="J16" s="7" t="str">
        <f>Base!AH11</f>
        <v>Administración directa / Equipamiento / Contrata / Personal/bienes/servicios</v>
      </c>
      <c r="K16" s="28" t="str">
        <f>Base!I11</f>
        <v>Proyecto de inversión</v>
      </c>
      <c r="L16" s="8">
        <f>Base!AA11</f>
        <v>1122019.0</v>
      </c>
      <c r="M16" s="8">
        <f>Base!AB11</f>
        <v>0</v>
      </c>
      <c r="N16" s="8">
        <f>Base!AC11</f>
        <v>32869.0</v>
      </c>
      <c r="O16" s="8">
        <f>Base!AD11</f>
        <v>0</v>
      </c>
      <c r="P16" s="7">
        <f>IF(Base!AI11="","",Base!AI11)</f>
        <v/>
      </c>
      <c r="Q16" s="28" t="str">
        <f>Base!J11</f>
        <v>No mover</v>
      </c>
      <c r="R16" s="29">
        <f>Base!X11</f>
        <v>0.9753882779892774</v>
      </c>
      <c r="S16" s="8">
        <f>Base!K11</f>
        <v>0.0</v>
      </c>
      <c r="T16" s="7" t="str">
        <f>Base!M11</f>
        <v>Avance financiero acumulado 98% (&gt; 90%)</v>
      </c>
    </row>
    <row r="17" spans="1:20">
      <c r="A17" s="28">
        <f>SUBTOTAL(103,$B$6:B17)</f>
        <v>8</v>
      </c>
      <c r="B17" s="28">
        <v>160</v>
      </c>
      <c r="C17" s="7" t="s">
        <v>131</v>
      </c>
      <c r="D17" s="8">
        <f>Base!N12</f>
        <v>9222405.0</v>
      </c>
      <c r="E17" s="8">
        <f>Base!O12</f>
        <v>9014527.53</v>
      </c>
      <c r="F17" s="8">
        <f>D17-E17</f>
        <v>207877.47000000067</v>
      </c>
      <c r="G17" s="8">
        <f>Base!Q12</f>
        <v>5421356.61</v>
      </c>
      <c r="H17" s="8">
        <f>D17-G17</f>
        <v>3801048.3899999997</v>
      </c>
      <c r="I17" s="29">
        <f>IF(D17=0,0,G17/D17)</f>
        <v>0.5878462949740334</v>
      </c>
      <c r="J17" s="7" t="str">
        <f>Base!AH12</f>
        <v>Administración directa / Equipamiento / Contrata / Personal/bienes/servicios</v>
      </c>
      <c r="K17" s="28" t="str">
        <f>Base!I12</f>
        <v>Proyecto de inversión</v>
      </c>
      <c r="L17" s="8">
        <f>Base!AA12</f>
        <v>2595053.0</v>
      </c>
      <c r="M17" s="8">
        <f>Base!AB12</f>
        <v>255676.0</v>
      </c>
      <c r="N17" s="8">
        <f>Base!AC12</f>
        <v>1817178.0</v>
      </c>
      <c r="O17" s="8">
        <f>Base!AD12</f>
        <v>0</v>
      </c>
      <c r="P17" s="7">
        <f>IF(Base!AI12="","",Base!AI12)</f>
        <v/>
      </c>
      <c r="Q17" s="28" t="str">
        <f>Base!J12</f>
        <v>Sin saldo útil</v>
      </c>
      <c r="R17" s="29">
        <f>Base!X12</f>
        <v>0.7543439795383723</v>
      </c>
      <c r="S17" s="8">
        <f>Base!K12</f>
        <v>0.0</v>
      </c>
      <c r="T17" s="7" t="str">
        <f>Base!M12</f>
        <v>Saldo libre menor a S/ 10,000</v>
      </c>
    </row>
    <row r="18" spans="1:20">
      <c r="A18" s="28">
        <f>SUBTOTAL(103,$B$6:B18)</f>
        <v>9</v>
      </c>
      <c r="B18" s="28">
        <v>162</v>
      </c>
      <c r="C18" s="7" t="s">
        <v>134</v>
      </c>
      <c r="D18" s="8">
        <f>Base!N13</f>
        <v>5194033.0</v>
      </c>
      <c r="E18" s="8">
        <f>Base!O13</f>
        <v>5106124.77</v>
      </c>
      <c r="F18" s="8">
        <f>D18-E18</f>
        <v>87908.23000000045</v>
      </c>
      <c r="G18" s="8">
        <f>Base!Q13</f>
        <v>1941765.29</v>
      </c>
      <c r="H18" s="8">
        <f>D18-G18</f>
        <v>3252267.71</v>
      </c>
      <c r="I18" s="29">
        <f>IF(D18=0,0,G18/D18)</f>
        <v>0.3738453895075368</v>
      </c>
      <c r="J18" s="7" t="str">
        <f>Base!AH13</f>
        <v>Contrata / Personal/bienes/servicios</v>
      </c>
      <c r="K18" s="28" t="str">
        <f>Base!I13</f>
        <v>Proyecto de inversión</v>
      </c>
      <c r="L18" s="8">
        <f>Base!AA13</f>
        <v>5194033.0</v>
      </c>
      <c r="M18" s="8">
        <f>Base!AB13</f>
        <v>6569076.0</v>
      </c>
      <c r="N18" s="8">
        <f>Base!AC13</f>
        <v>1.0</v>
      </c>
      <c r="O18" s="8">
        <f>Base!AD13</f>
        <v>0</v>
      </c>
      <c r="P18" s="7">
        <f>IF(Base!AI13="","",Base!AI13)</f>
        <v/>
      </c>
      <c r="Q18" s="28" t="str">
        <f>Base!J13</f>
        <v>Sin saldo útil</v>
      </c>
      <c r="R18" s="29">
        <f>Base!X13</f>
        <v>0.19867400173251956</v>
      </c>
      <c r="S18" s="8">
        <f>Base!K13</f>
        <v>0.0</v>
      </c>
      <c r="T18" s="7" t="str">
        <f>Base!M13</f>
        <v>Saldo libre menor a S/ 10,000</v>
      </c>
    </row>
    <row r="19" spans="1:20">
      <c r="A19" s="28">
        <f>SUBTOTAL(103,$B$6:B19)</f>
        <v>10</v>
      </c>
      <c r="B19" s="28">
        <v>44</v>
      </c>
      <c r="C19" s="7" t="s">
        <v>139</v>
      </c>
      <c r="D19" s="8">
        <f>Base!N14</f>
        <v>3656326.0</v>
      </c>
      <c r="E19" s="8">
        <f>Base!O14</f>
        <v>3427173.5999999996</v>
      </c>
      <c r="F19" s="8">
        <f>D19-E19</f>
        <v>229152.40000000037</v>
      </c>
      <c r="G19" s="8">
        <f>Base!Q14</f>
        <v>2126125.3800000004</v>
      </c>
      <c r="H19" s="8">
        <f>D19-G19</f>
        <v>1530200.6199999996</v>
      </c>
      <c r="I19" s="29">
        <f>IF(D19=0,0,G19/D19)</f>
        <v>0.5814922903482896</v>
      </c>
      <c r="J19" s="7" t="str">
        <f>Base!AH14</f>
        <v>Administración directa / Contrata / Personal/bienes/servicios / Equipamiento</v>
      </c>
      <c r="K19" s="28" t="str">
        <f>Base!I14</f>
        <v>Proyecto de inversión</v>
      </c>
      <c r="L19" s="8">
        <f>Base!AA14</f>
        <v>2278000.0</v>
      </c>
      <c r="M19" s="8">
        <f>Base!AB14</f>
        <v>1683936.0</v>
      </c>
      <c r="N19" s="8">
        <f>Base!AC14</f>
        <v>1459275.0</v>
      </c>
      <c r="O19" s="8">
        <f>Base!AD14</f>
        <v>0</v>
      </c>
      <c r="P19" s="7">
        <f>IF(Base!AI14="","",Base!AI14)</f>
        <v/>
      </c>
      <c r="Q19" s="28" t="str">
        <f>Base!J14</f>
        <v>Sin saldo útil</v>
      </c>
      <c r="R19" s="29">
        <f>Base!X14</f>
        <v>0.3379084112444209</v>
      </c>
      <c r="S19" s="8">
        <f>Base!K14</f>
        <v>0.0</v>
      </c>
      <c r="T19" s="7" t="str">
        <f>Base!M14</f>
        <v>Saldo libre menor a S/ 10,000</v>
      </c>
    </row>
    <row r="20" spans="1:20">
      <c r="A20" s="28">
        <f>SUBTOTAL(103,$B$6:B20)</f>
        <v>11</v>
      </c>
      <c r="B20" s="28">
        <v>248</v>
      </c>
      <c r="C20" s="7" t="s">
        <v>144</v>
      </c>
      <c r="D20" s="8">
        <f>Base!N15</f>
        <v>2000000.0</v>
      </c>
      <c r="E20" s="8">
        <f>Base!O15</f>
        <v>2000000.0</v>
      </c>
      <c r="F20" s="8">
        <f>D20-E20</f>
        <v>0.0</v>
      </c>
      <c r="G20" s="8">
        <f>Base!Q15</f>
        <v>0.0</v>
      </c>
      <c r="H20" s="8">
        <f>D20-G20</f>
        <v>2000000.0</v>
      </c>
      <c r="I20" s="29">
        <f>IF(D20=0,0,G20/D20)</f>
        <v>0.0</v>
      </c>
      <c r="J20" s="7" t="str">
        <f>Base!AH15</f>
        <v>Contrata</v>
      </c>
      <c r="K20" s="28" t="str">
        <f>Base!I15</f>
        <v>Proyecto de inversión</v>
      </c>
      <c r="L20" s="8">
        <f>Base!AA15</f>
        <v>12000000.0</v>
      </c>
      <c r="M20" s="8">
        <f>Base!AB15</f>
        <v>14558623.0</v>
      </c>
      <c r="N20" s="8">
        <f>Base!AC15</f>
        <v>14894208.0</v>
      </c>
      <c r="O20" s="8">
        <f>Base!AD15</f>
        <v>10928387.0</v>
      </c>
      <c r="P20" s="7">
        <f>IF(Base!AI15="","",Base!AI15)</f>
        <v/>
      </c>
      <c r="Q20" s="28" t="str">
        <f>Base!J15</f>
        <v>Sin saldo útil</v>
      </c>
      <c r="R20" s="29">
        <f>Base!X15</f>
        <v>0.019000383054764456</v>
      </c>
      <c r="S20" s="8">
        <f>Base!K15</f>
        <v>0.0</v>
      </c>
      <c r="T20" s="7" t="str">
        <f>Base!M15</f>
        <v>Saldo libre menor a S/ 10,000</v>
      </c>
    </row>
    <row r="21" spans="1:20">
      <c r="A21" s="28">
        <f>SUBTOTAL(103,$B$6:B21)</f>
        <v>12</v>
      </c>
      <c r="B21" s="28">
        <v>45</v>
      </c>
      <c r="C21" s="7" t="s">
        <v>148</v>
      </c>
      <c r="D21" s="8">
        <f>Base!N16</f>
        <v>0.0</v>
      </c>
      <c r="E21" s="8">
        <f>Base!O16</f>
        <v>0.0</v>
      </c>
      <c r="F21" s="8">
        <f>D21-E21</f>
        <v>0.0</v>
      </c>
      <c r="G21" s="8">
        <f>Base!Q16</f>
        <v>0.0</v>
      </c>
      <c r="H21" s="8">
        <f>D21-G21</f>
        <v>0.0</v>
      </c>
      <c r="I21" s="29">
        <f>IF(D21=0,0,G21/D21)</f>
        <v>0</v>
      </c>
      <c r="J21" s="7" t="str">
        <f>Base!AH16</f>
        <v>Contrata</v>
      </c>
      <c r="K21" s="28" t="str">
        <f>Base!I16</f>
        <v>Proyecto de inversión</v>
      </c>
      <c r="L21" s="8">
        <f>Base!AA16</f>
        <v>100000.0</v>
      </c>
      <c r="M21" s="8">
        <f>Base!AB16</f>
        <v>1234564.0</v>
      </c>
      <c r="N21" s="8">
        <f>Base!AC16</f>
        <v>0</v>
      </c>
      <c r="O21" s="8">
        <f>Base!AD16</f>
        <v>3335545.0</v>
      </c>
      <c r="P21" s="7">
        <f>IF(Base!AI16="","",Base!AI16)</f>
        <v/>
      </c>
      <c r="Q21" s="28" t="str">
        <f>Base!J16</f>
        <v>Sin PIM</v>
      </c>
      <c r="R21" s="29">
        <f>Base!X16</f>
        <v>0.04297188668901123</v>
      </c>
      <c r="S21" s="8">
        <f>Base!K16</f>
        <v>0.0</v>
      </c>
      <c r="T21" s="7" t="str">
        <f>Base!M16</f>
        <v>PIM igual a 0</v>
      </c>
    </row>
    <row r="22" spans="1:20">
      <c r="A22" s="28">
        <f>SUBTOTAL(103,$B$6:B22)</f>
        <v>13</v>
      </c>
      <c r="B22" s="28">
        <v>193</v>
      </c>
      <c r="C22" s="7" t="s">
        <v>154</v>
      </c>
      <c r="D22" s="8">
        <f>Base!N17</f>
        <v>1861270.0</v>
      </c>
      <c r="E22" s="8">
        <f>Base!O17</f>
        <v>1508764.4100000001</v>
      </c>
      <c r="F22" s="8">
        <f>D22-E22</f>
        <v>352505.58999999985</v>
      </c>
      <c r="G22" s="8">
        <f>Base!Q17</f>
        <v>1164545.37</v>
      </c>
      <c r="H22" s="8">
        <f>D22-G22</f>
        <v>696724.6299999999</v>
      </c>
      <c r="I22" s="29">
        <f>IF(D22=0,0,G22/D22)</f>
        <v>0.6256724548292296</v>
      </c>
      <c r="J22" s="7" t="str">
        <f>Base!AH17</f>
        <v>Administración directa / Contrata / Expediente técnico / Equipamiento / Personal/bienes/servicios</v>
      </c>
      <c r="K22" s="28" t="str">
        <f>Base!I17</f>
        <v>Proyecto de inversión</v>
      </c>
      <c r="L22" s="8">
        <f>Base!AA17</f>
        <v>1410000.0</v>
      </c>
      <c r="M22" s="8">
        <f>Base!AB17</f>
        <v>833474.0</v>
      </c>
      <c r="N22" s="8">
        <f>Base!AC17</f>
        <v>0</v>
      </c>
      <c r="O22" s="8">
        <f>Base!AD17</f>
        <v>0</v>
      </c>
      <c r="P22" s="7">
        <f>IF(Base!AI17="","",Base!AI17)</f>
        <v/>
      </c>
      <c r="Q22" s="28" t="str">
        <f>Base!J17</f>
        <v>Sin saldo útil</v>
      </c>
      <c r="R22" s="29">
        <f>Base!X17</f>
        <v>0.5482475158166992</v>
      </c>
      <c r="S22" s="8">
        <f>Base!K17</f>
        <v>0.0</v>
      </c>
      <c r="T22" s="7" t="str">
        <f>Base!M17</f>
        <v>Saldo libre menor a S/ 10,000</v>
      </c>
    </row>
    <row r="23" spans="1:20">
      <c r="A23" s="28">
        <f>SUBTOTAL(103,$B$6:B23)</f>
        <v>14</v>
      </c>
      <c r="B23" s="28">
        <v>46</v>
      </c>
      <c r="C23" s="7" t="s">
        <v>158</v>
      </c>
      <c r="D23" s="8">
        <f>Base!N18</f>
        <v>304829.0</v>
      </c>
      <c r="E23" s="8">
        <f>Base!O18</f>
        <v>0.0</v>
      </c>
      <c r="F23" s="8">
        <f>D23-E23</f>
        <v>304829.0</v>
      </c>
      <c r="G23" s="8">
        <f>Base!Q18</f>
        <v>0.0</v>
      </c>
      <c r="H23" s="8">
        <f>D23-G23</f>
        <v>304829.0</v>
      </c>
      <c r="I23" s="29">
        <f>IF(D23=0,0,G23/D23)</f>
        <v>0.0</v>
      </c>
      <c r="J23" s="7" t="str">
        <f>Base!AH18</f>
        <v>Contrata</v>
      </c>
      <c r="K23" s="28" t="str">
        <f>Base!I18</f>
        <v>Proyecto de inversión</v>
      </c>
      <c r="L23" s="8">
        <f>Base!AA18</f>
        <v>100000.0</v>
      </c>
      <c r="M23" s="8">
        <f>Base!AB18</f>
        <v>0</v>
      </c>
      <c r="N23" s="8">
        <f>Base!AC18</f>
        <v>0</v>
      </c>
      <c r="O23" s="8">
        <f>Base!AD18</f>
        <v>4317457.0</v>
      </c>
      <c r="P23" s="7">
        <f>IF(Base!AI18="","",Base!AI18)</f>
        <v/>
      </c>
      <c r="Q23" s="28" t="str">
        <f>Base!J18</f>
        <v>Sin saldo útil</v>
      </c>
      <c r="R23" s="29">
        <f>Base!X18</f>
        <v>0.04318335997970929</v>
      </c>
      <c r="S23" s="8">
        <f>Base!K18</f>
        <v>0.0</v>
      </c>
      <c r="T23" s="7" t="str">
        <f>Base!M18</f>
        <v>Saldo libre menor a S/ 10,000</v>
      </c>
    </row>
    <row r="24" spans="1:20">
      <c r="A24" s="28">
        <f>SUBTOTAL(103,$B$6:B24)</f>
        <v>15</v>
      </c>
      <c r="B24" s="28">
        <v>480</v>
      </c>
      <c r="C24" s="7" t="s">
        <v>161</v>
      </c>
      <c r="D24" s="8">
        <f>Base!N19</f>
        <v>677644.0</v>
      </c>
      <c r="E24" s="8">
        <f>Base!O19</f>
        <v>607692.88</v>
      </c>
      <c r="F24" s="8">
        <f>D24-E24</f>
        <v>69951.12</v>
      </c>
      <c r="G24" s="8">
        <f>Base!Q19</f>
        <v>131223.38</v>
      </c>
      <c r="H24" s="8">
        <f>D24-G24</f>
        <v>546420.62</v>
      </c>
      <c r="I24" s="29">
        <f>IF(D24=0,0,G24/D24)</f>
        <v>0.19364648694594802</v>
      </c>
      <c r="J24" s="7" t="str">
        <f>Base!AH19</f>
        <v>Equipamiento / Contrata / Administración directa / Personal/bienes/servicios</v>
      </c>
      <c r="K24" s="28" t="str">
        <f>Base!I19</f>
        <v>IOARR</v>
      </c>
      <c r="L24" s="8" t="str">
        <f>Base!AA19</f>
        <v>No registrado en cartera</v>
      </c>
      <c r="M24" s="8" t="str">
        <f>Base!AB19</f>
        <v>No registrado en cartera</v>
      </c>
      <c r="N24" s="8" t="str">
        <f>Base!AC19</f>
        <v>No registrado en cartera</v>
      </c>
      <c r="O24" s="8" t="str">
        <f>Base!AD19</f>
        <v>No registrado en cartera</v>
      </c>
      <c r="P24" s="7">
        <f>IF(Base!AI19="","",Base!AI19)</f>
        <v/>
      </c>
      <c r="Q24" s="28" t="str">
        <f>Base!J19</f>
        <v>Sin saldo útil</v>
      </c>
      <c r="R24" s="29">
        <f>Base!X19</f>
        <v>0.20492536676910125</v>
      </c>
      <c r="S24" s="8">
        <f>Base!K19</f>
        <v>0.0</v>
      </c>
      <c r="T24" s="7" t="str">
        <f>Base!M19</f>
        <v>Saldo libre menor a S/ 10,000</v>
      </c>
    </row>
    <row r="25" spans="1:20">
      <c r="A25" s="28">
        <f>SUBTOTAL(103,$B$6:B25)</f>
        <v>16</v>
      </c>
      <c r="B25" s="28">
        <v>479</v>
      </c>
      <c r="C25" s="7" t="s">
        <v>167</v>
      </c>
      <c r="D25" s="8">
        <f>Base!N20</f>
        <v>492669.0</v>
      </c>
      <c r="E25" s="8">
        <f>Base!O20</f>
        <v>464894.0</v>
      </c>
      <c r="F25" s="8">
        <f>D25-E25</f>
        <v>27775.0</v>
      </c>
      <c r="G25" s="8">
        <f>Base!Q20</f>
        <v>211662.5</v>
      </c>
      <c r="H25" s="8">
        <f>D25-G25</f>
        <v>281006.5</v>
      </c>
      <c r="I25" s="29">
        <f>IF(D25=0,0,G25/D25)</f>
        <v>0.4296241492766949</v>
      </c>
      <c r="J25" s="7" t="str">
        <f>Base!AH20</f>
        <v>Expediente técnico</v>
      </c>
      <c r="K25" s="28" t="str">
        <f>Base!I20</f>
        <v>Proyecto de inversión</v>
      </c>
      <c r="L25" s="8" t="str">
        <f>Base!AA20</f>
        <v>No registrado en cartera</v>
      </c>
      <c r="M25" s="8" t="str">
        <f>Base!AB20</f>
        <v>No registrado en cartera</v>
      </c>
      <c r="N25" s="8" t="str">
        <f>Base!AC20</f>
        <v>No registrado en cartera</v>
      </c>
      <c r="O25" s="8" t="str">
        <f>Base!AD20</f>
        <v>No registrado en cartera</v>
      </c>
      <c r="P25" s="7">
        <f>IF(Base!AI20="","",Base!AI20)</f>
        <v/>
      </c>
      <c r="Q25" s="28" t="str">
        <f>Base!J20</f>
        <v>Sin saldo útil</v>
      </c>
      <c r="R25" s="29">
        <f>Base!X20</f>
        <v>0.019473970869953658</v>
      </c>
      <c r="S25" s="8">
        <f>Base!K20</f>
        <v>0.0</v>
      </c>
      <c r="T25" s="7" t="str">
        <f>Base!M20</f>
        <v>Saldo libre menor a S/ 10,000</v>
      </c>
    </row>
    <row r="26" spans="1:20">
      <c r="A26" s="28">
        <f>SUBTOTAL(103,$B$6:B26)</f>
        <v>17</v>
      </c>
      <c r="B26" s="28">
        <v>170</v>
      </c>
      <c r="C26" s="7" t="s">
        <v>174</v>
      </c>
      <c r="D26" s="8">
        <f>Base!N21</f>
        <v>118539.0</v>
      </c>
      <c r="E26" s="8">
        <f>Base!O21</f>
        <v>70562.13</v>
      </c>
      <c r="F26" s="8">
        <f>D26-E26</f>
        <v>47976.869999999995</v>
      </c>
      <c r="G26" s="8">
        <f>Base!Q21</f>
        <v>70562.13</v>
      </c>
      <c r="H26" s="8">
        <f>D26-G26</f>
        <v>47976.869999999995</v>
      </c>
      <c r="I26" s="29">
        <f>IF(D26=0,0,G26/D26)</f>
        <v>0.5952651026244528</v>
      </c>
      <c r="J26" s="7" t="str">
        <f>Base!AH21</f>
        <v>Contrata / Personal/bienes/servicios / Administración directa</v>
      </c>
      <c r="K26" s="28" t="str">
        <f>Base!I21</f>
        <v>Proyecto de inversión</v>
      </c>
      <c r="L26" s="8">
        <f>Base!AA21</f>
        <v>159740.0</v>
      </c>
      <c r="M26" s="8">
        <f>Base!AB21</f>
        <v>0</v>
      </c>
      <c r="N26" s="8">
        <f>Base!AC21</f>
        <v>0</v>
      </c>
      <c r="O26" s="8">
        <f>Base!AD21</f>
        <v>0</v>
      </c>
      <c r="P26" s="7">
        <f>IF(Base!AI21="","",Base!AI21)</f>
        <v/>
      </c>
      <c r="Q26" s="28" t="str">
        <f>Base!J21</f>
        <v>No mover</v>
      </c>
      <c r="R26" s="29">
        <f>Base!X21</f>
        <v>0.9712547204817171</v>
      </c>
      <c r="S26" s="8">
        <f>Base!K21</f>
        <v>0.0</v>
      </c>
      <c r="T26" s="7" t="str">
        <f>Base!M21</f>
        <v>Avance financiero acumulado 97% (&gt; 90%)</v>
      </c>
    </row>
    <row r="27" spans="1:20">
      <c r="A27" s="28">
        <f>SUBTOTAL(103,$B$6:B27)</f>
        <v>18</v>
      </c>
      <c r="B27" s="28">
        <v>490</v>
      </c>
      <c r="C27" s="7" t="s">
        <v>180</v>
      </c>
      <c r="D27" s="8">
        <f>Base!N22</f>
        <v>28700.0</v>
      </c>
      <c r="E27" s="8">
        <f>Base!O22</f>
        <v>0.0</v>
      </c>
      <c r="F27" s="8">
        <f>D27-E27</f>
        <v>28700.0</v>
      </c>
      <c r="G27" s="8">
        <f>Base!Q22</f>
        <v>0.0</v>
      </c>
      <c r="H27" s="8">
        <f>D27-G27</f>
        <v>28700.0</v>
      </c>
      <c r="I27" s="29">
        <f>IF(D27=0,0,G27/D27)</f>
        <v>0.0</v>
      </c>
      <c r="J27" s="7" t="str">
        <f>Base!AH22</f>
        <v>Administración directa</v>
      </c>
      <c r="K27" s="28" t="str">
        <f>Base!I22</f>
        <v>Proyecto de inversión</v>
      </c>
      <c r="L27" s="8">
        <f>Base!AA22</f>
        <v>539829.0</v>
      </c>
      <c r="M27" s="8">
        <f>Base!AB22</f>
        <v>504509.0</v>
      </c>
      <c r="N27" s="8">
        <f>Base!AC22</f>
        <v>0</v>
      </c>
      <c r="O27" s="8">
        <f>Base!AD22</f>
        <v>0</v>
      </c>
      <c r="P27" s="7">
        <f>IF(Base!AI22="","",Base!AI22)</f>
        <v/>
      </c>
      <c r="Q27" s="28" t="str">
        <f>Base!J22</f>
        <v>No mover</v>
      </c>
      <c r="R27" s="29">
        <f>Base!X22</f>
        <v>0.9560020559028226</v>
      </c>
      <c r="S27" s="8">
        <f>Base!K22</f>
        <v>0.0</v>
      </c>
      <c r="T27" s="7" t="str">
        <f>Base!M22</f>
        <v>Avance financiero acumulado 96% (&gt; 90%)</v>
      </c>
    </row>
    <row r="28" spans="1:20">
      <c r="A28" s="28">
        <f>SUBTOTAL(103,$B$6:B28)</f>
        <v>19</v>
      </c>
      <c r="B28" s="28">
        <v>489</v>
      </c>
      <c r="C28" s="7" t="s">
        <v>180</v>
      </c>
      <c r="D28" s="8">
        <f>Base!N23</f>
        <v>25000.0</v>
      </c>
      <c r="E28" s="8">
        <f>Base!O23</f>
        <v>0.0</v>
      </c>
      <c r="F28" s="8">
        <f>D28-E28</f>
        <v>25000.0</v>
      </c>
      <c r="G28" s="8">
        <f>Base!Q23</f>
        <v>0.0</v>
      </c>
      <c r="H28" s="8">
        <f>D28-G28</f>
        <v>25000.0</v>
      </c>
      <c r="I28" s="29">
        <f>IF(D28=0,0,G28/D28)</f>
        <v>0.0</v>
      </c>
      <c r="J28" s="7" t="str">
        <f>Base!AH23</f>
        <v>Administración directa</v>
      </c>
      <c r="K28" s="28" t="str">
        <f>Base!I23</f>
        <v>Proyecto de inversión</v>
      </c>
      <c r="L28" s="8">
        <f>Base!AA23</f>
        <v>539829.0</v>
      </c>
      <c r="M28" s="8">
        <f>Base!AB23</f>
        <v>504509.0</v>
      </c>
      <c r="N28" s="8">
        <f>Base!AC23</f>
        <v>0</v>
      </c>
      <c r="O28" s="8">
        <f>Base!AD23</f>
        <v>0</v>
      </c>
      <c r="P28" s="7">
        <f>IF(Base!AI23="","",Base!AI23)</f>
        <v/>
      </c>
      <c r="Q28" s="28" t="str">
        <f>Base!J23</f>
        <v>No mover</v>
      </c>
      <c r="R28" s="29">
        <f>Base!X23</f>
        <v>0.9560020559028226</v>
      </c>
      <c r="S28" s="8">
        <f>Base!K23</f>
        <v>0.0</v>
      </c>
      <c r="T28" s="7" t="str">
        <f>Base!M23</f>
        <v>Avance financiero acumulado 96% (&gt; 90%)</v>
      </c>
    </row>
    <row r="29" spans="1:20">
      <c r="A29" s="28">
        <f>SUBTOTAL(103,$B$6:B29)</f>
        <v>20</v>
      </c>
      <c r="B29" s="28">
        <v>484</v>
      </c>
      <c r="C29" s="7" t="s">
        <v>187</v>
      </c>
      <c r="D29" s="8">
        <f>Base!N24</f>
        <v>23560.0</v>
      </c>
      <c r="E29" s="8">
        <f>Base!O24</f>
        <v>22650.0</v>
      </c>
      <c r="F29" s="8">
        <f>D29-E29</f>
        <v>910.0</v>
      </c>
      <c r="G29" s="8">
        <f>Base!Q24</f>
        <v>14282.09</v>
      </c>
      <c r="H29" s="8">
        <f>D29-G29</f>
        <v>9277.91</v>
      </c>
      <c r="I29" s="29">
        <f>IF(D29=0,0,G29/D29)</f>
        <v>0.6062007640067911</v>
      </c>
      <c r="J29" s="7" t="str">
        <f>Base!AH24</f>
        <v>Contrata / Personal/bienes/servicios</v>
      </c>
      <c r="K29" s="28" t="str">
        <f>Base!I24</f>
        <v>IOARR</v>
      </c>
      <c r="L29" s="8">
        <f>Base!AA24</f>
        <v>23560.0</v>
      </c>
      <c r="M29" s="8">
        <f>Base!AB24</f>
        <v>27080.0</v>
      </c>
      <c r="N29" s="8">
        <f>Base!AC24</f>
        <v>0</v>
      </c>
      <c r="O29" s="8">
        <f>Base!AD24</f>
        <v>0</v>
      </c>
      <c r="P29" s="7">
        <f>IF(Base!AI24="","",Base!AI24)</f>
        <v/>
      </c>
      <c r="Q29" s="28" t="str">
        <f>Base!J24</f>
        <v>No mover</v>
      </c>
      <c r="R29" s="29">
        <f>Base!X24</f>
        <v>0.9901659553568566</v>
      </c>
      <c r="S29" s="8">
        <f>Base!K24</f>
        <v>0.0</v>
      </c>
      <c r="T29" s="7" t="str">
        <f>Base!M24</f>
        <v>Avance financiero acumulado 99% (&gt; 90%)</v>
      </c>
    </row>
    <row r="30" spans="1:20">
      <c r="A30" s="28">
        <f>SUBTOTAL(103,$B$6:B30)</f>
        <v>21</v>
      </c>
      <c r="B30" s="28">
        <v>453</v>
      </c>
      <c r="C30" s="7" t="s">
        <v>193</v>
      </c>
      <c r="D30" s="8">
        <f>Base!N25</f>
        <v>17714.0</v>
      </c>
      <c r="E30" s="8">
        <f>Base!O25</f>
        <v>14228.68</v>
      </c>
      <c r="F30" s="8">
        <f>D30-E30</f>
        <v>3485.3199999999997</v>
      </c>
      <c r="G30" s="8">
        <f>Base!Q25</f>
        <v>9749.8</v>
      </c>
      <c r="H30" s="8">
        <f>D30-G30</f>
        <v>7964.200000000001</v>
      </c>
      <c r="I30" s="29">
        <f>IF(D30=0,0,G30/D30)</f>
        <v>0.5504008129163374</v>
      </c>
      <c r="J30" s="7" t="str">
        <f>Base!AH25</f>
        <v>Contrata / Administración directa / Personal/bienes/servicios</v>
      </c>
      <c r="K30" s="28" t="str">
        <f>Base!I25</f>
        <v>Proyecto de inversión</v>
      </c>
      <c r="L30" s="8">
        <f>Base!AA25</f>
        <v>13915.0</v>
      </c>
      <c r="M30" s="8">
        <f>Base!AB25</f>
        <v>0</v>
      </c>
      <c r="N30" s="8">
        <f>Base!AC25</f>
        <v>0</v>
      </c>
      <c r="O30" s="8">
        <f>Base!AD25</f>
        <v>0</v>
      </c>
      <c r="P30" s="7">
        <f>IF(Base!AI25="","",Base!AI25)</f>
        <v/>
      </c>
      <c r="Q30" s="28" t="str">
        <f>Base!J25</f>
        <v>No mover</v>
      </c>
      <c r="R30" s="29">
        <f>Base!X25</f>
        <v>0.9901434620813933</v>
      </c>
      <c r="S30" s="8">
        <f>Base!K25</f>
        <v>0.0</v>
      </c>
      <c r="T30" s="7" t="str">
        <f>Base!M25</f>
        <v>Avance financiero acumulado 99% (&gt; 90%)</v>
      </c>
    </row>
    <row r="31" spans="1:20">
      <c r="A31" s="28">
        <f>SUBTOTAL(103,$B$6:B31)</f>
        <v>22</v>
      </c>
      <c r="B31" s="28">
        <v>24</v>
      </c>
      <c r="C31" s="7" t="s">
        <v>197</v>
      </c>
      <c r="D31" s="8">
        <f>Base!N26</f>
        <v>0.0</v>
      </c>
      <c r="E31" s="8">
        <f>Base!O26</f>
        <v>0.0</v>
      </c>
      <c r="F31" s="8">
        <f>D31-E31</f>
        <v>0.0</v>
      </c>
      <c r="G31" s="8">
        <f>Base!Q26</f>
        <v>0.0</v>
      </c>
      <c r="H31" s="8">
        <f>D31-G31</f>
        <v>0.0</v>
      </c>
      <c r="I31" s="29">
        <f>IF(D31=0,0,G31/D31)</f>
        <v>0</v>
      </c>
      <c r="J31" s="7" t="str">
        <f>Base!AH26</f>
        <v>Contrata</v>
      </c>
      <c r="K31" s="28" t="str">
        <f>Base!I26</f>
        <v>Proyecto de inversión</v>
      </c>
      <c r="L31" s="8" t="str">
        <f>Base!AA26</f>
        <v>No registrado en cartera</v>
      </c>
      <c r="M31" s="8" t="str">
        <f>Base!AB26</f>
        <v>No registrado en cartera</v>
      </c>
      <c r="N31" s="8" t="str">
        <f>Base!AC26</f>
        <v>No registrado en cartera</v>
      </c>
      <c r="O31" s="8" t="str">
        <f>Base!AD26</f>
        <v>No registrado en cartera</v>
      </c>
      <c r="P31" s="7">
        <f>IF(Base!AI26="","",Base!AI26)</f>
        <v/>
      </c>
      <c r="Q31" s="28" t="str">
        <f>Base!J26</f>
        <v>Sin PIM</v>
      </c>
      <c r="R31" s="29">
        <f>Base!X26</f>
        <v>0.9939653814731554</v>
      </c>
      <c r="S31" s="8">
        <f>Base!K26</f>
        <v>0.0</v>
      </c>
      <c r="T31" s="7" t="str">
        <f>Base!M26</f>
        <v>PIM igual a 0</v>
      </c>
    </row>
    <row r="32" spans="1:20">
      <c r="A32" s="28">
        <f>SUBTOTAL(103,$B$6:B32)</f>
        <v>23</v>
      </c>
      <c r="B32" s="28">
        <v>168</v>
      </c>
      <c r="C32" s="7" t="s">
        <v>201</v>
      </c>
      <c r="D32" s="8">
        <f>Base!N27</f>
        <v>728529.0</v>
      </c>
      <c r="E32" s="8">
        <f>Base!O27</f>
        <v>0.0</v>
      </c>
      <c r="F32" s="8">
        <f>D32-E32</f>
        <v>728529.0</v>
      </c>
      <c r="G32" s="8">
        <f>Base!Q27</f>
        <v>0.0</v>
      </c>
      <c r="H32" s="8">
        <f>D32-G32</f>
        <v>728529.0</v>
      </c>
      <c r="I32" s="29">
        <f>IF(D32=0,0,G32/D32)</f>
        <v>0.0</v>
      </c>
      <c r="J32" s="7" t="str">
        <f>Base!AH27</f>
        <v>Administración directa / Contrata / Equipamiento / Personal/bienes/servicios</v>
      </c>
      <c r="K32" s="28" t="str">
        <f>Base!I27</f>
        <v>Proyecto de inversión</v>
      </c>
      <c r="L32" s="8">
        <f>Base!AA27</f>
        <v>699403.0</v>
      </c>
      <c r="M32" s="8">
        <f>Base!AB27</f>
        <v>0</v>
      </c>
      <c r="N32" s="8">
        <f>Base!AC27</f>
        <v>0</v>
      </c>
      <c r="O32" s="8">
        <f>Base!AD27</f>
        <v>0</v>
      </c>
      <c r="P32" s="7">
        <f>IF(Base!AI27="","",Base!AI27)</f>
        <v/>
      </c>
      <c r="Q32" s="28" t="str">
        <f>Base!J27</f>
        <v>Sin saldo útil</v>
      </c>
      <c r="R32" s="29">
        <f>Base!X27</f>
        <v>0.07475548018599101</v>
      </c>
      <c r="S32" s="8">
        <f>Base!K27</f>
        <v>0.0</v>
      </c>
      <c r="T32" s="7" t="str">
        <f>Base!M27</f>
        <v>Saldo libre menor a S/ 10,000</v>
      </c>
    </row>
    <row r="33" spans="1:20">
      <c r="A33" s="28">
        <f>SUBTOTAL(103,$B$6:B33)</f>
        <v>24</v>
      </c>
      <c r="B33" s="28">
        <v>464</v>
      </c>
      <c r="C33" s="7" t="s">
        <v>207</v>
      </c>
      <c r="D33" s="8">
        <f>Base!N28</f>
        <v>40621.0</v>
      </c>
      <c r="E33" s="8">
        <f>Base!O28</f>
        <v>28914.4</v>
      </c>
      <c r="F33" s="8">
        <f>D33-E33</f>
        <v>11706.599999999999</v>
      </c>
      <c r="G33" s="8">
        <f>Base!Q28</f>
        <v>27953.93</v>
      </c>
      <c r="H33" s="8">
        <f>D33-G33</f>
        <v>12667.07</v>
      </c>
      <c r="I33" s="29">
        <f>IF(D33=0,0,G33/D33)</f>
        <v>0.6881644961965486</v>
      </c>
      <c r="J33" s="7" t="str">
        <f>Base!AH28</f>
        <v>Contrata / Personal/bienes/servicios / Laudos arbitrales</v>
      </c>
      <c r="K33" s="28" t="str">
        <f>Base!I28</f>
        <v>Proyecto de inversión</v>
      </c>
      <c r="L33" s="8">
        <f>Base!AA28</f>
        <v>2455.0</v>
      </c>
      <c r="M33" s="8">
        <f>Base!AB28</f>
        <v>0</v>
      </c>
      <c r="N33" s="8">
        <f>Base!AC28</f>
        <v>0</v>
      </c>
      <c r="O33" s="8">
        <f>Base!AD28</f>
        <v>0</v>
      </c>
      <c r="P33" s="7">
        <f>IF(Base!AI28="","",Base!AI28)</f>
        <v/>
      </c>
      <c r="Q33" s="28" t="str">
        <f>Base!J28</f>
        <v>No mover</v>
      </c>
      <c r="R33" s="29">
        <f>Base!X28</f>
        <v>0.9659492560184535</v>
      </c>
      <c r="S33" s="8">
        <f>Base!K28</f>
        <v>0.0</v>
      </c>
      <c r="T33" s="7" t="str">
        <f>Base!M28</f>
        <v>Avance financiero acumulado 97% (&gt; 90%)</v>
      </c>
    </row>
    <row r="34" spans="1:20">
      <c r="A34" s="28">
        <f>SUBTOTAL(103,$B$6:B34)</f>
        <v>25</v>
      </c>
      <c r="B34" s="28">
        <v>169</v>
      </c>
      <c r="C34" s="7" t="s">
        <v>212</v>
      </c>
      <c r="D34" s="8">
        <f>Base!N29</f>
        <v>0.0</v>
      </c>
      <c r="E34" s="8">
        <f>Base!O29</f>
        <v>0.0</v>
      </c>
      <c r="F34" s="8">
        <f>D34-E34</f>
        <v>0.0</v>
      </c>
      <c r="G34" s="8">
        <f>Base!Q29</f>
        <v>0.0</v>
      </c>
      <c r="H34" s="8">
        <f>D34-G34</f>
        <v>0.0</v>
      </c>
      <c r="I34" s="29">
        <f>IF(D34=0,0,G34/D34)</f>
        <v>0</v>
      </c>
      <c r="J34" s="7" t="str">
        <f>Base!AH29</f>
        <v>Contrata</v>
      </c>
      <c r="K34" s="28" t="str">
        <f>Base!I29</f>
        <v>Proyecto de inversión</v>
      </c>
      <c r="L34" s="8">
        <f>Base!AA29</f>
        <v>2878733.0</v>
      </c>
      <c r="M34" s="8">
        <f>Base!AB29</f>
        <v>0</v>
      </c>
      <c r="N34" s="8">
        <f>Base!AC29</f>
        <v>0</v>
      </c>
      <c r="O34" s="8">
        <f>Base!AD29</f>
        <v>0</v>
      </c>
      <c r="P34" s="7">
        <f>IF(Base!AI29="","",Base!AI29)</f>
        <v/>
      </c>
      <c r="Q34" s="28" t="str">
        <f>Base!J29</f>
        <v>Sin PIM</v>
      </c>
      <c r="R34" s="29">
        <f>Base!X29</f>
        <v>0.05699926613940548</v>
      </c>
      <c r="S34" s="8">
        <f>Base!K29</f>
        <v>0.0</v>
      </c>
      <c r="T34" s="7" t="str">
        <f>Base!M29</f>
        <v>PIM igual a 0</v>
      </c>
    </row>
    <row r="35" spans="1:20">
      <c r="A35" s="28">
        <f>SUBTOTAL(103,$B$6:B35)</f>
        <v>26</v>
      </c>
      <c r="B35" s="28">
        <v>27</v>
      </c>
      <c r="C35" s="7" t="s">
        <v>180</v>
      </c>
      <c r="D35" s="8">
        <f>Base!N30</f>
        <v>855386.0</v>
      </c>
      <c r="E35" s="8">
        <f>Base!O30</f>
        <v>725859.11</v>
      </c>
      <c r="F35" s="8">
        <f>D35-E35</f>
        <v>129526.89000000001</v>
      </c>
      <c r="G35" s="8">
        <f>Base!Q30</f>
        <v>715665.61</v>
      </c>
      <c r="H35" s="8">
        <f>D35-G35</f>
        <v>139720.39</v>
      </c>
      <c r="I35" s="29">
        <f>IF(D35=0,0,G35/D35)</f>
        <v>0.8366580818484286</v>
      </c>
      <c r="J35" s="7" t="str">
        <f>Base!AH30</f>
        <v>Administración directa / Contrata / Expediente técnico / Equipamiento / Personal/bienes/servicios</v>
      </c>
      <c r="K35" s="28" t="str">
        <f>Base!I30</f>
        <v>Proyecto de inversión</v>
      </c>
      <c r="L35" s="8">
        <f>Base!AA30</f>
        <v>539829.0</v>
      </c>
      <c r="M35" s="8">
        <f>Base!AB30</f>
        <v>504509.0</v>
      </c>
      <c r="N35" s="8">
        <f>Base!AC30</f>
        <v>0</v>
      </c>
      <c r="O35" s="8">
        <f>Base!AD30</f>
        <v>0</v>
      </c>
      <c r="P35" s="7">
        <f>IF(Base!AI30="","",Base!AI30)</f>
        <v/>
      </c>
      <c r="Q35" s="28" t="str">
        <f>Base!J30</f>
        <v>No mover</v>
      </c>
      <c r="R35" s="29">
        <f>Base!X30</f>
        <v>0.9560020559028226</v>
      </c>
      <c r="S35" s="8">
        <f>Base!K30</f>
        <v>0.0</v>
      </c>
      <c r="T35" s="7" t="str">
        <f>Base!M30</f>
        <v>Avance financiero acumulado 96% (&gt; 90%)</v>
      </c>
    </row>
    <row r="36" spans="1:20">
      <c r="A36" s="28">
        <f>SUBTOTAL(103,$B$6:B36)</f>
        <v>27</v>
      </c>
      <c r="B36" s="28">
        <v>22</v>
      </c>
      <c r="C36" s="7" t="s">
        <v>217</v>
      </c>
      <c r="D36" s="8">
        <f>Base!N31</f>
        <v>77590.0</v>
      </c>
      <c r="E36" s="8">
        <f>Base!O31</f>
        <v>76159.18</v>
      </c>
      <c r="F36" s="8">
        <f>D36-E36</f>
        <v>1430.820000000007</v>
      </c>
      <c r="G36" s="8">
        <f>Base!Q31</f>
        <v>76159.18</v>
      </c>
      <c r="H36" s="8">
        <f>D36-G36</f>
        <v>1430.820000000007</v>
      </c>
      <c r="I36" s="29">
        <f>IF(D36=0,0,G36/D36)</f>
        <v>0.9815592215491686</v>
      </c>
      <c r="J36" s="7" t="str">
        <f>Base!AH31</f>
        <v>Contrata / Personal/bienes/servicios</v>
      </c>
      <c r="K36" s="28" t="str">
        <f>Base!I31</f>
        <v>Proyecto de inversión</v>
      </c>
      <c r="L36" s="8">
        <f>Base!AA31</f>
        <v>357505.0</v>
      </c>
      <c r="M36" s="8">
        <f>Base!AB31</f>
        <v>0</v>
      </c>
      <c r="N36" s="8">
        <f>Base!AC31</f>
        <v>0</v>
      </c>
      <c r="O36" s="8">
        <f>Base!AD31</f>
        <v>344884.0</v>
      </c>
      <c r="P36" s="7">
        <f>IF(Base!AI31="","",Base!AI31)</f>
        <v/>
      </c>
      <c r="Q36" s="28" t="str">
        <f>Base!J31</f>
        <v>No mover</v>
      </c>
      <c r="R36" s="29">
        <f>Base!X31</f>
        <v>0.9841737024271873</v>
      </c>
      <c r="S36" s="8">
        <f>Base!K31</f>
        <v>0.0</v>
      </c>
      <c r="T36" s="7" t="str">
        <f>Base!M31</f>
        <v>Devengado 2026 ≥ 90% del PIM</v>
      </c>
    </row>
    <row r="37" spans="1:20">
      <c r="A37" s="28">
        <f>SUBTOTAL(103,$B$6:B37)</f>
        <v>28</v>
      </c>
      <c r="B37" s="28">
        <v>37</v>
      </c>
      <c r="C37" s="7" t="s">
        <v>220</v>
      </c>
      <c r="D37" s="8">
        <f>Base!N32</f>
        <v>50132.0</v>
      </c>
      <c r="E37" s="8">
        <f>Base!O32</f>
        <v>47450.05</v>
      </c>
      <c r="F37" s="8">
        <f>D37-E37</f>
        <v>2681.949999999997</v>
      </c>
      <c r="G37" s="8">
        <f>Base!Q32</f>
        <v>47450.05</v>
      </c>
      <c r="H37" s="8">
        <f>D37-G37</f>
        <v>2681.949999999997</v>
      </c>
      <c r="I37" s="29">
        <f>IF(D37=0,0,G37/D37)</f>
        <v>0.9465022341019709</v>
      </c>
      <c r="J37" s="7" t="str">
        <f>Base!AH32</f>
        <v>Contrata</v>
      </c>
      <c r="K37" s="28" t="str">
        <f>Base!I32</f>
        <v>Proyecto de inversión</v>
      </c>
      <c r="L37" s="8">
        <f>Base!AA32</f>
        <v>175369.0</v>
      </c>
      <c r="M37" s="8">
        <f>Base!AB32</f>
        <v>79091.0</v>
      </c>
      <c r="N37" s="8">
        <f>Base!AC32</f>
        <v>583672.0</v>
      </c>
      <c r="O37" s="8">
        <f>Base!AD32</f>
        <v>0</v>
      </c>
      <c r="P37" s="7">
        <f>IF(Base!AI32="","",Base!AI32)</f>
        <v/>
      </c>
      <c r="Q37" s="28" t="str">
        <f>Base!J32</f>
        <v>No mover</v>
      </c>
      <c r="R37" s="29">
        <f>Base!X32</f>
        <v>0.9714461939532862</v>
      </c>
      <c r="S37" s="8">
        <f>Base!K32</f>
        <v>0.0</v>
      </c>
      <c r="T37" s="7" t="str">
        <f>Base!M32</f>
        <v>Devengado 2026 ≥ 90% del PIM</v>
      </c>
    </row>
    <row r="38" spans="1:20">
      <c r="A38" s="25" t="s">
        <v>221</v>
      </c>
      <c r="B38" s="25"/>
      <c r="C38" s="25"/>
      <c r="D38" s="26">
        <f>SUM(D39:D62)</f>
        <v>87794613.0</v>
      </c>
      <c r="E38" s="26">
        <f>SUM(E39:E62)</f>
        <v>84022839.33999999</v>
      </c>
      <c r="F38" s="26">
        <f>D38-E38</f>
        <v>3771773.6600000113</v>
      </c>
      <c r="G38" s="26">
        <f>SUM(G39:G62)</f>
        <v>50834365.7</v>
      </c>
      <c r="H38" s="26">
        <f>D38-G38</f>
        <v>36960247.3</v>
      </c>
      <c r="I38" s="27">
        <f>IF(D38=0,0,G38/D38)</f>
        <v>0.579014633847751</v>
      </c>
      <c r="J38" s="25"/>
      <c r="K38" s="25"/>
      <c r="L38" s="25"/>
      <c r="M38" s="25"/>
      <c r="N38" s="25"/>
      <c r="O38" s="25"/>
      <c r="P38" s="25"/>
      <c r="Q38" s="25"/>
      <c r="R38" s="25"/>
      <c r="S38" s="26">
        <f>SUM(S39:S62)</f>
        <v>276235.80000000075</v>
      </c>
      <c r="T38" s="25"/>
    </row>
    <row r="39" spans="1:20">
      <c r="A39" s="28">
        <f>SUBTOTAL(103,$B$6:B39)</f>
        <v>29</v>
      </c>
      <c r="B39" s="28">
        <v>95</v>
      </c>
      <c r="C39" s="7" t="s">
        <v>224</v>
      </c>
      <c r="D39" s="8">
        <f>Base!N33</f>
        <v>18401182.0</v>
      </c>
      <c r="E39" s="8">
        <f>Base!O33</f>
        <v>17786617.529999997</v>
      </c>
      <c r="F39" s="8">
        <f>D39-E39</f>
        <v>614564.4700000025</v>
      </c>
      <c r="G39" s="8">
        <f>Base!Q33</f>
        <v>15484259.859999996</v>
      </c>
      <c r="H39" s="8">
        <f>D39-G39</f>
        <v>2916922.1400000043</v>
      </c>
      <c r="I39" s="29">
        <f>IF(D39=0,0,G39/D39)</f>
        <v>0.841481805897034</v>
      </c>
      <c r="J39" s="7" t="str">
        <f>Base!AH33</f>
        <v>Administración directa / Contrata / Personal/bienes/servicios</v>
      </c>
      <c r="K39" s="28" t="str">
        <f>Base!I33</f>
        <v>Proyecto de inversión</v>
      </c>
      <c r="L39" s="8">
        <f>Base!AA33</f>
        <v>9922902.0</v>
      </c>
      <c r="M39" s="8">
        <f>Base!AB33</f>
        <v>180000.0</v>
      </c>
      <c r="N39" s="8">
        <f>Base!AC33</f>
        <v>0</v>
      </c>
      <c r="O39" s="8">
        <f>Base!AD33</f>
        <v>0</v>
      </c>
      <c r="P39" s="7">
        <f>IF(Base!AI33="","",Base!AI33)</f>
        <v/>
      </c>
      <c r="Q39" s="28" t="str">
        <f>Base!J33</f>
        <v>No mover</v>
      </c>
      <c r="R39" s="29">
        <f>Base!X33</f>
        <v>0.9746928056892511</v>
      </c>
      <c r="S39" s="8">
        <f>Base!K33</f>
        <v>0.0</v>
      </c>
      <c r="T39" s="7" t="str">
        <f>Base!M33</f>
        <v>Avance financiero acumulado 97% (&gt; 90%)</v>
      </c>
    </row>
    <row r="40" spans="1:20">
      <c r="A40" s="28">
        <f>SUBTOTAL(103,$B$6:B40)</f>
        <v>30</v>
      </c>
      <c r="B40" s="28">
        <v>98</v>
      </c>
      <c r="C40" s="7" t="s">
        <v>228</v>
      </c>
      <c r="D40" s="8">
        <f>Base!N34</f>
        <v>10002053.0</v>
      </c>
      <c r="E40" s="8">
        <f>Base!O34</f>
        <v>9646351.48</v>
      </c>
      <c r="F40" s="8">
        <f>D40-E40</f>
        <v>355701.51999999955</v>
      </c>
      <c r="G40" s="8">
        <f>Base!Q34</f>
        <v>5473965.0600000005</v>
      </c>
      <c r="H40" s="8">
        <f>D40-G40</f>
        <v>4528087.9399999995</v>
      </c>
      <c r="I40" s="29">
        <f>IF(D40=0,0,G40/D40)</f>
        <v>0.5472841485642999</v>
      </c>
      <c r="J40" s="7" t="str">
        <f>Base!AH34</f>
        <v>Administración directa / Contrata / Personal/bienes/servicios</v>
      </c>
      <c r="K40" s="28" t="str">
        <f>Base!I34</f>
        <v>Proyecto de inversión</v>
      </c>
      <c r="L40" s="8">
        <f>Base!AA34</f>
        <v>4289351.0</v>
      </c>
      <c r="M40" s="8">
        <f>Base!AB34</f>
        <v>500000.0</v>
      </c>
      <c r="N40" s="8">
        <f>Base!AC34</f>
        <v>109570.0</v>
      </c>
      <c r="O40" s="8">
        <f>Base!AD34</f>
        <v>0</v>
      </c>
      <c r="P40" s="7">
        <f>IF(Base!AI34="","",Base!AI34)</f>
        <v/>
      </c>
      <c r="Q40" s="28" t="str">
        <f>Base!J34</f>
        <v>No mover</v>
      </c>
      <c r="R40" s="29">
        <f>Base!X34</f>
        <v>0.9352052296927951</v>
      </c>
      <c r="S40" s="8">
        <f>Base!K34</f>
        <v>0.0</v>
      </c>
      <c r="T40" s="7" t="str">
        <f>Base!M34</f>
        <v>Avance financiero acumulado 94% (&gt; 90%)</v>
      </c>
    </row>
    <row r="41" spans="1:20">
      <c r="A41" s="28">
        <f>SUBTOTAL(103,$B$6:B41)</f>
        <v>31</v>
      </c>
      <c r="B41" s="28">
        <v>112</v>
      </c>
      <c r="C41" s="7" t="s">
        <v>231</v>
      </c>
      <c r="D41" s="8">
        <f>Base!N35</f>
        <v>3297813.0</v>
      </c>
      <c r="E41" s="8">
        <f>Base!O35</f>
        <v>3286650.45</v>
      </c>
      <c r="F41" s="8">
        <f>D41-E41</f>
        <v>11162.549999999814</v>
      </c>
      <c r="G41" s="8">
        <f>Base!Q35</f>
        <v>3269277.2800000003</v>
      </c>
      <c r="H41" s="8">
        <f>D41-G41</f>
        <v>28535.71999999974</v>
      </c>
      <c r="I41" s="29">
        <f>IF(D41=0,0,G41/D41)</f>
        <v>0.9913470775935447</v>
      </c>
      <c r="J41" s="7" t="str">
        <f>Base!AH35</f>
        <v>Administración directa / Contrata</v>
      </c>
      <c r="K41" s="28" t="str">
        <f>Base!I35</f>
        <v>Proyecto de inversión</v>
      </c>
      <c r="L41" s="8">
        <f>Base!AA35</f>
        <v>5406629.0</v>
      </c>
      <c r="M41" s="8">
        <f>Base!AB35</f>
        <v>0</v>
      </c>
      <c r="N41" s="8">
        <f>Base!AC35</f>
        <v>304959.0</v>
      </c>
      <c r="O41" s="8">
        <f>Base!AD35</f>
        <v>0</v>
      </c>
      <c r="P41" s="7">
        <f>IF(Base!AI35="","",Base!AI35)</f>
        <v/>
      </c>
      <c r="Q41" s="28" t="str">
        <f>Base!J35</f>
        <v>No mover</v>
      </c>
      <c r="R41" s="29">
        <f>Base!X35</f>
        <v>1.0068844859610386</v>
      </c>
      <c r="S41" s="8">
        <f>Base!K35</f>
        <v>0.0</v>
      </c>
      <c r="T41" s="7" t="str">
        <f>Base!M35</f>
        <v>Devengado 2026 ≥ 90% del PIM</v>
      </c>
    </row>
    <row r="42" spans="1:20">
      <c r="A42" s="28">
        <f>SUBTOTAL(103,$B$6:B42)</f>
        <v>32</v>
      </c>
      <c r="B42" s="28">
        <v>99</v>
      </c>
      <c r="C42" s="7" t="s">
        <v>235</v>
      </c>
      <c r="D42" s="8">
        <f>Base!N36</f>
        <v>2394023.0</v>
      </c>
      <c r="E42" s="8">
        <f>Base!O36</f>
        <v>2316938.79</v>
      </c>
      <c r="F42" s="8">
        <f>D42-E42</f>
        <v>77084.20999999996</v>
      </c>
      <c r="G42" s="8">
        <f>Base!Q36</f>
        <v>1138698.8399999999</v>
      </c>
      <c r="H42" s="8">
        <f>D42-G42</f>
        <v>1255324.1600000001</v>
      </c>
      <c r="I42" s="29">
        <f>IF(D42=0,0,G42/D42)</f>
        <v>0.47564239775474165</v>
      </c>
      <c r="J42" s="7" t="str">
        <f>Base!AH36</f>
        <v>Administración directa / Contrata / Personal/bienes/servicios</v>
      </c>
      <c r="K42" s="28" t="str">
        <f>Base!I36</f>
        <v>Proyecto de inversión</v>
      </c>
      <c r="L42" s="8">
        <f>Base!AA36</f>
        <v>3545977.0</v>
      </c>
      <c r="M42" s="8">
        <f>Base!AB36</f>
        <v>1000000.0</v>
      </c>
      <c r="N42" s="8">
        <f>Base!AC36</f>
        <v>3651450.0</v>
      </c>
      <c r="O42" s="8">
        <f>Base!AD36</f>
        <v>1489826.0</v>
      </c>
      <c r="P42" s="7">
        <f>IF(Base!AI36="","",Base!AI36)</f>
        <v/>
      </c>
      <c r="Q42" s="28" t="str">
        <f>Base!J36</f>
        <v>Sin saldo útil</v>
      </c>
      <c r="R42" s="29">
        <f>Base!X36</f>
        <v>0.7240846683052994</v>
      </c>
      <c r="S42" s="8">
        <f>Base!K36</f>
        <v>0.0</v>
      </c>
      <c r="T42" s="7" t="str">
        <f>Base!M36</f>
        <v>Saldo libre menor a S/ 10,000</v>
      </c>
    </row>
    <row r="43" spans="1:20">
      <c r="A43" s="28">
        <f>SUBTOTAL(103,$B$6:B43)</f>
        <v>33</v>
      </c>
      <c r="B43" s="28">
        <v>87</v>
      </c>
      <c r="C43" s="7" t="s">
        <v>239</v>
      </c>
      <c r="D43" s="8">
        <f>Base!N37</f>
        <v>1122559.0</v>
      </c>
      <c r="E43" s="8">
        <f>Base!O37</f>
        <v>1117871.0499999998</v>
      </c>
      <c r="F43" s="8">
        <f>D43-E43</f>
        <v>4687.950000000186</v>
      </c>
      <c r="G43" s="8">
        <f>Base!Q37</f>
        <v>1042098.5599999999</v>
      </c>
      <c r="H43" s="8">
        <f>D43-G43</f>
        <v>80460.44000000006</v>
      </c>
      <c r="I43" s="29">
        <f>IF(D43=0,0,G43/D43)</f>
        <v>0.9283240880880202</v>
      </c>
      <c r="J43" s="7" t="str">
        <f>Base!AH37</f>
        <v>Administración directa / Contrata / Personal/bienes/servicios</v>
      </c>
      <c r="K43" s="28" t="str">
        <f>Base!I37</f>
        <v>Proyecto de inversión</v>
      </c>
      <c r="L43" s="8">
        <f>Base!AA37</f>
        <v>1404195.0</v>
      </c>
      <c r="M43" s="8">
        <f>Base!AB37</f>
        <v>324567.0</v>
      </c>
      <c r="N43" s="8">
        <f>Base!AC37</f>
        <v>0</v>
      </c>
      <c r="O43" s="8">
        <f>Base!AD37</f>
        <v>936265.0</v>
      </c>
      <c r="P43" s="7">
        <f>IF(Base!AI37="","",Base!AI37)</f>
        <v/>
      </c>
      <c r="Q43" s="28" t="str">
        <f>Base!J37</f>
        <v>No mover</v>
      </c>
      <c r="R43" s="29">
        <f>Base!X37</f>
        <v>0.8920065102891311</v>
      </c>
      <c r="S43" s="8">
        <f>Base!K37</f>
        <v>0.0</v>
      </c>
      <c r="T43" s="7" t="str">
        <f>Base!M37</f>
        <v>Devengado 2026 ≥ 90% del PIM</v>
      </c>
    </row>
    <row r="44" spans="1:20">
      <c r="A44" s="28">
        <f>SUBTOTAL(103,$B$6:B44)</f>
        <v>34</v>
      </c>
      <c r="B44" s="28">
        <v>92</v>
      </c>
      <c r="C44" s="7" t="s">
        <v>242</v>
      </c>
      <c r="D44" s="8">
        <f>Base!N38</f>
        <v>1202934.0</v>
      </c>
      <c r="E44" s="8">
        <f>Base!O38</f>
        <v>1151623.79</v>
      </c>
      <c r="F44" s="8">
        <f>D44-E44</f>
        <v>51310.20999999996</v>
      </c>
      <c r="G44" s="8">
        <f>Base!Q38</f>
        <v>1105100.42</v>
      </c>
      <c r="H44" s="8">
        <f>D44-G44</f>
        <v>97833.58000000007</v>
      </c>
      <c r="I44" s="29">
        <f>IF(D44=0,0,G44/D44)</f>
        <v>0.9186708663983227</v>
      </c>
      <c r="J44" s="7" t="str">
        <f>Base!AH38</f>
        <v>Administración directa / Contrata / Personal/bienes/servicios</v>
      </c>
      <c r="K44" s="28" t="str">
        <f>Base!I38</f>
        <v>Proyecto de inversión</v>
      </c>
      <c r="L44" s="8">
        <f>Base!AA38</f>
        <v>2596051.0</v>
      </c>
      <c r="M44" s="8">
        <f>Base!AB38</f>
        <v>120000.0</v>
      </c>
      <c r="N44" s="8">
        <f>Base!AC38</f>
        <v>2215461.0</v>
      </c>
      <c r="O44" s="8">
        <f>Base!AD38</f>
        <v>3675255.0</v>
      </c>
      <c r="P44" s="7">
        <f>IF(Base!AI38="","",Base!AI38)</f>
        <v/>
      </c>
      <c r="Q44" s="28" t="str">
        <f>Base!J38</f>
        <v>No mover</v>
      </c>
      <c r="R44" s="29">
        <f>Base!X38</f>
        <v>0.9093492271133594</v>
      </c>
      <c r="S44" s="8">
        <f>Base!K38</f>
        <v>0.0</v>
      </c>
      <c r="T44" s="7" t="str">
        <f>Base!M38</f>
        <v>Devengado 2026 ≥ 90% del PIM</v>
      </c>
    </row>
    <row r="45" spans="1:20">
      <c r="A45" s="28">
        <f>SUBTOTAL(103,$B$6:B45)</f>
        <v>35</v>
      </c>
      <c r="B45" s="28">
        <v>104</v>
      </c>
      <c r="C45" s="7" t="s">
        <v>246</v>
      </c>
      <c r="D45" s="8">
        <f>Base!N39</f>
        <v>167638.0</v>
      </c>
      <c r="E45" s="8">
        <f>Base!O39</f>
        <v>167637.03</v>
      </c>
      <c r="F45" s="8">
        <f>D45-E45</f>
        <v>0.9700000000011642</v>
      </c>
      <c r="G45" s="8">
        <f>Base!Q39</f>
        <v>124800.06999999999</v>
      </c>
      <c r="H45" s="8">
        <f>D45-G45</f>
        <v>42837.93000000001</v>
      </c>
      <c r="I45" s="29">
        <f>IF(D45=0,0,G45/D45)</f>
        <v>0.7444616972285519</v>
      </c>
      <c r="J45" s="7" t="str">
        <f>Base!AH39</f>
        <v>Administración directa</v>
      </c>
      <c r="K45" s="28" t="str">
        <f>Base!I39</f>
        <v>Proyecto de inversión</v>
      </c>
      <c r="L45" s="8">
        <f>Base!AA39</f>
        <v>1200000.0</v>
      </c>
      <c r="M45" s="8">
        <f>Base!AB39</f>
        <v>2500000.0</v>
      </c>
      <c r="N45" s="8">
        <f>Base!AC39</f>
        <v>2882362.0</v>
      </c>
      <c r="O45" s="8">
        <f>Base!AD39</f>
        <v>1526602.0</v>
      </c>
      <c r="P45" s="7">
        <f>IF(Base!AI39="","",Base!AI39)</f>
        <v/>
      </c>
      <c r="Q45" s="28" t="str">
        <f>Base!J39</f>
        <v>Sin saldo útil</v>
      </c>
      <c r="R45" s="29">
        <f>Base!X39</f>
        <v>0.7075065889856154</v>
      </c>
      <c r="S45" s="8">
        <f>Base!K39</f>
        <v>0.0</v>
      </c>
      <c r="T45" s="7" t="str">
        <f>Base!M39</f>
        <v>Saldo libre menor a S/ 10,000</v>
      </c>
    </row>
    <row r="46" spans="1:20">
      <c r="A46" s="28">
        <f>SUBTOTAL(103,$B$6:B46)</f>
        <v>36</v>
      </c>
      <c r="B46" s="28">
        <v>101</v>
      </c>
      <c r="C46" s="7" t="s">
        <v>250</v>
      </c>
      <c r="D46" s="8">
        <f>Base!N40</f>
        <v>844818.0</v>
      </c>
      <c r="E46" s="8">
        <f>Base!O40</f>
        <v>75387.03</v>
      </c>
      <c r="F46" s="8">
        <f>D46-E46</f>
        <v>769430.97</v>
      </c>
      <c r="G46" s="8">
        <f>Base!Q40</f>
        <v>75387.03</v>
      </c>
      <c r="H46" s="8">
        <f>D46-G46</f>
        <v>769430.97</v>
      </c>
      <c r="I46" s="29">
        <f>IF(D46=0,0,G46/D46)</f>
        <v>0.08923463988693422</v>
      </c>
      <c r="J46" s="7" t="str">
        <f>Base!AH40</f>
        <v>Contrata / Laudos arbitrales / Personal/bienes/servicios</v>
      </c>
      <c r="K46" s="28" t="str">
        <f>Base!I40</f>
        <v>Proyecto de inversión</v>
      </c>
      <c r="L46" s="8">
        <f>Base!AA40</f>
        <v>1050000.0</v>
      </c>
      <c r="M46" s="8">
        <f>Base!AB40</f>
        <v>50000.0</v>
      </c>
      <c r="N46" s="8">
        <f>Base!AC40</f>
        <v>1054806.0</v>
      </c>
      <c r="O46" s="8">
        <f>Base!AD40</f>
        <v>0</v>
      </c>
      <c r="P46" s="7">
        <f>IF(Base!AI40="","",Base!AI40)</f>
        <v/>
      </c>
      <c r="Q46" s="28" t="str">
        <f>Base!J40</f>
        <v>Sin saldo útil</v>
      </c>
      <c r="R46" s="29">
        <f>Base!X40</f>
        <v>0.7683310015983279</v>
      </c>
      <c r="S46" s="8">
        <f>Base!K40</f>
        <v>0.0</v>
      </c>
      <c r="T46" s="7" t="str">
        <f>Base!M40</f>
        <v>Saldo libre menor a S/ 10,000</v>
      </c>
    </row>
    <row r="47" spans="1:20">
      <c r="A47" s="28">
        <f>SUBTOTAL(103,$B$6:B47)</f>
        <v>37</v>
      </c>
      <c r="B47" s="28">
        <v>166</v>
      </c>
      <c r="C47" s="7" t="s">
        <v>254</v>
      </c>
      <c r="D47" s="8">
        <f>Base!N41</f>
        <v>0.0</v>
      </c>
      <c r="E47" s="8">
        <f>Base!O41</f>
        <v>0.0</v>
      </c>
      <c r="F47" s="8">
        <f>D47-E47</f>
        <v>0.0</v>
      </c>
      <c r="G47" s="8">
        <f>Base!Q41</f>
        <v>0.0</v>
      </c>
      <c r="H47" s="8">
        <f>D47-G47</f>
        <v>0.0</v>
      </c>
      <c r="I47" s="29">
        <f>IF(D47=0,0,G47/D47)</f>
        <v>0</v>
      </c>
      <c r="J47" s="7" t="str">
        <f>Base!AH41</f>
        <v>Administración directa</v>
      </c>
      <c r="K47" s="28" t="str">
        <f>Base!I41</f>
        <v>Proyecto de inversión</v>
      </c>
      <c r="L47" s="8">
        <f>Base!AA41</f>
        <v>675842.0</v>
      </c>
      <c r="M47" s="8">
        <f>Base!AB41</f>
        <v>110000.0</v>
      </c>
      <c r="N47" s="8">
        <f>Base!AC41</f>
        <v>0</v>
      </c>
      <c r="O47" s="8">
        <f>Base!AD41</f>
        <v>0</v>
      </c>
      <c r="P47" s="7">
        <f>IF(Base!AI41="","",Base!AI41)</f>
        <v/>
      </c>
      <c r="Q47" s="28" t="str">
        <f>Base!J41</f>
        <v>Sin PIM</v>
      </c>
      <c r="R47" s="29">
        <f>Base!X41</f>
        <v>0.9615904785048788</v>
      </c>
      <c r="S47" s="8">
        <f>Base!K41</f>
        <v>0.0</v>
      </c>
      <c r="T47" s="7" t="str">
        <f>Base!M41</f>
        <v>PIM igual a 0</v>
      </c>
    </row>
    <row r="48" spans="1:20">
      <c r="A48" s="28">
        <f>SUBTOTAL(103,$B$6:B48)</f>
        <v>38</v>
      </c>
      <c r="B48" s="28">
        <v>90</v>
      </c>
      <c r="C48" s="7" t="s">
        <v>258</v>
      </c>
      <c r="D48" s="8">
        <f>Base!N42</f>
        <v>459851.0</v>
      </c>
      <c r="E48" s="8">
        <f>Base!O42</f>
        <v>344060.18</v>
      </c>
      <c r="F48" s="8">
        <f>D48-E48</f>
        <v>115790.82</v>
      </c>
      <c r="G48" s="8">
        <f>Base!Q42</f>
        <v>300345.75999999995</v>
      </c>
      <c r="H48" s="8">
        <f>D48-G48</f>
        <v>159505.24000000005</v>
      </c>
      <c r="I48" s="29">
        <f>IF(D48=0,0,G48/D48)</f>
        <v>0.6531371248513105</v>
      </c>
      <c r="J48" s="7" t="str">
        <f>Base!AH42</f>
        <v>Administración directa / Equipamiento</v>
      </c>
      <c r="K48" s="28" t="str">
        <f>Base!I42</f>
        <v>Proyecto de inversión</v>
      </c>
      <c r="L48" s="8">
        <f>Base!AA42</f>
        <v>4800690.0</v>
      </c>
      <c r="M48" s="8">
        <f>Base!AB42</f>
        <v>4000000.0</v>
      </c>
      <c r="N48" s="8">
        <f>Base!AC42</f>
        <v>14883202.0</v>
      </c>
      <c r="O48" s="8">
        <f>Base!AD42</f>
        <v>19038629.0</v>
      </c>
      <c r="P48" s="7">
        <f>IF(Base!AI42="","",Base!AI42)</f>
        <v/>
      </c>
      <c r="Q48" s="28" t="str">
        <f>Base!J42</f>
        <v>Sin saldo útil</v>
      </c>
      <c r="R48" s="29">
        <f>Base!X42</f>
        <v>0.7574851915794794</v>
      </c>
      <c r="S48" s="8">
        <f>Base!K42</f>
        <v>0.0</v>
      </c>
      <c r="T48" s="7" t="str">
        <f>Base!M42</f>
        <v>Saldo libre menor a S/ 10,000</v>
      </c>
    </row>
    <row r="49" spans="1:20">
      <c r="A49" s="28">
        <f>SUBTOTAL(103,$B$6:B49)</f>
        <v>39</v>
      </c>
      <c r="B49" s="28">
        <v>96</v>
      </c>
      <c r="C49" s="7" t="s">
        <v>262</v>
      </c>
      <c r="D49" s="8">
        <f>Base!N43</f>
        <v>91759.0</v>
      </c>
      <c r="E49" s="8">
        <f>Base!O43</f>
        <v>91758.5</v>
      </c>
      <c r="F49" s="8">
        <f>D49-E49</f>
        <v>0.5</v>
      </c>
      <c r="G49" s="8">
        <f>Base!Q43</f>
        <v>82094.58</v>
      </c>
      <c r="H49" s="8">
        <f>D49-G49</f>
        <v>9664.419999999998</v>
      </c>
      <c r="I49" s="29">
        <f>IF(D49=0,0,G49/D49)</f>
        <v>0.8946760535751261</v>
      </c>
      <c r="J49" s="7" t="str">
        <f>Base!AH43</f>
        <v>Contrata / Administración directa / Personal/bienes/servicios</v>
      </c>
      <c r="K49" s="28" t="str">
        <f>Base!I43</f>
        <v>Proyecto de inversión</v>
      </c>
      <c r="L49" s="8">
        <f>Base!AA43</f>
        <v>774665.0</v>
      </c>
      <c r="M49" s="8">
        <f>Base!AB43</f>
        <v>0</v>
      </c>
      <c r="N49" s="8">
        <f>Base!AC43</f>
        <v>707599.0</v>
      </c>
      <c r="O49" s="8">
        <f>Base!AD43</f>
        <v>0</v>
      </c>
      <c r="P49" s="7">
        <f>IF(Base!AI43="","",Base!AI43)</f>
        <v/>
      </c>
      <c r="Q49" s="28" t="str">
        <f>Base!J43</f>
        <v>No mover</v>
      </c>
      <c r="R49" s="29">
        <f>Base!X43</f>
        <v>0.9974145210429282</v>
      </c>
      <c r="S49" s="8">
        <f>Base!K43</f>
        <v>0.0</v>
      </c>
      <c r="T49" s="7" t="str">
        <f>Base!M43</f>
        <v>Avance financiero acumulado 100% (&gt; 90%)</v>
      </c>
    </row>
    <row r="50" spans="1:20">
      <c r="A50" s="28">
        <f>SUBTOTAL(103,$B$6:B50)</f>
        <v>40</v>
      </c>
      <c r="B50" s="28">
        <v>113</v>
      </c>
      <c r="C50" s="7" t="s">
        <v>266</v>
      </c>
      <c r="D50" s="8">
        <f>Base!N44</f>
        <v>104124.0</v>
      </c>
      <c r="E50" s="8">
        <f>Base!O44</f>
        <v>48234.88</v>
      </c>
      <c r="F50" s="8">
        <f>D50-E50</f>
        <v>55889.12</v>
      </c>
      <c r="G50" s="8">
        <f>Base!Q44</f>
        <v>48234.88</v>
      </c>
      <c r="H50" s="8">
        <f>D50-G50</f>
        <v>55889.12</v>
      </c>
      <c r="I50" s="29">
        <f>IF(D50=0,0,G50/D50)</f>
        <v>0.46324459298528675</v>
      </c>
      <c r="J50" s="7" t="str">
        <f>Base!AH44</f>
        <v>Administración directa / Contrata / Personal/bienes/servicios</v>
      </c>
      <c r="K50" s="28" t="str">
        <f>Base!I44</f>
        <v>Proyecto de inversión</v>
      </c>
      <c r="L50" s="8">
        <f>Base!AA44</f>
        <v>228677.0</v>
      </c>
      <c r="M50" s="8">
        <f>Base!AB44</f>
        <v>0</v>
      </c>
      <c r="N50" s="8">
        <f>Base!AC44</f>
        <v>0</v>
      </c>
      <c r="O50" s="8">
        <f>Base!AD44</f>
        <v>865181.0</v>
      </c>
      <c r="P50" s="7">
        <f>IF(Base!AI44="","",Base!AI44)</f>
        <v/>
      </c>
      <c r="Q50" s="28" t="str">
        <f>Base!J44</f>
        <v>No mover</v>
      </c>
      <c r="R50" s="29">
        <f>Base!X44</f>
        <v>0.9544688059149314</v>
      </c>
      <c r="S50" s="8">
        <f>Base!K44</f>
        <v>0.0</v>
      </c>
      <c r="T50" s="7" t="str">
        <f>Base!M44</f>
        <v>Avance financiero acumulado 95% (&gt; 90%)</v>
      </c>
    </row>
    <row r="51" spans="1:20">
      <c r="A51" s="28">
        <f>SUBTOTAL(103,$B$6:B51)</f>
        <v>41</v>
      </c>
      <c r="B51" s="28">
        <v>107</v>
      </c>
      <c r="C51" s="7" t="s">
        <v>271</v>
      </c>
      <c r="D51" s="8">
        <f>Base!N45</f>
        <v>22224878.0</v>
      </c>
      <c r="E51" s="8">
        <f>Base!O45</f>
        <v>21948642.2</v>
      </c>
      <c r="F51" s="8">
        <f>D51-E51</f>
        <v>276235.80000000075</v>
      </c>
      <c r="G51" s="8">
        <f>Base!Q45</f>
        <v>7073509.5600000005</v>
      </c>
      <c r="H51" s="8">
        <f>D51-G51</f>
        <v>15151368.44</v>
      </c>
      <c r="I51" s="29">
        <f>IF(D51=0,0,G51/D51)</f>
        <v>0.31826989376499615</v>
      </c>
      <c r="J51" s="7" t="str">
        <f>Base!AH45</f>
        <v>Contrata / Personal/bienes/servicios / Expediente técnico</v>
      </c>
      <c r="K51" s="28" t="str">
        <f>Base!I45</f>
        <v>Proyecto de inversión</v>
      </c>
      <c r="L51" s="8" t="str">
        <f>Base!AA45</f>
        <v>No registrado en cartera</v>
      </c>
      <c r="M51" s="8" t="str">
        <f>Base!AB45</f>
        <v>No registrado en cartera</v>
      </c>
      <c r="N51" s="8" t="str">
        <f>Base!AC45</f>
        <v>No registrado en cartera</v>
      </c>
      <c r="O51" s="8" t="str">
        <f>Base!AD45</f>
        <v>No registrado en cartera</v>
      </c>
      <c r="P51" s="7">
        <f>IF(Base!AI45="","",Base!AI45)</f>
        <v/>
      </c>
      <c r="Q51" s="28" t="str">
        <f>Base!J45</f>
        <v>Con condiciones</v>
      </c>
      <c r="R51" s="29">
        <f>Base!X45</f>
        <v>0.11025308349294846</v>
      </c>
      <c r="S51" s="8">
        <f>Base!K45</f>
        <v>276235.80000000075</v>
      </c>
      <c r="T51" s="7" t="str">
        <f>Base!M45</f>
        <v>Figura en un PMI (MUNICIPALIDAD PROVINCIAL DE MELGAR) sin monto 2026 en la Cartera del GR: validar con la OPMI</v>
      </c>
    </row>
    <row r="52" spans="1:20">
      <c r="A52" s="28">
        <f>SUBTOTAL(103,$B$6:B52)</f>
        <v>42</v>
      </c>
      <c r="B52" s="28">
        <v>124</v>
      </c>
      <c r="C52" s="7" t="s">
        <v>278</v>
      </c>
      <c r="D52" s="8">
        <f>Base!N46</f>
        <v>11412366.0</v>
      </c>
      <c r="E52" s="8">
        <f>Base!O46</f>
        <v>10997105.229999999</v>
      </c>
      <c r="F52" s="8">
        <f>D52-E52</f>
        <v>415260.7700000014</v>
      </c>
      <c r="G52" s="8">
        <f>Base!Q46</f>
        <v>6860678.420000001</v>
      </c>
      <c r="H52" s="8">
        <f>D52-G52</f>
        <v>4551687.579999999</v>
      </c>
      <c r="I52" s="29">
        <f>IF(D52=0,0,G52/D52)</f>
        <v>0.6011617941450529</v>
      </c>
      <c r="J52" s="7" t="str">
        <f>Base!AH46</f>
        <v>Administración directa / Contrata / Expediente técnico / Personal/bienes/servicios / Equipamiento</v>
      </c>
      <c r="K52" s="28" t="str">
        <f>Base!I46</f>
        <v>Proyecto de inversión</v>
      </c>
      <c r="L52" s="8">
        <f>Base!AA46</f>
        <v>2800000.0</v>
      </c>
      <c r="M52" s="8">
        <f>Base!AB46</f>
        <v>10234564.0</v>
      </c>
      <c r="N52" s="8">
        <f>Base!AC46</f>
        <v>6182303.0</v>
      </c>
      <c r="O52" s="8">
        <f>Base!AD46</f>
        <v>9563936.0</v>
      </c>
      <c r="P52" s="7">
        <f>IF(Base!AI46="","",Base!AI46)</f>
        <v/>
      </c>
      <c r="Q52" s="28" t="str">
        <f>Base!J46</f>
        <v>Sin saldo útil</v>
      </c>
      <c r="R52" s="29">
        <f>Base!X46</f>
        <v>0.22387936165883607</v>
      </c>
      <c r="S52" s="8">
        <f>Base!K46</f>
        <v>0.0</v>
      </c>
      <c r="T52" s="7" t="str">
        <f>Base!M46</f>
        <v>Saldo libre menor a S/ 10,000</v>
      </c>
    </row>
    <row r="53" spans="1:20">
      <c r="A53" s="28">
        <f>SUBTOTAL(103,$B$6:B53)</f>
        <v>43</v>
      </c>
      <c r="B53" s="28">
        <v>116</v>
      </c>
      <c r="C53" s="7" t="s">
        <v>283</v>
      </c>
      <c r="D53" s="8">
        <f>Base!N47</f>
        <v>6736048.0</v>
      </c>
      <c r="E53" s="8">
        <f>Base!O47</f>
        <v>6652871.21</v>
      </c>
      <c r="F53" s="8">
        <f>D53-E53</f>
        <v>83176.79000000004</v>
      </c>
      <c r="G53" s="8">
        <f>Base!Q47</f>
        <v>3336854.35</v>
      </c>
      <c r="H53" s="8">
        <f>D53-G53</f>
        <v>3399193.65</v>
      </c>
      <c r="I53" s="29">
        <f>IF(D53=0,0,G53/D53)</f>
        <v>0.4953727096362734</v>
      </c>
      <c r="J53" s="7" t="str">
        <f>Base!AH47</f>
        <v>Administración directa / Contrata / Expediente técnico / Personal/bienes/servicios</v>
      </c>
      <c r="K53" s="28" t="str">
        <f>Base!I47</f>
        <v>Proyecto de inversión</v>
      </c>
      <c r="L53" s="8">
        <f>Base!AA47</f>
        <v>800000.0</v>
      </c>
      <c r="M53" s="8">
        <f>Base!AB47</f>
        <v>12057170.0</v>
      </c>
      <c r="N53" s="8">
        <f>Base!AC47</f>
        <v>6000000.0</v>
      </c>
      <c r="O53" s="8">
        <f>Base!AD47</f>
        <v>7375100.0</v>
      </c>
      <c r="P53" s="7">
        <f>IF(Base!AI47="","",Base!AI47)</f>
        <v/>
      </c>
      <c r="Q53" s="28" t="str">
        <f>Base!J47</f>
        <v>Sin saldo útil</v>
      </c>
      <c r="R53" s="29">
        <f>Base!X47</f>
        <v>0.05275112179965348</v>
      </c>
      <c r="S53" s="8">
        <f>Base!K47</f>
        <v>0.0</v>
      </c>
      <c r="T53" s="7" t="str">
        <f>Base!M47</f>
        <v>Saldo libre menor a S/ 10,000</v>
      </c>
    </row>
    <row r="54" spans="1:20">
      <c r="A54" s="28">
        <f>SUBTOTAL(103,$B$6:B54)</f>
        <v>44</v>
      </c>
      <c r="B54" s="28">
        <v>123</v>
      </c>
      <c r="C54" s="7" t="s">
        <v>288</v>
      </c>
      <c r="D54" s="8">
        <f>Base!N48</f>
        <v>9037622.0</v>
      </c>
      <c r="E54" s="8">
        <f>Base!O48</f>
        <v>8223972.09</v>
      </c>
      <c r="F54" s="8">
        <f>D54-E54</f>
        <v>813649.9100000001</v>
      </c>
      <c r="G54" s="8">
        <f>Base!Q48</f>
        <v>5290297.699999999</v>
      </c>
      <c r="H54" s="8">
        <f>D54-G54</f>
        <v>3747324.3000000007</v>
      </c>
      <c r="I54" s="29">
        <f>IF(D54=0,0,G54/D54)</f>
        <v>0.585363904354486</v>
      </c>
      <c r="J54" s="7" t="str">
        <f>Base!AH48</f>
        <v>Administración directa / Contrata / Equipamiento / Personal/bienes/servicios / Expediente técnico</v>
      </c>
      <c r="K54" s="28" t="str">
        <f>Base!I48</f>
        <v>Proyecto de inversión</v>
      </c>
      <c r="L54" s="8">
        <f>Base!AA48</f>
        <v>2500000.0</v>
      </c>
      <c r="M54" s="8">
        <f>Base!AB48</f>
        <v>6578987.0</v>
      </c>
      <c r="N54" s="8">
        <f>Base!AC48</f>
        <v>6552040.0</v>
      </c>
      <c r="O54" s="8">
        <f>Base!AD48</f>
        <v>2921013.0</v>
      </c>
      <c r="P54" s="7">
        <f>IF(Base!AI48="","",Base!AI48)</f>
        <v/>
      </c>
      <c r="Q54" s="28" t="str">
        <f>Base!J48</f>
        <v>Sin saldo útil</v>
      </c>
      <c r="R54" s="29">
        <f>Base!X48</f>
        <v>0.23261557277500536</v>
      </c>
      <c r="S54" s="8">
        <f>Base!K48</f>
        <v>0.0</v>
      </c>
      <c r="T54" s="7" t="str">
        <f>Base!M48</f>
        <v>Saldo libre menor a S/ 10,000</v>
      </c>
    </row>
    <row r="55" spans="1:20">
      <c r="A55" s="28">
        <f>SUBTOTAL(103,$B$6:B55)</f>
        <v>45</v>
      </c>
      <c r="B55" s="28">
        <v>94</v>
      </c>
      <c r="C55" s="7" t="s">
        <v>292</v>
      </c>
      <c r="D55" s="8">
        <f>Base!N49</f>
        <v>67139.0</v>
      </c>
      <c r="E55" s="8">
        <f>Base!O49</f>
        <v>0.0</v>
      </c>
      <c r="F55" s="8">
        <f>D55-E55</f>
        <v>67139.0</v>
      </c>
      <c r="G55" s="8">
        <f>Base!Q49</f>
        <v>0.0</v>
      </c>
      <c r="H55" s="8">
        <f>D55-G55</f>
        <v>67139.0</v>
      </c>
      <c r="I55" s="29">
        <f>IF(D55=0,0,G55/D55)</f>
        <v>0.0</v>
      </c>
      <c r="J55" s="7" t="str">
        <f>Base!AH49</f>
        <v>Contrata</v>
      </c>
      <c r="K55" s="28" t="str">
        <f>Base!I49</f>
        <v>Proyecto de inversión</v>
      </c>
      <c r="L55" s="8">
        <f>Base!AA49</f>
        <v>1732548.0</v>
      </c>
      <c r="M55" s="8">
        <f>Base!AB49</f>
        <v>0</v>
      </c>
      <c r="N55" s="8">
        <f>Base!AC49</f>
        <v>2325267.0</v>
      </c>
      <c r="O55" s="8">
        <f>Base!AD49</f>
        <v>0</v>
      </c>
      <c r="P55" s="7">
        <f>IF(Base!AI49="","",Base!AI49)</f>
        <v/>
      </c>
      <c r="Q55" s="28" t="str">
        <f>Base!J49</f>
        <v>No mover</v>
      </c>
      <c r="R55" s="29">
        <f>Base!X49</f>
        <v>0.9792402628349745</v>
      </c>
      <c r="S55" s="8">
        <f>Base!K49</f>
        <v>0.0</v>
      </c>
      <c r="T55" s="7" t="str">
        <f>Base!M49</f>
        <v>Avance financiero acumulado 98% (&gt; 90%)</v>
      </c>
    </row>
    <row r="56" spans="1:20">
      <c r="A56" s="28">
        <f>SUBTOTAL(103,$B$6:B56)</f>
        <v>46</v>
      </c>
      <c r="B56" s="28">
        <v>433</v>
      </c>
      <c r="C56" s="7" t="s">
        <v>295</v>
      </c>
      <c r="D56" s="8">
        <f>Base!N50</f>
        <v>105000.0</v>
      </c>
      <c r="E56" s="8">
        <f>Base!O50</f>
        <v>44312.3</v>
      </c>
      <c r="F56" s="8">
        <f>D56-E56</f>
        <v>60687.7</v>
      </c>
      <c r="G56" s="8">
        <f>Base!Q50</f>
        <v>39935.87</v>
      </c>
      <c r="H56" s="8">
        <f>D56-G56</f>
        <v>65064.13</v>
      </c>
      <c r="I56" s="29">
        <f>IF(D56=0,0,G56/D56)</f>
        <v>0.3803416190476191</v>
      </c>
      <c r="J56" s="7" t="str">
        <f>Base!AH50</f>
        <v>Administración directa / Contrata / Personal/bienes/servicios</v>
      </c>
      <c r="K56" s="28" t="str">
        <f>Base!I50</f>
        <v>Proyecto de inversión</v>
      </c>
      <c r="L56" s="8">
        <f>Base!AA50</f>
        <v>105000.0</v>
      </c>
      <c r="M56" s="8">
        <f>Base!AB50</f>
        <v>0</v>
      </c>
      <c r="N56" s="8">
        <f>Base!AC50</f>
        <v>0</v>
      </c>
      <c r="O56" s="8">
        <f>Base!AD50</f>
        <v>0</v>
      </c>
      <c r="P56" s="7">
        <f>IF(Base!AI50="","",Base!AI50)</f>
        <v/>
      </c>
      <c r="Q56" s="28" t="str">
        <f>Base!J50</f>
        <v>No mover</v>
      </c>
      <c r="R56" s="29">
        <f>Base!X50</f>
        <v>0.9354239624634344</v>
      </c>
      <c r="S56" s="8">
        <f>Base!K50</f>
        <v>0.0</v>
      </c>
      <c r="T56" s="7" t="str">
        <f>Base!M50</f>
        <v>Avance financiero acumulado 94% (&gt; 90%)</v>
      </c>
    </row>
    <row r="57" spans="1:20">
      <c r="A57" s="28">
        <f>SUBTOTAL(103,$B$6:B57)</f>
        <v>47</v>
      </c>
      <c r="B57" s="28">
        <v>508</v>
      </c>
      <c r="C57" s="7" t="s">
        <v>283</v>
      </c>
      <c r="D57" s="8">
        <f>Base!N51</f>
        <v>94054.0</v>
      </c>
      <c r="E57" s="8">
        <f>Base!O51</f>
        <v>94054.0</v>
      </c>
      <c r="F57" s="8">
        <f>D57-E57</f>
        <v>0.0</v>
      </c>
      <c r="G57" s="8">
        <f>Base!Q51</f>
        <v>60075.86</v>
      </c>
      <c r="H57" s="8">
        <f>D57-G57</f>
        <v>33978.14</v>
      </c>
      <c r="I57" s="29">
        <f>IF(D57=0,0,G57/D57)</f>
        <v>0.638737959044804</v>
      </c>
      <c r="J57" s="7" t="str">
        <f>Base!AH51</f>
        <v>Expediente técnico</v>
      </c>
      <c r="K57" s="28" t="str">
        <f>Base!I51</f>
        <v>Proyecto de inversión</v>
      </c>
      <c r="L57" s="8">
        <f>Base!AA51</f>
        <v>800000.0</v>
      </c>
      <c r="M57" s="8">
        <f>Base!AB51</f>
        <v>12057170.0</v>
      </c>
      <c r="N57" s="8">
        <f>Base!AC51</f>
        <v>6000000.0</v>
      </c>
      <c r="O57" s="8">
        <f>Base!AD51</f>
        <v>7375100.0</v>
      </c>
      <c r="P57" s="7">
        <f>IF(Base!AI51="","",Base!AI51)</f>
        <v/>
      </c>
      <c r="Q57" s="28" t="str">
        <f>Base!J51</f>
        <v>Sin saldo útil</v>
      </c>
      <c r="R57" s="29">
        <f>Base!X51</f>
        <v>0.05275112179965348</v>
      </c>
      <c r="S57" s="8">
        <f>Base!K51</f>
        <v>0.0</v>
      </c>
      <c r="T57" s="7" t="str">
        <f>Base!M51</f>
        <v>Saldo libre menor a S/ 10,000</v>
      </c>
    </row>
    <row r="58" spans="1:20">
      <c r="A58" s="28">
        <f>SUBTOTAL(103,$B$6:B58)</f>
        <v>48</v>
      </c>
      <c r="B58" s="28">
        <v>457</v>
      </c>
      <c r="C58" s="7" t="s">
        <v>300</v>
      </c>
      <c r="D58" s="8">
        <f>Base!N52</f>
        <v>28752.0</v>
      </c>
      <c r="E58" s="8">
        <f>Base!O52</f>
        <v>28751.6</v>
      </c>
      <c r="F58" s="8">
        <f>D58-E58</f>
        <v>0.4000000000014552</v>
      </c>
      <c r="G58" s="8">
        <f>Base!Q52</f>
        <v>28751.6</v>
      </c>
      <c r="H58" s="8">
        <f>D58-G58</f>
        <v>0.4000000000014552</v>
      </c>
      <c r="I58" s="29">
        <f>IF(D58=0,0,G58/D58)</f>
        <v>0.9999860879243183</v>
      </c>
      <c r="J58" s="7" t="str">
        <f>Base!AH52</f>
        <v>Administración directa</v>
      </c>
      <c r="K58" s="28" t="str">
        <f>Base!I52</f>
        <v>Proyecto de inversión</v>
      </c>
      <c r="L58" s="8">
        <f>Base!AA52</f>
        <v>28752.0</v>
      </c>
      <c r="M58" s="8">
        <f>Base!AB52</f>
        <v>50000.0</v>
      </c>
      <c r="N58" s="8">
        <f>Base!AC52</f>
        <v>0</v>
      </c>
      <c r="O58" s="8">
        <f>Base!AD52</f>
        <v>0</v>
      </c>
      <c r="P58" s="7">
        <f>IF(Base!AI52="","",Base!AI52)</f>
        <v/>
      </c>
      <c r="Q58" s="28" t="str">
        <f>Base!J52</f>
        <v>No mover</v>
      </c>
      <c r="R58" s="29">
        <f>Base!X52</f>
        <v>0.877664556750616</v>
      </c>
      <c r="S58" s="8">
        <f>Base!K52</f>
        <v>0.0</v>
      </c>
      <c r="T58" s="7" t="str">
        <f>Base!M52</f>
        <v>Devengado 2026 ≥ 90% del PIM</v>
      </c>
    </row>
    <row r="59" spans="1:20">
      <c r="A59" s="28">
        <f>SUBTOTAL(103,$B$6:B59)</f>
        <v>49</v>
      </c>
      <c r="B59" s="28">
        <v>88</v>
      </c>
      <c r="C59" s="7" t="s">
        <v>304</v>
      </c>
      <c r="D59" s="8">
        <f>Base!N53</f>
        <v>0.0</v>
      </c>
      <c r="E59" s="8">
        <f>Base!O53</f>
        <v>0.0</v>
      </c>
      <c r="F59" s="8">
        <f>D59-E59</f>
        <v>0.0</v>
      </c>
      <c r="G59" s="8">
        <f>Base!Q53</f>
        <v>0.0</v>
      </c>
      <c r="H59" s="8">
        <f>D59-G59</f>
        <v>0.0</v>
      </c>
      <c r="I59" s="29">
        <f>IF(D59=0,0,G59/D59)</f>
        <v>0</v>
      </c>
      <c r="J59" s="7" t="str">
        <f>Base!AH53</f>
        <v>Personal/bienes/servicios</v>
      </c>
      <c r="K59" s="28" t="str">
        <f>Base!I53</f>
        <v>Proyecto de inversión</v>
      </c>
      <c r="L59" s="8">
        <f>Base!AA53</f>
        <v>7600000.0</v>
      </c>
      <c r="M59" s="8">
        <f>Base!AB53</f>
        <v>413080.0</v>
      </c>
      <c r="N59" s="8">
        <f>Base!AC53</f>
        <v>1413086.0</v>
      </c>
      <c r="O59" s="8">
        <f>Base!AD53</f>
        <v>5797708.0</v>
      </c>
      <c r="P59" s="7">
        <f>IF(Base!AI53="","",Base!AI53)</f>
        <v/>
      </c>
      <c r="Q59" s="28" t="str">
        <f>Base!J53</f>
        <v>Sin PIM</v>
      </c>
      <c r="R59" s="29">
        <f>Base!X53</f>
        <v>0.9484737793035393</v>
      </c>
      <c r="S59" s="8">
        <f>Base!K53</f>
        <v>0.0</v>
      </c>
      <c r="T59" s="7" t="str">
        <f>Base!M53</f>
        <v>PIM igual a 0</v>
      </c>
    </row>
    <row r="60" spans="1:20">
      <c r="A60" s="28">
        <f>SUBTOTAL(103,$B$6:B60)</f>
        <v>50</v>
      </c>
      <c r="B60" s="28">
        <v>89</v>
      </c>
      <c r="C60" s="7" t="s">
        <v>308</v>
      </c>
      <c r="D60" s="8">
        <f>Base!N54</f>
        <v>0.0</v>
      </c>
      <c r="E60" s="8">
        <f>Base!O54</f>
        <v>0.0</v>
      </c>
      <c r="F60" s="8">
        <f>D60-E60</f>
        <v>0.0</v>
      </c>
      <c r="G60" s="8">
        <f>Base!Q54</f>
        <v>0.0</v>
      </c>
      <c r="H60" s="8">
        <f>D60-G60</f>
        <v>0.0</v>
      </c>
      <c r="I60" s="29">
        <f>IF(D60=0,0,G60/D60)</f>
        <v>0</v>
      </c>
      <c r="J60" s="7" t="str">
        <f>Base!AH54</f>
        <v>Contrata</v>
      </c>
      <c r="K60" s="28" t="str">
        <f>Base!I54</f>
        <v>Proyecto de inversión</v>
      </c>
      <c r="L60" s="8">
        <f>Base!AA54</f>
        <v>3778561.0</v>
      </c>
      <c r="M60" s="8">
        <f>Base!AB54</f>
        <v>0</v>
      </c>
      <c r="N60" s="8">
        <f>Base!AC54</f>
        <v>0</v>
      </c>
      <c r="O60" s="8">
        <f>Base!AD54</f>
        <v>1047863.0</v>
      </c>
      <c r="P60" s="7">
        <f>IF(Base!AI54="","",Base!AI54)</f>
        <v/>
      </c>
      <c r="Q60" s="28" t="str">
        <f>Base!J54</f>
        <v>Sin PIM</v>
      </c>
      <c r="R60" s="29">
        <f>Base!X54</f>
        <v>0.7912803719647993</v>
      </c>
      <c r="S60" s="8">
        <f>Base!K54</f>
        <v>0.0</v>
      </c>
      <c r="T60" s="7" t="str">
        <f>Base!M54</f>
        <v>PIM igual a 0</v>
      </c>
    </row>
    <row r="61" spans="1:20">
      <c r="A61" s="28">
        <f>SUBTOTAL(103,$B$6:B61)</f>
        <v>51</v>
      </c>
      <c r="B61" s="28">
        <v>97</v>
      </c>
      <c r="C61" s="7" t="s">
        <v>311</v>
      </c>
      <c r="D61" s="8">
        <f>Base!N55</f>
        <v>0.0</v>
      </c>
      <c r="E61" s="8">
        <f>Base!O55</f>
        <v>0.0</v>
      </c>
      <c r="F61" s="8">
        <f>D61-E61</f>
        <v>0.0</v>
      </c>
      <c r="G61" s="8">
        <f>Base!Q55</f>
        <v>0.0</v>
      </c>
      <c r="H61" s="8">
        <f>D61-G61</f>
        <v>0.0</v>
      </c>
      <c r="I61" s="29">
        <f>IF(D61=0,0,G61/D61)</f>
        <v>0</v>
      </c>
      <c r="J61" s="7" t="str">
        <f>Base!AH55</f>
        <v>Contrata</v>
      </c>
      <c r="K61" s="28" t="str">
        <f>Base!I55</f>
        <v>Proyecto de inversión</v>
      </c>
      <c r="L61" s="8">
        <f>Base!AA55</f>
        <v>1023926.0</v>
      </c>
      <c r="M61" s="8">
        <f>Base!AB55</f>
        <v>0</v>
      </c>
      <c r="N61" s="8">
        <f>Base!AC55</f>
        <v>0</v>
      </c>
      <c r="O61" s="8">
        <f>Base!AD55</f>
        <v>0</v>
      </c>
      <c r="P61" s="7">
        <f>IF(Base!AI55="","",Base!AI55)</f>
        <v/>
      </c>
      <c r="Q61" s="28" t="str">
        <f>Base!J55</f>
        <v>Sin PIM</v>
      </c>
      <c r="R61" s="29">
        <f>Base!X55</f>
        <v>0.3924019881624029</v>
      </c>
      <c r="S61" s="8">
        <f>Base!K55</f>
        <v>0.0</v>
      </c>
      <c r="T61" s="7" t="str">
        <f>Base!M55</f>
        <v>PIM igual a 0</v>
      </c>
    </row>
    <row r="62" spans="1:20">
      <c r="A62" s="28">
        <f>SUBTOTAL(103,$B$6:B62)</f>
        <v>52</v>
      </c>
      <c r="B62" s="28">
        <v>108</v>
      </c>
      <c r="C62" s="7" t="s">
        <v>317</v>
      </c>
      <c r="D62" s="8">
        <f>Base!N56</f>
        <v>0.0</v>
      </c>
      <c r="E62" s="8">
        <f>Base!O56</f>
        <v>0.0</v>
      </c>
      <c r="F62" s="8">
        <f>D62-E62</f>
        <v>0.0</v>
      </c>
      <c r="G62" s="8">
        <f>Base!Q56</f>
        <v>0.0</v>
      </c>
      <c r="H62" s="8">
        <f>D62-G62</f>
        <v>0.0</v>
      </c>
      <c r="I62" s="29">
        <f>IF(D62=0,0,G62/D62)</f>
        <v>0</v>
      </c>
      <c r="J62" s="7" t="str">
        <f>Base!AH56</f>
        <v>Contrata</v>
      </c>
      <c r="K62" s="28" t="str">
        <f>Base!I56</f>
        <v>Proyecto de inversión</v>
      </c>
      <c r="L62" s="8">
        <f>Base!AA56</f>
        <v>800000.0</v>
      </c>
      <c r="M62" s="8">
        <f>Base!AB56</f>
        <v>2345478.0</v>
      </c>
      <c r="N62" s="8">
        <f>Base!AC56</f>
        <v>9005306.0</v>
      </c>
      <c r="O62" s="8">
        <f>Base!AD56</f>
        <v>19493721.0</v>
      </c>
      <c r="P62" s="7">
        <f>IF(Base!AI56="","",Base!AI56)</f>
        <v/>
      </c>
      <c r="Q62" s="28" t="str">
        <f>Base!J56</f>
        <v>Sin PIM</v>
      </c>
      <c r="R62" s="29">
        <f>Base!X56</f>
        <v>0.03798335018863589</v>
      </c>
      <c r="S62" s="8">
        <f>Base!K56</f>
        <v>0.0</v>
      </c>
      <c r="T62" s="7" t="str">
        <f>Base!M56</f>
        <v>PIM igual a 0</v>
      </c>
    </row>
    <row r="63" spans="1:20">
      <c r="A63" s="25" t="s">
        <v>319</v>
      </c>
      <c r="B63" s="25"/>
      <c r="C63" s="25"/>
      <c r="D63" s="26">
        <f>SUM(D64:D72)</f>
        <v>24086616.0</v>
      </c>
      <c r="E63" s="26">
        <f>SUM(E64:E72)</f>
        <v>20655001.35</v>
      </c>
      <c r="F63" s="26">
        <f>D63-E63</f>
        <v>3431614.6499999985</v>
      </c>
      <c r="G63" s="26">
        <f>SUM(G64:G72)</f>
        <v>5596985.37</v>
      </c>
      <c r="H63" s="26">
        <f>D63-G63</f>
        <v>18489630.63</v>
      </c>
      <c r="I63" s="27">
        <f>IF(D63=0,0,G63/D63)</f>
        <v>0.23236910365490943</v>
      </c>
      <c r="J63" s="25"/>
      <c r="K63" s="25"/>
      <c r="L63" s="25"/>
      <c r="M63" s="25"/>
      <c r="N63" s="25"/>
      <c r="O63" s="25"/>
      <c r="P63" s="25"/>
      <c r="Q63" s="25"/>
      <c r="R63" s="25"/>
      <c r="S63" s="26">
        <f>SUM(S64:S72)</f>
        <v>391405.7823503992</v>
      </c>
      <c r="T63" s="25"/>
    </row>
    <row r="64" spans="1:20">
      <c r="A64" s="28">
        <f>SUBTOTAL(103,$B$6:B64)</f>
        <v>53</v>
      </c>
      <c r="B64" s="28">
        <v>217</v>
      </c>
      <c r="C64" s="7" t="s">
        <v>322</v>
      </c>
      <c r="D64" s="8">
        <f>Base!N57</f>
        <v>5810277.0</v>
      </c>
      <c r="E64" s="8">
        <f>Base!O57</f>
        <v>5204423.6</v>
      </c>
      <c r="F64" s="8">
        <f>D64-E64</f>
        <v>605853.4000000004</v>
      </c>
      <c r="G64" s="8">
        <f>Base!Q57</f>
        <v>1157372.6</v>
      </c>
      <c r="H64" s="8">
        <f>D64-G64</f>
        <v>4652904.4</v>
      </c>
      <c r="I64" s="29">
        <f>IF(D64=0,0,G64/D64)</f>
        <v>0.19919404875189256</v>
      </c>
      <c r="J64" s="7" t="str">
        <f>Base!AH57</f>
        <v>Administración directa / Contrata / Personal/bienes/servicios</v>
      </c>
      <c r="K64" s="28" t="str">
        <f>Base!I57</f>
        <v>Proyecto de inversión</v>
      </c>
      <c r="L64" s="8">
        <f>Base!AA57</f>
        <v>6269000.0</v>
      </c>
      <c r="M64" s="8">
        <f>Base!AB57</f>
        <v>1345765.0</v>
      </c>
      <c r="N64" s="8">
        <f>Base!AC57</f>
        <v>5566267.0</v>
      </c>
      <c r="O64" s="8">
        <f>Base!AD57</f>
        <v>0</v>
      </c>
      <c r="P64" s="7">
        <f>IF(Base!AI57="","",Base!AI57)</f>
        <v/>
      </c>
      <c r="Q64" s="28" t="str">
        <f>Base!J57</f>
        <v>Sin saldo útil</v>
      </c>
      <c r="R64" s="29">
        <f>Base!X57</f>
        <v>0.6748575001931904</v>
      </c>
      <c r="S64" s="8">
        <f>Base!K57</f>
        <v>0.0</v>
      </c>
      <c r="T64" s="7" t="str">
        <f>Base!M57</f>
        <v>Saldo libre menor a S/ 10,000</v>
      </c>
    </row>
    <row r="65" spans="1:20">
      <c r="A65" s="28">
        <f>SUBTOTAL(103,$B$6:B65)</f>
        <v>54</v>
      </c>
      <c r="B65" s="28">
        <v>63</v>
      </c>
      <c r="C65" s="7" t="s">
        <v>325</v>
      </c>
      <c r="D65" s="8">
        <f>Base!N58</f>
        <v>5921783.0</v>
      </c>
      <c r="E65" s="8">
        <f>Base!O58</f>
        <v>5612635.5200000005</v>
      </c>
      <c r="F65" s="8">
        <f>D65-E65</f>
        <v>309147.4799999995</v>
      </c>
      <c r="G65" s="8">
        <f>Base!Q58</f>
        <v>1271806.72</v>
      </c>
      <c r="H65" s="8">
        <f>D65-G65</f>
        <v>4649976.28</v>
      </c>
      <c r="I65" s="29">
        <f>IF(D65=0,0,G65/D65)</f>
        <v>0.21476753200851836</v>
      </c>
      <c r="J65" s="7" t="str">
        <f>Base!AH58</f>
        <v>Administración directa / Equipamiento / Contrata / Laudos arbitrales / Personal/bienes/servicios</v>
      </c>
      <c r="K65" s="28" t="str">
        <f>Base!I58</f>
        <v>Proyecto de inversión</v>
      </c>
      <c r="L65" s="8">
        <f>Base!AA58</f>
        <v>1139986.0</v>
      </c>
      <c r="M65" s="8">
        <f>Base!AB58</f>
        <v>500000.0</v>
      </c>
      <c r="N65" s="8">
        <f>Base!AC58</f>
        <v>3220643.0</v>
      </c>
      <c r="O65" s="8">
        <f>Base!AD58</f>
        <v>0</v>
      </c>
      <c r="P65" s="7">
        <f>IF(Base!AI58="","",Base!AI58)</f>
        <v/>
      </c>
      <c r="Q65" s="28" t="str">
        <f>Base!J58</f>
        <v>Con condiciones</v>
      </c>
      <c r="R65" s="29">
        <f>Base!X58</f>
        <v>0.8465737601023606</v>
      </c>
      <c r="S65" s="8">
        <f>Base!K58</f>
        <v>309147.4799999995</v>
      </c>
      <c r="T65" s="7" t="str">
        <f>Base!M58</f>
        <v>Está programado en el PMI 2026 · Tiene monto en el PMI 2027 (S/ 500,000)</v>
      </c>
    </row>
    <row r="66" spans="1:20">
      <c r="A66" s="28">
        <f>SUBTOTAL(103,$B$6:B66)</f>
        <v>55</v>
      </c>
      <c r="B66" s="28">
        <v>62</v>
      </c>
      <c r="C66" s="7" t="s">
        <v>331</v>
      </c>
      <c r="D66" s="8">
        <f>Base!N59</f>
        <v>1180793.0</v>
      </c>
      <c r="E66" s="8">
        <f>Base!O59</f>
        <v>1110291.73</v>
      </c>
      <c r="F66" s="8">
        <f>D66-E66</f>
        <v>70501.27000000002</v>
      </c>
      <c r="G66" s="8">
        <f>Base!Q59</f>
        <v>1081390.27</v>
      </c>
      <c r="H66" s="8">
        <f>D66-G66</f>
        <v>99402.72999999998</v>
      </c>
      <c r="I66" s="29">
        <f>IF(D66=0,0,G66/D66)</f>
        <v>0.9158169721534596</v>
      </c>
      <c r="J66" s="7" t="str">
        <f>Base!AH59</f>
        <v>Administración directa</v>
      </c>
      <c r="K66" s="28" t="str">
        <f>Base!I59</f>
        <v>Proyecto de inversión</v>
      </c>
      <c r="L66" s="8">
        <f>Base!AA59</f>
        <v>11675669.0</v>
      </c>
      <c r="M66" s="8">
        <f>Base!AB59</f>
        <v>6000000.0</v>
      </c>
      <c r="N66" s="8">
        <f>Base!AC59</f>
        <v>6503691.0</v>
      </c>
      <c r="O66" s="8">
        <f>Base!AD59</f>
        <v>7526858.0</v>
      </c>
      <c r="P66" s="7">
        <f>IF(Base!AI59="","",Base!AI59)</f>
        <v/>
      </c>
      <c r="Q66" s="28" t="str">
        <f>Base!J59</f>
        <v>Con condiciones</v>
      </c>
      <c r="R66" s="29">
        <f>Base!X59</f>
        <v>0.48417508026498685</v>
      </c>
      <c r="S66" s="8">
        <f>Base!K59</f>
        <v>55258.30235039968</v>
      </c>
      <c r="T66" s="7" t="str">
        <f>Base!M59</f>
        <v>Está programado en el PMI 2026 · Tiene monto en el PMI 2027 (S/ 6,000,000)</v>
      </c>
    </row>
    <row r="67" spans="1:20">
      <c r="A67" s="28">
        <f>SUBTOTAL(103,$B$6:B67)</f>
        <v>56</v>
      </c>
      <c r="B67" s="28">
        <v>72</v>
      </c>
      <c r="C67" s="7" t="s">
        <v>336</v>
      </c>
      <c r="D67" s="8">
        <f>Base!N60</f>
        <v>2167000.0</v>
      </c>
      <c r="E67" s="8">
        <f>Base!O60</f>
        <v>1860545.0</v>
      </c>
      <c r="F67" s="8">
        <f>D67-E67</f>
        <v>306455.0</v>
      </c>
      <c r="G67" s="8">
        <f>Base!Q60</f>
        <v>33059.94</v>
      </c>
      <c r="H67" s="8">
        <f>D67-G67</f>
        <v>2133940.06</v>
      </c>
      <c r="I67" s="29">
        <f>IF(D67=0,0,G67/D67)</f>
        <v>0.015256086755883712</v>
      </c>
      <c r="J67" s="7" t="str">
        <f>Base!AH60</f>
        <v>Contrata / Personal/bienes/servicios</v>
      </c>
      <c r="K67" s="28" t="str">
        <f>Base!I60</f>
        <v>IOARR</v>
      </c>
      <c r="L67" s="8">
        <f>Base!AA60</f>
        <v>2000000.0</v>
      </c>
      <c r="M67" s="8">
        <f>Base!AB60</f>
        <v>1547463.0</v>
      </c>
      <c r="N67" s="8">
        <f>Base!AC60</f>
        <v>0</v>
      </c>
      <c r="O67" s="8">
        <f>Base!AD60</f>
        <v>0</v>
      </c>
      <c r="P67" s="7">
        <f>IF(Base!AI60="","",Base!AI60)</f>
        <v/>
      </c>
      <c r="Q67" s="28" t="str">
        <f>Base!J60</f>
        <v>Con condiciones</v>
      </c>
      <c r="R67" s="29">
        <f>Base!X60</f>
        <v>0.03577906961632942</v>
      </c>
      <c r="S67" s="8">
        <f>Base!K60</f>
        <v>27000.0</v>
      </c>
      <c r="T67" s="7" t="str">
        <f>Base!M60</f>
        <v>Está programado en el PMI 2026 · Tiene monto en el PMI 2027 (S/ 1,547,463)</v>
      </c>
    </row>
    <row r="68" spans="1:20">
      <c r="A68" s="28">
        <f>SUBTOTAL(103,$B$6:B68)</f>
        <v>57</v>
      </c>
      <c r="B68" s="28">
        <v>67</v>
      </c>
      <c r="C68" s="7" t="s">
        <v>340</v>
      </c>
      <c r="D68" s="8">
        <f>Base!N61</f>
        <v>2575916.0</v>
      </c>
      <c r="E68" s="8">
        <f>Base!O61</f>
        <v>2503779.0</v>
      </c>
      <c r="F68" s="8">
        <f>D68-E68</f>
        <v>72137.0</v>
      </c>
      <c r="G68" s="8">
        <f>Base!Q61</f>
        <v>23527.19</v>
      </c>
      <c r="H68" s="8">
        <f>D68-G68</f>
        <v>2552388.81</v>
      </c>
      <c r="I68" s="29">
        <f>IF(D68=0,0,G68/D68)</f>
        <v>0.00913352376397367</v>
      </c>
      <c r="J68" s="7" t="str">
        <f>Base!AH61</f>
        <v>Contrata / Personal/bienes/servicios</v>
      </c>
      <c r="K68" s="28" t="str">
        <f>Base!I61</f>
        <v>IOARR</v>
      </c>
      <c r="L68" s="8">
        <f>Base!AA61</f>
        <v>2575916.0</v>
      </c>
      <c r="M68" s="8">
        <f>Base!AB61</f>
        <v>2345678.0</v>
      </c>
      <c r="N68" s="8">
        <f>Base!AC61</f>
        <v>1558799.0</v>
      </c>
      <c r="O68" s="8">
        <f>Base!AD61</f>
        <v>0</v>
      </c>
      <c r="P68" s="7">
        <f>IF(Base!AI61="","",Base!AI61)</f>
        <v/>
      </c>
      <c r="Q68" s="28" t="str">
        <f>Base!J61</f>
        <v>Sin saldo útil</v>
      </c>
      <c r="R68" s="29">
        <f>Base!X61</f>
        <v>0.021922689873264012</v>
      </c>
      <c r="S68" s="8">
        <f>Base!K61</f>
        <v>0.0</v>
      </c>
      <c r="T68" s="7" t="str">
        <f>Base!M61</f>
        <v>Saldo libre menor a S/ 10,000</v>
      </c>
    </row>
    <row r="69" spans="1:20">
      <c r="A69" s="28">
        <f>SUBTOTAL(103,$B$6:B69)</f>
        <v>58</v>
      </c>
      <c r="B69" s="28">
        <v>71</v>
      </c>
      <c r="C69" s="7" t="s">
        <v>343</v>
      </c>
      <c r="D69" s="8">
        <f>Base!N62</f>
        <v>2054253.0</v>
      </c>
      <c r="E69" s="8">
        <f>Base!O62</f>
        <v>1854253.0</v>
      </c>
      <c r="F69" s="8">
        <f>D69-E69</f>
        <v>200000.0</v>
      </c>
      <c r="G69" s="8">
        <f>Base!Q62</f>
        <v>0.0</v>
      </c>
      <c r="H69" s="8">
        <f>D69-G69</f>
        <v>2054253.0</v>
      </c>
      <c r="I69" s="29">
        <f>IF(D69=0,0,G69/D69)</f>
        <v>0.0</v>
      </c>
      <c r="J69" s="7" t="str">
        <f>Base!AH62</f>
        <v>Contrata</v>
      </c>
      <c r="K69" s="28" t="str">
        <f>Base!I62</f>
        <v>IOARR</v>
      </c>
      <c r="L69" s="8">
        <f>Base!AA62</f>
        <v>2054253.0</v>
      </c>
      <c r="M69" s="8">
        <f>Base!AB62</f>
        <v>2546789.0</v>
      </c>
      <c r="N69" s="8">
        <f>Base!AC62</f>
        <v>0</v>
      </c>
      <c r="O69" s="8">
        <f>Base!AD62</f>
        <v>0</v>
      </c>
      <c r="P69" s="7">
        <f>IF(Base!AI62="","",Base!AI62)</f>
        <v/>
      </c>
      <c r="Q69" s="28" t="str">
        <f>Base!J62</f>
        <v>Sin saldo útil</v>
      </c>
      <c r="R69" s="29">
        <f>Base!X62</f>
        <v>0.021490835171154625</v>
      </c>
      <c r="S69" s="8">
        <f>Base!K62</f>
        <v>0.0</v>
      </c>
      <c r="T69" s="7" t="str">
        <f>Base!M62</f>
        <v>Saldo libre menor a S/ 10,000</v>
      </c>
    </row>
    <row r="70" spans="1:20">
      <c r="A70" s="28">
        <f>SUBTOTAL(103,$B$6:B70)</f>
        <v>59</v>
      </c>
      <c r="B70" s="28">
        <v>65</v>
      </c>
      <c r="C70" s="7" t="s">
        <v>346</v>
      </c>
      <c r="D70" s="8">
        <f>Base!N63</f>
        <v>2038388.0</v>
      </c>
      <c r="E70" s="8">
        <f>Base!O63</f>
        <v>2031210.5</v>
      </c>
      <c r="F70" s="8">
        <f>D70-E70</f>
        <v>7177.5</v>
      </c>
      <c r="G70" s="8">
        <f>Base!Q63</f>
        <v>1711781.1199999999</v>
      </c>
      <c r="H70" s="8">
        <f>D70-G70</f>
        <v>326606.8800000001</v>
      </c>
      <c r="I70" s="29">
        <f>IF(D70=0,0,G70/D70)</f>
        <v>0.8397719766796115</v>
      </c>
      <c r="J70" s="7" t="str">
        <f>Base!AH63</f>
        <v>Contrata / Personal/bienes/servicios</v>
      </c>
      <c r="K70" s="28" t="str">
        <f>Base!I63</f>
        <v>IOARR</v>
      </c>
      <c r="L70" s="8">
        <f>Base!AA63</f>
        <v>2028388.0</v>
      </c>
      <c r="M70" s="8">
        <f>Base!AB63</f>
        <v>2258011.0</v>
      </c>
      <c r="N70" s="8">
        <f>Base!AC63</f>
        <v>0</v>
      </c>
      <c r="O70" s="8">
        <f>Base!AD63</f>
        <v>0</v>
      </c>
      <c r="P70" s="7">
        <f>IF(Base!AI63="","",Base!AI63)</f>
        <v/>
      </c>
      <c r="Q70" s="28" t="str">
        <f>Base!J63</f>
        <v>Sin saldo útil</v>
      </c>
      <c r="R70" s="29">
        <f>Base!X63</f>
        <v>0.4152325615731268</v>
      </c>
      <c r="S70" s="8">
        <f>Base!K63</f>
        <v>0.0</v>
      </c>
      <c r="T70" s="7" t="str">
        <f>Base!M63</f>
        <v>Saldo libre menor a S/ 10,000</v>
      </c>
    </row>
    <row r="71" spans="1:20">
      <c r="A71" s="28">
        <f>SUBTOTAL(103,$B$6:B71)</f>
        <v>60</v>
      </c>
      <c r="B71" s="28">
        <v>252</v>
      </c>
      <c r="C71" s="7" t="s">
        <v>349</v>
      </c>
      <c r="D71" s="8">
        <f>Base!N64</f>
        <v>2047936.0</v>
      </c>
      <c r="E71" s="8">
        <f>Base!O64</f>
        <v>377863.0</v>
      </c>
      <c r="F71" s="8">
        <f>D71-E71</f>
        <v>1670073.0</v>
      </c>
      <c r="G71" s="8">
        <f>Base!Q64</f>
        <v>318047.52999999997</v>
      </c>
      <c r="H71" s="8">
        <f>D71-G71</f>
        <v>1729888.47</v>
      </c>
      <c r="I71" s="29">
        <f>IF(D71=0,0,G71/D71)</f>
        <v>0.1553014986796462</v>
      </c>
      <c r="J71" s="7" t="str">
        <f>Base!AH64</f>
        <v>Contrata / Personal/bienes/servicios</v>
      </c>
      <c r="K71" s="28" t="str">
        <f>Base!I64</f>
        <v>IOARR</v>
      </c>
      <c r="L71" s="8">
        <f>Base!AA64</f>
        <v>327863.0</v>
      </c>
      <c r="M71" s="8">
        <f>Base!AB64</f>
        <v>1876545.0</v>
      </c>
      <c r="N71" s="8">
        <f>Base!AC64</f>
        <v>0</v>
      </c>
      <c r="O71" s="8">
        <f>Base!AD64</f>
        <v>0</v>
      </c>
      <c r="P71" s="7">
        <f>IF(Base!AI64="","",Base!AI64)</f>
        <v/>
      </c>
      <c r="Q71" s="28" t="str">
        <f>Base!J64</f>
        <v>Sin saldo útil</v>
      </c>
      <c r="R71" s="29">
        <f>Base!X64</f>
        <v>0.10913882835344761</v>
      </c>
      <c r="S71" s="8">
        <f>Base!K64</f>
        <v>0.0</v>
      </c>
      <c r="T71" s="7" t="str">
        <f>Base!M64</f>
        <v>Saldo libre menor a S/ 10,000</v>
      </c>
    </row>
    <row r="72" spans="1:20">
      <c r="A72" s="28">
        <f>SUBTOTAL(103,$B$6:B72)</f>
        <v>61</v>
      </c>
      <c r="B72" s="28">
        <v>260</v>
      </c>
      <c r="C72" s="7" t="s">
        <v>352</v>
      </c>
      <c r="D72" s="8">
        <f>Base!N65</f>
        <v>290270.0</v>
      </c>
      <c r="E72" s="8">
        <f>Base!O65</f>
        <v>100000.0</v>
      </c>
      <c r="F72" s="8">
        <f>D72-E72</f>
        <v>190270.0</v>
      </c>
      <c r="G72" s="8">
        <f>Base!Q65</f>
        <v>0.0</v>
      </c>
      <c r="H72" s="8">
        <f>D72-G72</f>
        <v>290270.0</v>
      </c>
      <c r="I72" s="29">
        <f>IF(D72=0,0,G72/D72)</f>
        <v>0.0</v>
      </c>
      <c r="J72" s="7" t="str">
        <f>Base!AH65</f>
        <v>Contrata</v>
      </c>
      <c r="K72" s="28" t="str">
        <f>Base!I65</f>
        <v>IOARR</v>
      </c>
      <c r="L72" s="8">
        <f>Base!AA65</f>
        <v>100000.0</v>
      </c>
      <c r="M72" s="8">
        <f>Base!AB65</f>
        <v>2089685.0</v>
      </c>
      <c r="N72" s="8">
        <f>Base!AC65</f>
        <v>3000000.0</v>
      </c>
      <c r="O72" s="8">
        <f>Base!AD65</f>
        <v>11639950.0</v>
      </c>
      <c r="P72" s="7">
        <f>IF(Base!AI65="","",Base!AI65)</f>
        <v/>
      </c>
      <c r="Q72" s="28" t="str">
        <f>Base!J65</f>
        <v>Sin saldo útil</v>
      </c>
      <c r="R72" s="29">
        <f>Base!X65</f>
        <v>0.008043359833967466</v>
      </c>
      <c r="S72" s="8">
        <f>Base!K65</f>
        <v>0.0</v>
      </c>
      <c r="T72" s="7" t="str">
        <f>Base!M65</f>
        <v>Saldo libre menor a S/ 10,000</v>
      </c>
    </row>
    <row r="73" spans="1:20">
      <c r="A73" s="25" t="s">
        <v>353</v>
      </c>
      <c r="B73" s="25"/>
      <c r="C73" s="25"/>
      <c r="D73" s="26">
        <f>SUM(D74:D74)</f>
        <v>7609099.0</v>
      </c>
      <c r="E73" s="26">
        <f>SUM(E74:E74)</f>
        <v>7595390.88</v>
      </c>
      <c r="F73" s="26">
        <f>D73-E73</f>
        <v>13708.120000000112</v>
      </c>
      <c r="G73" s="26">
        <f>SUM(G74:G74)</f>
        <v>7570246.390000001</v>
      </c>
      <c r="H73" s="26">
        <f>D73-G73</f>
        <v>38852.609999999404</v>
      </c>
      <c r="I73" s="27">
        <f>IF(D73=0,0,G73/D73)</f>
        <v>0.9948939276516182</v>
      </c>
      <c r="J73" s="25"/>
      <c r="K73" s="25"/>
      <c r="L73" s="25"/>
      <c r="M73" s="25"/>
      <c r="N73" s="25"/>
      <c r="O73" s="25"/>
      <c r="P73" s="25"/>
      <c r="Q73" s="25"/>
      <c r="R73" s="25"/>
      <c r="S73" s="26">
        <f>SUM(S74:S74)</f>
        <v>0.0</v>
      </c>
      <c r="T73" s="25"/>
    </row>
    <row r="74" spans="1:20">
      <c r="A74" s="28">
        <f>SUBTOTAL(103,$B$6:B74)</f>
        <v>62</v>
      </c>
      <c r="B74" s="28">
        <v>259</v>
      </c>
      <c r="C74" s="7" t="s">
        <v>356</v>
      </c>
      <c r="D74" s="8">
        <f>Base!N66</f>
        <v>7609099.0</v>
      </c>
      <c r="E74" s="8">
        <f>Base!O66</f>
        <v>7595390.88</v>
      </c>
      <c r="F74" s="8">
        <f>D74-E74</f>
        <v>13708.120000000112</v>
      </c>
      <c r="G74" s="8">
        <f>Base!Q66</f>
        <v>7570246.390000001</v>
      </c>
      <c r="H74" s="8">
        <f>D74-G74</f>
        <v>38852.609999999404</v>
      </c>
      <c r="I74" s="29">
        <f>IF(D74=0,0,G74/D74)</f>
        <v>0.9948939276516182</v>
      </c>
      <c r="J74" s="7" t="str">
        <f>Base!AH66</f>
        <v>Equipamiento / Contrata / Personal/bienes/servicios</v>
      </c>
      <c r="K74" s="28" t="str">
        <f>Base!I66</f>
        <v>Proyecto de inversión</v>
      </c>
      <c r="L74" s="8">
        <f>Base!AA66</f>
        <v>6185000.0</v>
      </c>
      <c r="M74" s="8">
        <f>Base!AB66</f>
        <v>1000000.0</v>
      </c>
      <c r="N74" s="8">
        <f>Base!AC66</f>
        <v>0</v>
      </c>
      <c r="O74" s="8">
        <f>Base!AD66</f>
        <v>1000000.0</v>
      </c>
      <c r="P74" s="7">
        <f>IF(Base!AI66="","",Base!AI66)</f>
        <v/>
      </c>
      <c r="Q74" s="28" t="str">
        <f>Base!J66</f>
        <v>No mover</v>
      </c>
      <c r="R74" s="29">
        <f>Base!X66</f>
        <v>0.936488117881133</v>
      </c>
      <c r="S74" s="8">
        <f>Base!K66</f>
        <v>0.0</v>
      </c>
      <c r="T74" s="7" t="str">
        <f>Base!M66</f>
        <v>Devengado 2026 ≥ 90% del PIM</v>
      </c>
    </row>
    <row r="75" spans="1:20">
      <c r="A75" s="25" t="s">
        <v>359</v>
      </c>
      <c r="B75" s="25"/>
      <c r="C75" s="25"/>
      <c r="D75" s="26">
        <f>SUM(D76:D77)</f>
        <v>232742.0</v>
      </c>
      <c r="E75" s="26">
        <f>SUM(E76:E77)</f>
        <v>99007.59</v>
      </c>
      <c r="F75" s="26">
        <f>D75-E75</f>
        <v>133734.41</v>
      </c>
      <c r="G75" s="26">
        <f>SUM(G76:G77)</f>
        <v>96198.77</v>
      </c>
      <c r="H75" s="26">
        <f>D75-G75</f>
        <v>136543.22999999998</v>
      </c>
      <c r="I75" s="27">
        <f>IF(D75=0,0,G75/D75)</f>
        <v>0.41332793393543066</v>
      </c>
      <c r="J75" s="25"/>
      <c r="K75" s="25"/>
      <c r="L75" s="25"/>
      <c r="M75" s="25"/>
      <c r="N75" s="25"/>
      <c r="O75" s="25"/>
      <c r="P75" s="25"/>
      <c r="Q75" s="25"/>
      <c r="R75" s="25"/>
      <c r="S75" s="26">
        <f>SUM(S76:S77)</f>
        <v>0.0</v>
      </c>
      <c r="T75" s="25"/>
    </row>
    <row r="76" spans="1:20">
      <c r="A76" s="28">
        <f>SUBTOTAL(103,$B$6:B76)</f>
        <v>63</v>
      </c>
      <c r="B76" s="28">
        <v>456</v>
      </c>
      <c r="C76" s="7" t="s">
        <v>362</v>
      </c>
      <c r="D76" s="8">
        <f>Base!N67</f>
        <v>99230.0</v>
      </c>
      <c r="E76" s="8">
        <f>Base!O67</f>
        <v>99007.59</v>
      </c>
      <c r="F76" s="8">
        <f>D76-E76</f>
        <v>222.4100000000035</v>
      </c>
      <c r="G76" s="8">
        <f>Base!Q67</f>
        <v>96198.77</v>
      </c>
      <c r="H76" s="8">
        <f>D76-G76</f>
        <v>3031.229999999996</v>
      </c>
      <c r="I76" s="29">
        <f>IF(D76=0,0,G76/D76)</f>
        <v>0.969452484127784</v>
      </c>
      <c r="J76" s="7" t="str">
        <f>Base!AH67</f>
        <v>Administración directa / Contrata / Personal/bienes/servicios</v>
      </c>
      <c r="K76" s="28" t="str">
        <f>Base!I67</f>
        <v>Proyecto de inversión</v>
      </c>
      <c r="L76" s="8">
        <f>Base!AA67</f>
        <v>99230.0</v>
      </c>
      <c r="M76" s="8">
        <f>Base!AB67</f>
        <v>0</v>
      </c>
      <c r="N76" s="8">
        <f>Base!AC67</f>
        <v>0</v>
      </c>
      <c r="O76" s="8">
        <f>Base!AD67</f>
        <v>0</v>
      </c>
      <c r="P76" s="7">
        <f>IF(Base!AI67="","",Base!AI67)</f>
        <v/>
      </c>
      <c r="Q76" s="28" t="str">
        <f>Base!J67</f>
        <v>No mover</v>
      </c>
      <c r="R76" s="29">
        <f>Base!X67</f>
        <v>0.9866382247552</v>
      </c>
      <c r="S76" s="8">
        <f>Base!K67</f>
        <v>0.0</v>
      </c>
      <c r="T76" s="7" t="str">
        <f>Base!M67</f>
        <v>Devengado 2026 ≥ 90% del PIM</v>
      </c>
    </row>
    <row r="77" spans="1:20">
      <c r="A77" s="28">
        <f>SUBTOTAL(103,$B$6:B77)</f>
        <v>64</v>
      </c>
      <c r="B77" s="28">
        <v>458</v>
      </c>
      <c r="C77" s="7" t="s">
        <v>365</v>
      </c>
      <c r="D77" s="8">
        <f>Base!N68</f>
        <v>133512.0</v>
      </c>
      <c r="E77" s="8">
        <f>Base!O68</f>
        <v>0.0</v>
      </c>
      <c r="F77" s="8">
        <f>D77-E77</f>
        <v>133512.0</v>
      </c>
      <c r="G77" s="8">
        <f>Base!Q68</f>
        <v>0.0</v>
      </c>
      <c r="H77" s="8">
        <f>D77-G77</f>
        <v>133512.0</v>
      </c>
      <c r="I77" s="29">
        <f>IF(D77=0,0,G77/D77)</f>
        <v>0.0</v>
      </c>
      <c r="J77" s="7" t="str">
        <f>Base!AH68</f>
        <v>Administración directa</v>
      </c>
      <c r="K77" s="28" t="str">
        <f>Base!I68</f>
        <v>Proyecto de inversión</v>
      </c>
      <c r="L77" s="8" t="str">
        <f>Base!AA68</f>
        <v>No registrado en cartera</v>
      </c>
      <c r="M77" s="8" t="str">
        <f>Base!AB68</f>
        <v>No registrado en cartera</v>
      </c>
      <c r="N77" s="8" t="str">
        <f>Base!AC68</f>
        <v>No registrado en cartera</v>
      </c>
      <c r="O77" s="8" t="str">
        <f>Base!AD68</f>
        <v>No registrado en cartera</v>
      </c>
      <c r="P77" s="7">
        <f>IF(Base!AI68="","",Base!AI68)</f>
        <v/>
      </c>
      <c r="Q77" s="28" t="str">
        <f>Base!J68</f>
        <v>No mover</v>
      </c>
      <c r="R77" s="29">
        <f>Base!X68</f>
        <v>0.9893933361551291</v>
      </c>
      <c r="S77" s="8">
        <f>Base!K68</f>
        <v>0.0</v>
      </c>
      <c r="T77" s="7" t="str">
        <f>Base!M68</f>
        <v>Avance financiero acumulado 99% (&gt; 90%)</v>
      </c>
    </row>
    <row r="78" spans="1:20">
      <c r="A78" s="9" t="s">
        <v>1741</v>
      </c>
      <c r="B78" s="9"/>
      <c r="C78" s="9"/>
      <c r="D78" s="10">
        <f>D79+D86+D107+D118</f>
        <v>267396323.0</v>
      </c>
      <c r="E78" s="10">
        <f>E79+E86+E107+E118</f>
        <v>249563224.77000004</v>
      </c>
      <c r="F78" s="10">
        <f>D78-E78</f>
        <v>17833098.22999996</v>
      </c>
      <c r="G78" s="10">
        <f>G79+G86+G107+G118</f>
        <v>159150411.27000004</v>
      </c>
      <c r="H78" s="10">
        <f>D78-G78</f>
        <v>108245911.72999996</v>
      </c>
      <c r="I78" s="24">
        <f>IF(D78=0,0,G78/D78)</f>
        <v>0.5951854890315752</v>
      </c>
      <c r="J78" s="9"/>
      <c r="K78" s="9"/>
      <c r="L78" s="9"/>
      <c r="M78" s="9"/>
      <c r="N78" s="9"/>
      <c r="O78" s="9"/>
      <c r="P78" s="9"/>
      <c r="Q78" s="9"/>
      <c r="R78" s="9"/>
      <c r="S78" s="10">
        <f>S79+S86+S107+S118</f>
        <v>1903216.209999998</v>
      </c>
      <c r="T78" s="9"/>
    </row>
    <row r="79" spans="1:20">
      <c r="A79" s="25" t="s">
        <v>78</v>
      </c>
      <c r="B79" s="25"/>
      <c r="C79" s="25"/>
      <c r="D79" s="26">
        <f>SUM(D80:D85)</f>
        <v>32634907.0</v>
      </c>
      <c r="E79" s="26">
        <f>SUM(E80:E85)</f>
        <v>31046889.209999997</v>
      </c>
      <c r="F79" s="26">
        <f>D79-E79</f>
        <v>1588017.7900000028</v>
      </c>
      <c r="G79" s="26">
        <f>SUM(G80:G85)</f>
        <v>13051953.639999999</v>
      </c>
      <c r="H79" s="26">
        <f>D79-G79</f>
        <v>19582953.36</v>
      </c>
      <c r="I79" s="27">
        <f>IF(D79=0,0,G79/D79)</f>
        <v>0.3999384352466516</v>
      </c>
      <c r="J79" s="25"/>
      <c r="K79" s="25"/>
      <c r="L79" s="25"/>
      <c r="M79" s="25"/>
      <c r="N79" s="25"/>
      <c r="O79" s="25"/>
      <c r="P79" s="25"/>
      <c r="Q79" s="25"/>
      <c r="R79" s="25"/>
      <c r="S79" s="26">
        <f>SUM(S80:S85)</f>
        <v>828402.6200000001</v>
      </c>
      <c r="T79" s="25"/>
    </row>
    <row r="80" spans="1:20">
      <c r="A80" s="28">
        <f>SUBTOTAL(103,$B$6:B80)</f>
        <v>65</v>
      </c>
      <c r="B80" s="28">
        <v>242</v>
      </c>
      <c r="C80" s="7" t="s">
        <v>370</v>
      </c>
      <c r="D80" s="8">
        <f>Base!N69</f>
        <v>8256172.0</v>
      </c>
      <c r="E80" s="8">
        <f>Base!O69</f>
        <v>7558918.91</v>
      </c>
      <c r="F80" s="8">
        <f>D80-E80</f>
        <v>697253.0899999999</v>
      </c>
      <c r="G80" s="8">
        <f>Base!Q69</f>
        <v>4485721.8100000005</v>
      </c>
      <c r="H80" s="8">
        <f>D80-G80</f>
        <v>3770450.1899999995</v>
      </c>
      <c r="I80" s="29">
        <f>IF(D80=0,0,G80/D80)</f>
        <v>0.5433173884943289</v>
      </c>
      <c r="J80" s="7" t="str">
        <f>Base!AH69</f>
        <v>Administración directa / Equipamiento / Contrata / Personal/bienes/servicios</v>
      </c>
      <c r="K80" s="28" t="str">
        <f>Base!I69</f>
        <v>Proyecto de inversión</v>
      </c>
      <c r="L80" s="8">
        <f>Base!AA69</f>
        <v>9468125.0</v>
      </c>
      <c r="M80" s="8">
        <f>Base!AB69</f>
        <v>933429.0</v>
      </c>
      <c r="N80" s="8">
        <f>Base!AC69</f>
        <v>6042788.0</v>
      </c>
      <c r="O80" s="8">
        <f>Base!AD69</f>
        <v>2500000.0</v>
      </c>
      <c r="P80" s="7">
        <f>IF(Base!AI69="","",Base!AI69)</f>
        <v/>
      </c>
      <c r="Q80" s="28" t="str">
        <f>Base!J69</f>
        <v>Con condiciones</v>
      </c>
      <c r="R80" s="29">
        <f>Base!X69</f>
        <v>0.4596728780466639</v>
      </c>
      <c r="S80" s="8">
        <f>Base!K69</f>
        <v>617941.4299999997</v>
      </c>
      <c r="T80" s="7" t="str">
        <f>Base!M69</f>
        <v>Está programado en el PMI 2026 · Tiene monto en el PMI 2027 (S/ 933,429)</v>
      </c>
    </row>
    <row r="81" spans="1:20">
      <c r="A81" s="28">
        <f>SUBTOTAL(103,$B$6:B81)</f>
        <v>66</v>
      </c>
      <c r="B81" s="28">
        <v>237</v>
      </c>
      <c r="C81" s="7" t="s">
        <v>374</v>
      </c>
      <c r="D81" s="8">
        <f>Base!N70</f>
        <v>7374992.0</v>
      </c>
      <c r="E81" s="8">
        <f>Base!O70</f>
        <v>7374802.0</v>
      </c>
      <c r="F81" s="8">
        <f>D81-E81</f>
        <v>190.0</v>
      </c>
      <c r="G81" s="8">
        <f>Base!Q70</f>
        <v>0.0</v>
      </c>
      <c r="H81" s="8">
        <f>D81-G81</f>
        <v>7374992.0</v>
      </c>
      <c r="I81" s="29">
        <f>IF(D81=0,0,G81/D81)</f>
        <v>0.0</v>
      </c>
      <c r="J81" s="7" t="str">
        <f>Base!AH70</f>
        <v>Contrata</v>
      </c>
      <c r="K81" s="28" t="str">
        <f>Base!I70</f>
        <v>Proyecto de inversión</v>
      </c>
      <c r="L81" s="8">
        <f>Base!AA70</f>
        <v>8000000.0</v>
      </c>
      <c r="M81" s="8">
        <f>Base!AB70</f>
        <v>8258658.0</v>
      </c>
      <c r="N81" s="8">
        <f>Base!AC70</f>
        <v>10741348.0</v>
      </c>
      <c r="O81" s="8">
        <f>Base!AD70</f>
        <v>1075057.0</v>
      </c>
      <c r="P81" s="7">
        <f>IF(Base!AI70="","",Base!AI70)</f>
        <v/>
      </c>
      <c r="Q81" s="28" t="str">
        <f>Base!J70</f>
        <v>Rebajando certificación</v>
      </c>
      <c r="R81" s="29">
        <f>Base!X70</f>
        <v>0.047842836500721894</v>
      </c>
      <c r="S81" s="8">
        <f>Base!K70</f>
        <v>190.0</v>
      </c>
      <c r="T81" s="7" t="str">
        <f>Base!M70</f>
        <v>Sin saldo libre; hay S/ 6,993,828 certificados sin comprometer ni programar en el 12-B (requiere rebajar la certificación)</v>
      </c>
    </row>
    <row r="82" spans="1:20">
      <c r="A82" s="28">
        <f>SUBTOTAL(103,$B$6:B82)</f>
        <v>67</v>
      </c>
      <c r="B82" s="28">
        <v>228</v>
      </c>
      <c r="C82" s="7" t="s">
        <v>379</v>
      </c>
      <c r="D82" s="8">
        <f>Base!N71</f>
        <v>6997430.0</v>
      </c>
      <c r="E82" s="8">
        <f>Base!O71</f>
        <v>6787158.81</v>
      </c>
      <c r="F82" s="8">
        <f>D82-E82</f>
        <v>210271.1900000004</v>
      </c>
      <c r="G82" s="8">
        <f>Base!Q71</f>
        <v>2630352.4200000004</v>
      </c>
      <c r="H82" s="8">
        <f>D82-G82</f>
        <v>4367077.58</v>
      </c>
      <c r="I82" s="29">
        <f>IF(D82=0,0,G82/D82)</f>
        <v>0.375902641398342</v>
      </c>
      <c r="J82" s="7" t="str">
        <f>Base!AH71</f>
        <v>Administración directa / Contrata / Personal/bienes/servicios / Equipamiento</v>
      </c>
      <c r="K82" s="28" t="str">
        <f>Base!I71</f>
        <v>Proyecto de inversión</v>
      </c>
      <c r="L82" s="8">
        <f>Base!AA71</f>
        <v>8000000.0</v>
      </c>
      <c r="M82" s="8">
        <f>Base!AB71</f>
        <v>10256256.0</v>
      </c>
      <c r="N82" s="8">
        <f>Base!AC71</f>
        <v>15069544.0</v>
      </c>
      <c r="O82" s="8">
        <f>Base!AD71</f>
        <v>4478827.0</v>
      </c>
      <c r="P82" s="7">
        <f>IF(Base!AI71="","",Base!AI71)</f>
        <v/>
      </c>
      <c r="Q82" s="28" t="str">
        <f>Base!J71</f>
        <v>Con condiciones</v>
      </c>
      <c r="R82" s="29">
        <f>Base!X71</f>
        <v>0.2048618315928439</v>
      </c>
      <c r="S82" s="8">
        <f>Base!K71</f>
        <v>210271.1900000004</v>
      </c>
      <c r="T82" s="7" t="str">
        <f>Base!M71</f>
        <v>Está programado en el PMI 2026 · Tiene monto en el PMI 2027 (S/ 10,256,256)</v>
      </c>
    </row>
    <row r="83" spans="1:20">
      <c r="A83" s="28">
        <f>SUBTOTAL(103,$B$6:B83)</f>
        <v>68</v>
      </c>
      <c r="B83" s="28">
        <v>241</v>
      </c>
      <c r="C83" s="7" t="s">
        <v>383</v>
      </c>
      <c r="D83" s="8">
        <f>Base!N72</f>
        <v>6688287.0</v>
      </c>
      <c r="E83" s="8">
        <f>Base!O72</f>
        <v>6161937.919999998</v>
      </c>
      <c r="F83" s="8">
        <f>D83-E83</f>
        <v>526349.0800000019</v>
      </c>
      <c r="G83" s="8">
        <f>Base!Q72</f>
        <v>3692512.6999999997</v>
      </c>
      <c r="H83" s="8">
        <f>D83-G83</f>
        <v>2995774.3000000003</v>
      </c>
      <c r="I83" s="29">
        <f>IF(D83=0,0,G83/D83)</f>
        <v>0.5520864610026454</v>
      </c>
      <c r="J83" s="7" t="str">
        <f>Base!AH72</f>
        <v>Administración directa / Equipamiento / Contrata / Personal/bienes/servicios</v>
      </c>
      <c r="K83" s="28" t="str">
        <f>Base!I72</f>
        <v>Proyecto de inversión</v>
      </c>
      <c r="L83" s="8">
        <f>Base!AA72</f>
        <v>2822702.0</v>
      </c>
      <c r="M83" s="8">
        <f>Base!AB72</f>
        <v>65844.0</v>
      </c>
      <c r="N83" s="8">
        <f>Base!AC72</f>
        <v>0</v>
      </c>
      <c r="O83" s="8">
        <f>Base!AD72</f>
        <v>0</v>
      </c>
      <c r="P83" s="7">
        <f>IF(Base!AI72="","",Base!AI72)</f>
        <v/>
      </c>
      <c r="Q83" s="28" t="str">
        <f>Base!J72</f>
        <v>Sin saldo útil</v>
      </c>
      <c r="R83" s="29">
        <f>Base!X72</f>
        <v>0.7428860451571858</v>
      </c>
      <c r="S83" s="8">
        <f>Base!K72</f>
        <v>0.0</v>
      </c>
      <c r="T83" s="7" t="str">
        <f>Base!M72</f>
        <v>Saldo libre menor a S/ 10,000</v>
      </c>
    </row>
    <row r="84" spans="1:20">
      <c r="A84" s="28">
        <f>SUBTOTAL(103,$B$6:B84)</f>
        <v>69</v>
      </c>
      <c r="B84" s="28">
        <v>221</v>
      </c>
      <c r="C84" s="7" t="s">
        <v>387</v>
      </c>
      <c r="D84" s="8">
        <f>Base!N73</f>
        <v>3318026.0</v>
      </c>
      <c r="E84" s="8">
        <f>Base!O73</f>
        <v>3164071.5700000003</v>
      </c>
      <c r="F84" s="8">
        <f>D84-E84</f>
        <v>153954.4299999997</v>
      </c>
      <c r="G84" s="8">
        <f>Base!Q73</f>
        <v>2243366.7099999995</v>
      </c>
      <c r="H84" s="8">
        <f>D84-G84</f>
        <v>1074659.2900000005</v>
      </c>
      <c r="I84" s="29">
        <f>IF(D84=0,0,G84/D84)</f>
        <v>0.6761148676954308</v>
      </c>
      <c r="J84" s="7" t="str">
        <f>Base!AH73</f>
        <v>Administración directa / Equipamiento / Contrata / Expediente técnico / Personal/bienes/servicios</v>
      </c>
      <c r="K84" s="28" t="str">
        <f>Base!I73</f>
        <v>Proyecto de inversión</v>
      </c>
      <c r="L84" s="8">
        <f>Base!AA73</f>
        <v>821892.0</v>
      </c>
      <c r="M84" s="8">
        <f>Base!AB73</f>
        <v>47336.0</v>
      </c>
      <c r="N84" s="8">
        <f>Base!AC73</f>
        <v>0</v>
      </c>
      <c r="O84" s="8">
        <f>Base!AD73</f>
        <v>0</v>
      </c>
      <c r="P84" s="7">
        <f>IF(Base!AI73="","",Base!AI73)</f>
        <v/>
      </c>
      <c r="Q84" s="28" t="str">
        <f>Base!J73</f>
        <v>Sin saldo útil</v>
      </c>
      <c r="R84" s="29">
        <f>Base!X73</f>
        <v>0.7578709372387711</v>
      </c>
      <c r="S84" s="8">
        <f>Base!K73</f>
        <v>0.0</v>
      </c>
      <c r="T84" s="7" t="str">
        <f>Base!M73</f>
        <v>Saldo libre menor a S/ 10,000</v>
      </c>
    </row>
    <row r="85" spans="1:20">
      <c r="A85" s="28">
        <f>SUBTOTAL(103,$B$6:B85)</f>
        <v>70</v>
      </c>
      <c r="B85" s="28">
        <v>235</v>
      </c>
      <c r="C85" s="7" t="s">
        <v>392</v>
      </c>
      <c r="D85" s="8">
        <f>Base!N74</f>
        <v>0.0</v>
      </c>
      <c r="E85" s="8">
        <f>Base!O74</f>
        <v>0.0</v>
      </c>
      <c r="F85" s="8">
        <f>D85-E85</f>
        <v>0.0</v>
      </c>
      <c r="G85" s="8">
        <f>Base!Q74</f>
        <v>0.0</v>
      </c>
      <c r="H85" s="8">
        <f>D85-G85</f>
        <v>0.0</v>
      </c>
      <c r="I85" s="29">
        <f>IF(D85=0,0,G85/D85)</f>
        <v>0</v>
      </c>
      <c r="J85" s="7" t="str">
        <f>Base!AH74</f>
        <v>Contrata</v>
      </c>
      <c r="K85" s="28" t="str">
        <f>Base!I74</f>
        <v>Proyecto de inversión</v>
      </c>
      <c r="L85" s="8">
        <f>Base!AA74</f>
        <v>12571000.0</v>
      </c>
      <c r="M85" s="8">
        <f>Base!AB74</f>
        <v>5987564.0</v>
      </c>
      <c r="N85" s="8">
        <f>Base!AC74</f>
        <v>16094501.0</v>
      </c>
      <c r="O85" s="8">
        <f>Base!AD74</f>
        <v>22576094.0</v>
      </c>
      <c r="P85" s="7">
        <f>IF(Base!AI74="","",Base!AI74)</f>
        <v/>
      </c>
      <c r="Q85" s="28" t="str">
        <f>Base!J74</f>
        <v>Sin PIM</v>
      </c>
      <c r="R85" s="29">
        <f>Base!X74</f>
        <v>0.037605346120990785</v>
      </c>
      <c r="S85" s="8">
        <f>Base!K74</f>
        <v>0.0</v>
      </c>
      <c r="T85" s="7" t="str">
        <f>Base!M74</f>
        <v>PIM igual a 0</v>
      </c>
    </row>
    <row r="86" spans="1:20">
      <c r="A86" s="25" t="s">
        <v>102</v>
      </c>
      <c r="B86" s="25"/>
      <c r="C86" s="25"/>
      <c r="D86" s="26">
        <f>SUM(D87:D106)</f>
        <v>160639248.0</v>
      </c>
      <c r="E86" s="26">
        <f>SUM(E87:E106)</f>
        <v>150254600.31000003</v>
      </c>
      <c r="F86" s="26">
        <f>D86-E86</f>
        <v>10384647.689999968</v>
      </c>
      <c r="G86" s="26">
        <f>SUM(G87:G106)</f>
        <v>104694694.13000004</v>
      </c>
      <c r="H86" s="26">
        <f>D86-G86</f>
        <v>55944553.86999996</v>
      </c>
      <c r="I86" s="27">
        <f>IF(D86=0,0,G86/D86)</f>
        <v>0.6517379496821352</v>
      </c>
      <c r="J86" s="25"/>
      <c r="K86" s="25"/>
      <c r="L86" s="25"/>
      <c r="M86" s="25"/>
      <c r="N86" s="25"/>
      <c r="O86" s="25"/>
      <c r="P86" s="25"/>
      <c r="Q86" s="25"/>
      <c r="R86" s="25"/>
      <c r="S86" s="26">
        <f>SUM(S87:S106)</f>
        <v>1061888.589999998</v>
      </c>
      <c r="T86" s="25"/>
    </row>
    <row r="87" spans="1:20">
      <c r="A87" s="28">
        <f>SUBTOTAL(103,$B$6:B87)</f>
        <v>71</v>
      </c>
      <c r="B87" s="28">
        <v>35</v>
      </c>
      <c r="C87" s="7" t="s">
        <v>395</v>
      </c>
      <c r="D87" s="8">
        <f>Base!N75</f>
        <v>21914154.0</v>
      </c>
      <c r="E87" s="8">
        <f>Base!O75</f>
        <v>21779068.059999995</v>
      </c>
      <c r="F87" s="8">
        <f>D87-E87</f>
        <v>135085.94000000507</v>
      </c>
      <c r="G87" s="8">
        <f>Base!Q75</f>
        <v>15564867.440000003</v>
      </c>
      <c r="H87" s="8">
        <f>D87-G87</f>
        <v>6349286.559999997</v>
      </c>
      <c r="I87" s="29">
        <f>IF(D87=0,0,G87/D87)</f>
        <v>0.710265495076835</v>
      </c>
      <c r="J87" s="7" t="str">
        <f>Base!AH75</f>
        <v>Administración directa / Equipamiento / Contrata / Personal/bienes/servicios / Laudos arbitrales</v>
      </c>
      <c r="K87" s="28" t="str">
        <f>Base!I75</f>
        <v>Proyecto de inversión</v>
      </c>
      <c r="L87" s="8">
        <f>Base!AA75</f>
        <v>11955231.0</v>
      </c>
      <c r="M87" s="8">
        <f>Base!AB75</f>
        <v>2500000.0</v>
      </c>
      <c r="N87" s="8">
        <f>Base!AC75</f>
        <v>3884089.0</v>
      </c>
      <c r="O87" s="8">
        <f>Base!AD75</f>
        <v>0</v>
      </c>
      <c r="P87" s="7">
        <f>IF(Base!AI75="","",Base!AI75)</f>
        <v/>
      </c>
      <c r="Q87" s="28" t="str">
        <f>Base!J75</f>
        <v>Sin saldo útil</v>
      </c>
      <c r="R87" s="29">
        <f>Base!X75</f>
        <v>0.8014815433078317</v>
      </c>
      <c r="S87" s="8">
        <f>Base!K75</f>
        <v>0.0</v>
      </c>
      <c r="T87" s="7" t="str">
        <f>Base!M75</f>
        <v>Saldo libre menor a S/ 10,000</v>
      </c>
    </row>
    <row r="88" spans="1:20">
      <c r="A88" s="28">
        <f>SUBTOTAL(103,$B$6:B88)</f>
        <v>72</v>
      </c>
      <c r="B88" s="28">
        <v>25</v>
      </c>
      <c r="C88" s="7" t="s">
        <v>399</v>
      </c>
      <c r="D88" s="8">
        <f>Base!N76</f>
        <v>22276780.0</v>
      </c>
      <c r="E88" s="8">
        <f>Base!O76</f>
        <v>17932576.21</v>
      </c>
      <c r="F88" s="8">
        <f>D88-E88</f>
        <v>4344203.789999999</v>
      </c>
      <c r="G88" s="8">
        <f>Base!Q76</f>
        <v>15417466.049999997</v>
      </c>
      <c r="H88" s="8">
        <f>D88-G88</f>
        <v>6859313.950000003</v>
      </c>
      <c r="I88" s="29">
        <f>IF(D88=0,0,G88/D88)</f>
        <v>0.6920868298739763</v>
      </c>
      <c r="J88" s="7" t="str">
        <f>Base!AH76</f>
        <v>Administración directa / Contrata / Personal/bienes/servicios / Equipamiento</v>
      </c>
      <c r="K88" s="28" t="str">
        <f>Base!I76</f>
        <v>Proyecto de inversión</v>
      </c>
      <c r="L88" s="8">
        <f>Base!AA76</f>
        <v>15800000.0</v>
      </c>
      <c r="M88" s="8">
        <f>Base!AB76</f>
        <v>14789542.0</v>
      </c>
      <c r="N88" s="8">
        <f>Base!AC76</f>
        <v>15918407.0</v>
      </c>
      <c r="O88" s="8">
        <f>Base!AD76</f>
        <v>10295229.0</v>
      </c>
      <c r="P88" s="7">
        <f>IF(Base!AI76="","",Base!AI76)</f>
        <v/>
      </c>
      <c r="Q88" s="28" t="str">
        <f>Base!J76</f>
        <v>Sin saldo útil</v>
      </c>
      <c r="R88" s="29">
        <f>Base!X76</f>
        <v>0.38846999468717414</v>
      </c>
      <c r="S88" s="8">
        <f>Base!K76</f>
        <v>0.0</v>
      </c>
      <c r="T88" s="7" t="str">
        <f>Base!M76</f>
        <v>Saldo libre menor a S/ 10,000</v>
      </c>
    </row>
    <row r="89" spans="1:20">
      <c r="A89" s="28">
        <f>SUBTOTAL(103,$B$6:B89)</f>
        <v>73</v>
      </c>
      <c r="B89" s="28">
        <v>229</v>
      </c>
      <c r="C89" s="7" t="s">
        <v>402</v>
      </c>
      <c r="D89" s="8">
        <f>Base!N77</f>
        <v>17354707.0</v>
      </c>
      <c r="E89" s="8">
        <f>Base!O77</f>
        <v>17160547.419999994</v>
      </c>
      <c r="F89" s="8">
        <f>D89-E89</f>
        <v>194159.58000000566</v>
      </c>
      <c r="G89" s="8">
        <f>Base!Q77</f>
        <v>8610007.65</v>
      </c>
      <c r="H89" s="8">
        <f>D89-G89</f>
        <v>8744699.35</v>
      </c>
      <c r="I89" s="29">
        <f>IF(D89=0,0,G89/D89)</f>
        <v>0.49611944759424637</v>
      </c>
      <c r="J89" s="7" t="str">
        <f>Base!AH77</f>
        <v>Administración directa / Equipamiento / Contrata / Personal/bienes/servicios</v>
      </c>
      <c r="K89" s="28" t="str">
        <f>Base!I77</f>
        <v>Proyecto de inversión</v>
      </c>
      <c r="L89" s="8">
        <f>Base!AA77</f>
        <v>12500000.0</v>
      </c>
      <c r="M89" s="8">
        <f>Base!AB77</f>
        <v>4806839.0</v>
      </c>
      <c r="N89" s="8">
        <f>Base!AC77</f>
        <v>753613.0</v>
      </c>
      <c r="O89" s="8">
        <f>Base!AD77</f>
        <v>0</v>
      </c>
      <c r="P89" s="7">
        <f>IF(Base!AI77="","",Base!AI77)</f>
        <v/>
      </c>
      <c r="Q89" s="28" t="str">
        <f>Base!J77</f>
        <v>Sin saldo útil</v>
      </c>
      <c r="R89" s="29">
        <f>Base!X77</f>
        <v>0.5962489177161792</v>
      </c>
      <c r="S89" s="8">
        <f>Base!K77</f>
        <v>0.0</v>
      </c>
      <c r="T89" s="7" t="str">
        <f>Base!M77</f>
        <v>Saldo libre menor a S/ 10,000</v>
      </c>
    </row>
    <row r="90" spans="1:20">
      <c r="A90" s="28">
        <f>SUBTOTAL(103,$B$6:B90)</f>
        <v>74</v>
      </c>
      <c r="B90" s="28">
        <v>30</v>
      </c>
      <c r="C90" s="7" t="s">
        <v>405</v>
      </c>
      <c r="D90" s="8">
        <f>Base!N78</f>
        <v>19795501.0</v>
      </c>
      <c r="E90" s="8">
        <f>Base!O78</f>
        <v>19793411.72</v>
      </c>
      <c r="F90" s="8">
        <f>D90-E90</f>
        <v>2089.280000001192</v>
      </c>
      <c r="G90" s="8">
        <f>Base!Q78</f>
        <v>14545766.239999996</v>
      </c>
      <c r="H90" s="8">
        <f>D90-G90</f>
        <v>5249734.7600000035</v>
      </c>
      <c r="I90" s="29">
        <f>IF(D90=0,0,G90/D90)</f>
        <v>0.7348016218432661</v>
      </c>
      <c r="J90" s="7" t="str">
        <f>Base!AH78</f>
        <v>Administración directa / Equipamiento / Contrata / Personal/bienes/servicios</v>
      </c>
      <c r="K90" s="28" t="str">
        <f>Base!I78</f>
        <v>Proyecto de inversión</v>
      </c>
      <c r="L90" s="8">
        <f>Base!AA78</f>
        <v>9609000.0</v>
      </c>
      <c r="M90" s="8">
        <f>Base!AB78</f>
        <v>897867.0</v>
      </c>
      <c r="N90" s="8">
        <f>Base!AC78</f>
        <v>6124874.0</v>
      </c>
      <c r="O90" s="8">
        <f>Base!AD78</f>
        <v>0</v>
      </c>
      <c r="P90" s="7">
        <f>IF(Base!AI78="","",Base!AI78)</f>
        <v/>
      </c>
      <c r="Q90" s="28" t="str">
        <f>Base!J78</f>
        <v>Sin saldo útil</v>
      </c>
      <c r="R90" s="29">
        <f>Base!X78</f>
        <v>0.7720974222058395</v>
      </c>
      <c r="S90" s="8">
        <f>Base!K78</f>
        <v>0.0</v>
      </c>
      <c r="T90" s="7" t="str">
        <f>Base!M78</f>
        <v>Saldo libre menor a S/ 10,000</v>
      </c>
    </row>
    <row r="91" spans="1:20">
      <c r="A91" s="28">
        <f>SUBTOTAL(103,$B$6:B91)</f>
        <v>75</v>
      </c>
      <c r="B91" s="28">
        <v>33</v>
      </c>
      <c r="C91" s="7" t="s">
        <v>408</v>
      </c>
      <c r="D91" s="8">
        <f>Base!N79</f>
        <v>17241964.0</v>
      </c>
      <c r="E91" s="8">
        <f>Base!O79</f>
        <v>17144704.560000002</v>
      </c>
      <c r="F91" s="8">
        <f>D91-E91</f>
        <v>97259.43999999762</v>
      </c>
      <c r="G91" s="8">
        <f>Base!Q79</f>
        <v>11639796.34</v>
      </c>
      <c r="H91" s="8">
        <f>D91-G91</f>
        <v>5602167.66</v>
      </c>
      <c r="I91" s="29">
        <f>IF(D91=0,0,G91/D91)</f>
        <v>0.6750852942275022</v>
      </c>
      <c r="J91" s="7" t="str">
        <f>Base!AH79</f>
        <v>Administración directa / Contrata / Personal/bienes/servicios / Equipamiento</v>
      </c>
      <c r="K91" s="28" t="str">
        <f>Base!I79</f>
        <v>Proyecto de inversión</v>
      </c>
      <c r="L91" s="8">
        <f>Base!AA79</f>
        <v>8016014.0</v>
      </c>
      <c r="M91" s="8">
        <f>Base!AB79</f>
        <v>10000000.0</v>
      </c>
      <c r="N91" s="8">
        <f>Base!AC79</f>
        <v>1057112.0</v>
      </c>
      <c r="O91" s="8">
        <f>Base!AD79</f>
        <v>2541629.0</v>
      </c>
      <c r="P91" s="7">
        <f>IF(Base!AI79="","",Base!AI79)</f>
        <v/>
      </c>
      <c r="Q91" s="28" t="str">
        <f>Base!J79</f>
        <v>Sin saldo útil</v>
      </c>
      <c r="R91" s="29">
        <f>Base!X79</f>
        <v>0.6251389395747421</v>
      </c>
      <c r="S91" s="8">
        <f>Base!K79</f>
        <v>0.0</v>
      </c>
      <c r="T91" s="7" t="str">
        <f>Base!M79</f>
        <v>Saldo libre menor a S/ 10,000</v>
      </c>
    </row>
    <row r="92" spans="1:20">
      <c r="A92" s="28">
        <f>SUBTOTAL(103,$B$6:B92)</f>
        <v>76</v>
      </c>
      <c r="B92" s="28">
        <v>161</v>
      </c>
      <c r="C92" s="7" t="s">
        <v>411</v>
      </c>
      <c r="D92" s="8">
        <f>Base!N80</f>
        <v>15380884.0</v>
      </c>
      <c r="E92" s="8">
        <f>Base!O80</f>
        <v>14335355.160000002</v>
      </c>
      <c r="F92" s="8">
        <f>D92-E92</f>
        <v>1045528.839999998</v>
      </c>
      <c r="G92" s="8">
        <f>Base!Q80</f>
        <v>9463521.460000003</v>
      </c>
      <c r="H92" s="8">
        <f>D92-G92</f>
        <v>5917362.539999997</v>
      </c>
      <c r="I92" s="29">
        <f>IF(D92=0,0,G92/D92)</f>
        <v>0.6152781244563058</v>
      </c>
      <c r="J92" s="7" t="str">
        <f>Base!AH80</f>
        <v>Administración directa / Equipamiento / Contrata / Personal/bienes/servicios</v>
      </c>
      <c r="K92" s="28" t="str">
        <f>Base!I80</f>
        <v>Proyecto de inversión</v>
      </c>
      <c r="L92" s="8">
        <f>Base!AA80</f>
        <v>6000000.0</v>
      </c>
      <c r="M92" s="8">
        <f>Base!AB80</f>
        <v>3456765.0</v>
      </c>
      <c r="N92" s="8">
        <f>Base!AC80</f>
        <v>1108030.0</v>
      </c>
      <c r="O92" s="8">
        <f>Base!AD80</f>
        <v>0</v>
      </c>
      <c r="P92" s="7">
        <f>IF(Base!AI80="","",Base!AI80)</f>
        <v/>
      </c>
      <c r="Q92" s="28" t="str">
        <f>Base!J80</f>
        <v>Con condiciones</v>
      </c>
      <c r="R92" s="29">
        <f>Base!X80</f>
        <v>0.5583702623303423</v>
      </c>
      <c r="S92" s="8">
        <f>Base!K80</f>
        <v>1045528.839999998</v>
      </c>
      <c r="T92" s="7" t="str">
        <f>Base!M80</f>
        <v>Está programado en el PMI 2026 · Tiene monto en el PMI 2027 (S/ 3,456,765)</v>
      </c>
    </row>
    <row r="93" spans="1:20">
      <c r="A93" s="28">
        <f>SUBTOTAL(103,$B$6:B93)</f>
        <v>77</v>
      </c>
      <c r="B93" s="28">
        <v>247</v>
      </c>
      <c r="C93" s="7" t="s">
        <v>415</v>
      </c>
      <c r="D93" s="8">
        <f>Base!N81</f>
        <v>9666000.0</v>
      </c>
      <c r="E93" s="8">
        <f>Base!O81</f>
        <v>9227635.33</v>
      </c>
      <c r="F93" s="8">
        <f>D93-E93</f>
        <v>438364.6699999999</v>
      </c>
      <c r="G93" s="8">
        <f>Base!Q81</f>
        <v>5594991.060000001</v>
      </c>
      <c r="H93" s="8">
        <f>D93-G93</f>
        <v>4071008.9399999985</v>
      </c>
      <c r="I93" s="29">
        <f>IF(D93=0,0,G93/D93)</f>
        <v>0.5788320980757296</v>
      </c>
      <c r="J93" s="7" t="str">
        <f>Base!AH81</f>
        <v>Administración directa / Contrata / Personal/bienes/servicios</v>
      </c>
      <c r="K93" s="28" t="str">
        <f>Base!I81</f>
        <v>Proyecto de inversión</v>
      </c>
      <c r="L93" s="8">
        <f>Base!AA81</f>
        <v>7546000.0</v>
      </c>
      <c r="M93" s="8">
        <f>Base!AB81</f>
        <v>1410563.0</v>
      </c>
      <c r="N93" s="8">
        <f>Base!AC81</f>
        <v>1509243.0</v>
      </c>
      <c r="O93" s="8">
        <f>Base!AD81</f>
        <v>0</v>
      </c>
      <c r="P93" s="7">
        <f>IF(Base!AI81="","",Base!AI81)</f>
        <v/>
      </c>
      <c r="Q93" s="28" t="str">
        <f>Base!J81</f>
        <v>Sin saldo útil</v>
      </c>
      <c r="R93" s="29">
        <f>Base!X81</f>
        <v>0.6983884524012282</v>
      </c>
      <c r="S93" s="8">
        <f>Base!K81</f>
        <v>0.0</v>
      </c>
      <c r="T93" s="7" t="str">
        <f>Base!M81</f>
        <v>Saldo libre menor a S/ 10,000</v>
      </c>
    </row>
    <row r="94" spans="1:20">
      <c r="A94" s="28">
        <f>SUBTOTAL(103,$B$6:B94)</f>
        <v>78</v>
      </c>
      <c r="B94" s="28">
        <v>39</v>
      </c>
      <c r="C94" s="7" t="s">
        <v>418</v>
      </c>
      <c r="D94" s="8">
        <f>Base!N82</f>
        <v>6765264.0</v>
      </c>
      <c r="E94" s="8">
        <f>Base!O82</f>
        <v>6670193.79</v>
      </c>
      <c r="F94" s="8">
        <f>D94-E94</f>
        <v>95070.20999999996</v>
      </c>
      <c r="G94" s="8">
        <f>Base!Q82</f>
        <v>4177875.529999999</v>
      </c>
      <c r="H94" s="8">
        <f>D94-G94</f>
        <v>2587388.470000001</v>
      </c>
      <c r="I94" s="29">
        <f>IF(D94=0,0,G94/D94)</f>
        <v>0.6175480409929308</v>
      </c>
      <c r="J94" s="7" t="str">
        <f>Base!AH82</f>
        <v>Administración directa / Equipamiento / Contrata / Personal/bienes/servicios</v>
      </c>
      <c r="K94" s="28" t="str">
        <f>Base!I82</f>
        <v>Proyecto de inversión</v>
      </c>
      <c r="L94" s="8" t="str">
        <f>Base!AA82</f>
        <v>No registrado en cartera</v>
      </c>
      <c r="M94" s="8" t="str">
        <f>Base!AB82</f>
        <v>No registrado en cartera</v>
      </c>
      <c r="N94" s="8" t="str">
        <f>Base!AC82</f>
        <v>No registrado en cartera</v>
      </c>
      <c r="O94" s="8" t="str">
        <f>Base!AD82</f>
        <v>No registrado en cartera</v>
      </c>
      <c r="P94" s="7">
        <f>IF(Base!AI82="","",Base!AI82)</f>
        <v/>
      </c>
      <c r="Q94" s="28" t="str">
        <f>Base!J82</f>
        <v>Sin saldo útil</v>
      </c>
      <c r="R94" s="29">
        <f>Base!X82</f>
        <v>0.6627478799161011</v>
      </c>
      <c r="S94" s="8">
        <f>Base!K82</f>
        <v>0.0</v>
      </c>
      <c r="T94" s="7" t="str">
        <f>Base!M82</f>
        <v>Saldo libre menor a S/ 10,000</v>
      </c>
    </row>
    <row r="95" spans="1:20">
      <c r="A95" s="28">
        <f>SUBTOTAL(103,$B$6:B95)</f>
        <v>79</v>
      </c>
      <c r="B95" s="28">
        <v>26</v>
      </c>
      <c r="C95" s="7" t="s">
        <v>422</v>
      </c>
      <c r="D95" s="8">
        <f>Base!N83</f>
        <v>4291327.0</v>
      </c>
      <c r="E95" s="8">
        <f>Base!O83</f>
        <v>4093667.05</v>
      </c>
      <c r="F95" s="8">
        <f>D95-E95</f>
        <v>197659.9500000002</v>
      </c>
      <c r="G95" s="8">
        <f>Base!Q83</f>
        <v>3891386.790000001</v>
      </c>
      <c r="H95" s="8">
        <f>D95-G95</f>
        <v>399940.20999999903</v>
      </c>
      <c r="I95" s="29">
        <f>IF(D95=0,0,G95/D95)</f>
        <v>0.9068026719940011</v>
      </c>
      <c r="J95" s="7" t="str">
        <f>Base!AH83</f>
        <v>Administración directa / Contrata / Equipamiento / Personal/bienes/servicios</v>
      </c>
      <c r="K95" s="28" t="str">
        <f>Base!I83</f>
        <v>Proyecto de inversión</v>
      </c>
      <c r="L95" s="8" t="str">
        <f>Base!AA83</f>
        <v>No registrado en cartera</v>
      </c>
      <c r="M95" s="8" t="str">
        <f>Base!AB83</f>
        <v>No registrado en cartera</v>
      </c>
      <c r="N95" s="8" t="str">
        <f>Base!AC83</f>
        <v>No registrado en cartera</v>
      </c>
      <c r="O95" s="8" t="str">
        <f>Base!AD83</f>
        <v>No registrado en cartera</v>
      </c>
      <c r="P95" s="7">
        <f>IF(Base!AI83="","",Base!AI83)</f>
        <v/>
      </c>
      <c r="Q95" s="28" t="str">
        <f>Base!J83</f>
        <v>No mover</v>
      </c>
      <c r="R95" s="29">
        <f>Base!X83</f>
        <v>0.9690808458492575</v>
      </c>
      <c r="S95" s="8">
        <f>Base!K83</f>
        <v>0.0</v>
      </c>
      <c r="T95" s="7" t="str">
        <f>Base!M83</f>
        <v>Devengado 2026 ≥ 90% del PIM</v>
      </c>
    </row>
    <row r="96" spans="1:20">
      <c r="A96" s="28">
        <f>SUBTOTAL(103,$B$6:B96)</f>
        <v>80</v>
      </c>
      <c r="B96" s="28">
        <v>41</v>
      </c>
      <c r="C96" s="7" t="s">
        <v>426</v>
      </c>
      <c r="D96" s="8">
        <f>Base!N84</f>
        <v>5799805.0</v>
      </c>
      <c r="E96" s="8">
        <f>Base!O84</f>
        <v>5301125.51</v>
      </c>
      <c r="F96" s="8">
        <f>D96-E96</f>
        <v>498679.4900000002</v>
      </c>
      <c r="G96" s="8">
        <f>Base!Q84</f>
        <v>3934515.880000001</v>
      </c>
      <c r="H96" s="8">
        <f>D96-G96</f>
        <v>1865289.1199999992</v>
      </c>
      <c r="I96" s="29">
        <f>IF(D96=0,0,G96/D96)</f>
        <v>0.6783876147560135</v>
      </c>
      <c r="J96" s="7" t="str">
        <f>Base!AH84</f>
        <v>Administración directa / Contrata / Equipamiento / Personal/bienes/servicios</v>
      </c>
      <c r="K96" s="28" t="str">
        <f>Base!I84</f>
        <v>Proyecto de inversión</v>
      </c>
      <c r="L96" s="8" t="str">
        <f>Base!AA84</f>
        <v>No registrado en cartera</v>
      </c>
      <c r="M96" s="8" t="str">
        <f>Base!AB84</f>
        <v>No registrado en cartera</v>
      </c>
      <c r="N96" s="8" t="str">
        <f>Base!AC84</f>
        <v>No registrado en cartera</v>
      </c>
      <c r="O96" s="8" t="str">
        <f>Base!AD84</f>
        <v>No registrado en cartera</v>
      </c>
      <c r="P96" s="7">
        <f>IF(Base!AI84="","",Base!AI84)</f>
        <v/>
      </c>
      <c r="Q96" s="28" t="str">
        <f>Base!J84</f>
        <v>Sin saldo útil</v>
      </c>
      <c r="R96" s="29">
        <f>Base!X84</f>
        <v>0.8747814910726871</v>
      </c>
      <c r="S96" s="8">
        <f>Base!K84</f>
        <v>0.0</v>
      </c>
      <c r="T96" s="7" t="str">
        <f>Base!M84</f>
        <v>Saldo libre menor a S/ 10,000</v>
      </c>
    </row>
    <row r="97" spans="1:20">
      <c r="A97" s="28">
        <f>SUBTOTAL(103,$B$6:B97)</f>
        <v>81</v>
      </c>
      <c r="B97" s="28">
        <v>36</v>
      </c>
      <c r="C97" s="7" t="s">
        <v>430</v>
      </c>
      <c r="D97" s="8">
        <f>Base!N85</f>
        <v>4802506.0</v>
      </c>
      <c r="E97" s="8">
        <f>Base!O85</f>
        <v>4385171.619999999</v>
      </c>
      <c r="F97" s="8">
        <f>D97-E97</f>
        <v>417334.3800000008</v>
      </c>
      <c r="G97" s="8">
        <f>Base!Q85</f>
        <v>3250907.8200000003</v>
      </c>
      <c r="H97" s="8">
        <f>D97-G97</f>
        <v>1551598.1799999997</v>
      </c>
      <c r="I97" s="29">
        <f>IF(D97=0,0,G97/D97)</f>
        <v>0.6769190543437115</v>
      </c>
      <c r="J97" s="7" t="str">
        <f>Base!AH85</f>
        <v>Administración directa / Contrata / Equipamiento / Personal/bienes/servicios</v>
      </c>
      <c r="K97" s="28" t="str">
        <f>Base!I85</f>
        <v>Proyecto de inversión</v>
      </c>
      <c r="L97" s="8">
        <f>Base!AA85</f>
        <v>3770000.0</v>
      </c>
      <c r="M97" s="8">
        <f>Base!AB85</f>
        <v>876556.0</v>
      </c>
      <c r="N97" s="8">
        <f>Base!AC85</f>
        <v>4649244.0</v>
      </c>
      <c r="O97" s="8">
        <f>Base!AD85</f>
        <v>7795363.0</v>
      </c>
      <c r="P97" s="7">
        <f>IF(Base!AI85="","",Base!AI85)</f>
        <v/>
      </c>
      <c r="Q97" s="28" t="str">
        <f>Base!J85</f>
        <v>Sin saldo útil</v>
      </c>
      <c r="R97" s="29">
        <f>Base!X85</f>
        <v>0.4358589438699674</v>
      </c>
      <c r="S97" s="8">
        <f>Base!K85</f>
        <v>0.0</v>
      </c>
      <c r="T97" s="7" t="str">
        <f>Base!M85</f>
        <v>Saldo libre menor a S/ 10,000</v>
      </c>
    </row>
    <row r="98" spans="1:20">
      <c r="A98" s="28">
        <f>SUBTOTAL(103,$B$6:B98)</f>
        <v>82</v>
      </c>
      <c r="B98" s="28">
        <v>311</v>
      </c>
      <c r="C98" s="7" t="s">
        <v>430</v>
      </c>
      <c r="D98" s="8">
        <f>Base!N86</f>
        <v>4992699.0</v>
      </c>
      <c r="E98" s="8">
        <f>Base!O86</f>
        <v>4292921.51</v>
      </c>
      <c r="F98" s="8">
        <f>D98-E98</f>
        <v>699777.4900000002</v>
      </c>
      <c r="G98" s="8">
        <f>Base!Q86</f>
        <v>3252598.5900000003</v>
      </c>
      <c r="H98" s="8">
        <f>D98-G98</f>
        <v>1740100.4099999997</v>
      </c>
      <c r="I98" s="29">
        <f>IF(D98=0,0,G98/D98)</f>
        <v>0.6514709959482837</v>
      </c>
      <c r="J98" s="7" t="str">
        <f>Base!AH86</f>
        <v>Administración directa / Contrata / Equipamiento / Personal/bienes/servicios</v>
      </c>
      <c r="K98" s="28" t="str">
        <f>Base!I86</f>
        <v>Proyecto de inversión</v>
      </c>
      <c r="L98" s="8">
        <f>Base!AA86</f>
        <v>3770000.0</v>
      </c>
      <c r="M98" s="8">
        <f>Base!AB86</f>
        <v>876556.0</v>
      </c>
      <c r="N98" s="8">
        <f>Base!AC86</f>
        <v>4649244.0</v>
      </c>
      <c r="O98" s="8">
        <f>Base!AD86</f>
        <v>7795363.0</v>
      </c>
      <c r="P98" s="7">
        <f>IF(Base!AI86="","",Base!AI86)</f>
        <v/>
      </c>
      <c r="Q98" s="28" t="str">
        <f>Base!J86</f>
        <v>Sin saldo útil</v>
      </c>
      <c r="R98" s="29">
        <f>Base!X86</f>
        <v>0.4358589438699674</v>
      </c>
      <c r="S98" s="8">
        <f>Base!K86</f>
        <v>0.0</v>
      </c>
      <c r="T98" s="7" t="str">
        <f>Base!M86</f>
        <v>Saldo libre menor a S/ 10,000</v>
      </c>
    </row>
    <row r="99" spans="1:20">
      <c r="A99" s="28">
        <f>SUBTOTAL(103,$B$6:B99)</f>
        <v>83</v>
      </c>
      <c r="B99" s="28">
        <v>306</v>
      </c>
      <c r="C99" s="7" t="s">
        <v>436</v>
      </c>
      <c r="D99" s="8">
        <f>Base!N87</f>
        <v>3853164.0</v>
      </c>
      <c r="E99" s="8">
        <f>Base!O87</f>
        <v>3721345.63</v>
      </c>
      <c r="F99" s="8">
        <f>D99-E99</f>
        <v>131818.3700000001</v>
      </c>
      <c r="G99" s="8">
        <f>Base!Q87</f>
        <v>3036070.0499999993</v>
      </c>
      <c r="H99" s="8">
        <f>D99-G99</f>
        <v>817093.9500000007</v>
      </c>
      <c r="I99" s="29">
        <f>IF(D99=0,0,G99/D99)</f>
        <v>0.7879420782504973</v>
      </c>
      <c r="J99" s="7" t="str">
        <f>Base!AH87</f>
        <v>Administración directa / Contrata / Equipamiento / Personal/bienes/servicios</v>
      </c>
      <c r="K99" s="28" t="str">
        <f>Base!I87</f>
        <v>Proyecto de inversión</v>
      </c>
      <c r="L99" s="8" t="str">
        <f>Base!AA87</f>
        <v>No registrado en cartera</v>
      </c>
      <c r="M99" s="8" t="str">
        <f>Base!AB87</f>
        <v>No registrado en cartera</v>
      </c>
      <c r="N99" s="8" t="str">
        <f>Base!AC87</f>
        <v>No registrado en cartera</v>
      </c>
      <c r="O99" s="8" t="str">
        <f>Base!AD87</f>
        <v>No registrado en cartera</v>
      </c>
      <c r="P99" s="7">
        <f>IF(Base!AI87="","",Base!AI87)</f>
        <v/>
      </c>
      <c r="Q99" s="28" t="str">
        <f>Base!J87</f>
        <v>Sin saldo útil</v>
      </c>
      <c r="R99" s="29">
        <f>Base!X87</f>
        <v>0.8492553643556442</v>
      </c>
      <c r="S99" s="8">
        <f>Base!K87</f>
        <v>0.0</v>
      </c>
      <c r="T99" s="7" t="str">
        <f>Base!M87</f>
        <v>Saldo libre menor a S/ 10,000</v>
      </c>
    </row>
    <row r="100" spans="1:20">
      <c r="A100" s="28">
        <f>SUBTOTAL(103,$B$6:B100)</f>
        <v>84</v>
      </c>
      <c r="B100" s="28">
        <v>181</v>
      </c>
      <c r="C100" s="7" t="s">
        <v>440</v>
      </c>
      <c r="D100" s="8">
        <f>Base!N88</f>
        <v>1142346.0</v>
      </c>
      <c r="E100" s="8">
        <f>Base!O88</f>
        <v>916312.3600000001</v>
      </c>
      <c r="F100" s="8">
        <f>D100-E100</f>
        <v>226033.6399999999</v>
      </c>
      <c r="G100" s="8">
        <f>Base!Q88</f>
        <v>18478.9</v>
      </c>
      <c r="H100" s="8">
        <f>D100-G100</f>
        <v>1123867.1</v>
      </c>
      <c r="I100" s="29">
        <f>IF(D100=0,0,G100/D100)</f>
        <v>0.016176272337803083</v>
      </c>
      <c r="J100" s="7" t="str">
        <f>Base!AH88</f>
        <v>Administración directa / Contrata / Personal/bienes/servicios / Equipamiento</v>
      </c>
      <c r="K100" s="28" t="str">
        <f>Base!I88</f>
        <v>Proyecto de inversión</v>
      </c>
      <c r="L100" s="8">
        <f>Base!AA88</f>
        <v>100000.0</v>
      </c>
      <c r="M100" s="8">
        <f>Base!AB88</f>
        <v>0</v>
      </c>
      <c r="N100" s="8">
        <f>Base!AC88</f>
        <v>959009.0</v>
      </c>
      <c r="O100" s="8">
        <f>Base!AD88</f>
        <v>0</v>
      </c>
      <c r="P100" s="7">
        <f>IF(Base!AI88="","",Base!AI88)</f>
        <v/>
      </c>
      <c r="Q100" s="28" t="str">
        <f>Base!J88</f>
        <v>Sin saldo útil</v>
      </c>
      <c r="R100" s="29">
        <f>Base!X88</f>
        <v>0.04800224189352083</v>
      </c>
      <c r="S100" s="8">
        <f>Base!K88</f>
        <v>0.0</v>
      </c>
      <c r="T100" s="7" t="str">
        <f>Base!M88</f>
        <v>Saldo libre menor a S/ 10,000</v>
      </c>
    </row>
    <row r="101" spans="1:20">
      <c r="A101" s="28">
        <f>SUBTOTAL(103,$B$6:B101)</f>
        <v>85</v>
      </c>
      <c r="B101" s="28">
        <v>187</v>
      </c>
      <c r="C101" s="7" t="s">
        <v>443</v>
      </c>
      <c r="D101" s="8">
        <f>Base!N89</f>
        <v>2361641.0</v>
      </c>
      <c r="E101" s="8">
        <f>Base!O89</f>
        <v>1550677.96</v>
      </c>
      <c r="F101" s="8">
        <f>D101-E101</f>
        <v>810963.04</v>
      </c>
      <c r="G101" s="8">
        <f>Base!Q89</f>
        <v>1059463.8099999998</v>
      </c>
      <c r="H101" s="8">
        <f>D101-G101</f>
        <v>1302177.1900000002</v>
      </c>
      <c r="I101" s="29">
        <f>IF(D101=0,0,G101/D101)</f>
        <v>0.4486134048316403</v>
      </c>
      <c r="J101" s="7" t="str">
        <f>Base!AH89</f>
        <v>Administración directa / Contrata / Equipamiento / Personal/bienes/servicios</v>
      </c>
      <c r="K101" s="28" t="str">
        <f>Base!I89</f>
        <v>Proyecto de inversión</v>
      </c>
      <c r="L101" s="8">
        <f>Base!AA89</f>
        <v>100000.0</v>
      </c>
      <c r="M101" s="8">
        <f>Base!AB89</f>
        <v>45539.0</v>
      </c>
      <c r="N101" s="8">
        <f>Base!AC89</f>
        <v>0</v>
      </c>
      <c r="O101" s="8">
        <f>Base!AD89</f>
        <v>0</v>
      </c>
      <c r="P101" s="7">
        <f>IF(Base!AI89="","",Base!AI89)</f>
        <v/>
      </c>
      <c r="Q101" s="28" t="str">
        <f>Base!J89</f>
        <v>Sin saldo útil</v>
      </c>
      <c r="R101" s="29">
        <f>Base!X89</f>
        <v>0.4583759124380434</v>
      </c>
      <c r="S101" s="8">
        <f>Base!K89</f>
        <v>0.0</v>
      </c>
      <c r="T101" s="7" t="str">
        <f>Base!M89</f>
        <v>Saldo libre menor a S/ 10,000</v>
      </c>
    </row>
    <row r="102" spans="1:20">
      <c r="A102" s="28">
        <f>SUBTOTAL(103,$B$6:B102)</f>
        <v>86</v>
      </c>
      <c r="B102" s="28">
        <v>307</v>
      </c>
      <c r="C102" s="7" t="s">
        <v>446</v>
      </c>
      <c r="D102" s="8">
        <f>Base!N90</f>
        <v>1272735.0</v>
      </c>
      <c r="E102" s="8">
        <f>Base!O90</f>
        <v>1253656.8599999999</v>
      </c>
      <c r="F102" s="8">
        <f>D102-E102</f>
        <v>19078.14000000013</v>
      </c>
      <c r="G102" s="8">
        <f>Base!Q90</f>
        <v>1181486.15</v>
      </c>
      <c r="H102" s="8">
        <f>D102-G102</f>
        <v>91248.8500000001</v>
      </c>
      <c r="I102" s="29">
        <f>IF(D102=0,0,G102/D102)</f>
        <v>0.928304910291616</v>
      </c>
      <c r="J102" s="7" t="str">
        <f>Base!AH90</f>
        <v>Administración directa / Contrata / Personal/bienes/servicios / Equipamiento</v>
      </c>
      <c r="K102" s="28" t="str">
        <f>Base!I90</f>
        <v>Proyecto de inversión</v>
      </c>
      <c r="L102" s="8">
        <f>Base!AA90</f>
        <v>1216856.0</v>
      </c>
      <c r="M102" s="8">
        <f>Base!AB90</f>
        <v>370264.0</v>
      </c>
      <c r="N102" s="8">
        <f>Base!AC90</f>
        <v>0</v>
      </c>
      <c r="O102" s="8">
        <f>Base!AD90</f>
        <v>0</v>
      </c>
      <c r="P102" s="7">
        <f>IF(Base!AI90="","",Base!AI90)</f>
        <v/>
      </c>
      <c r="Q102" s="28" t="str">
        <f>Base!J90</f>
        <v>No mover</v>
      </c>
      <c r="R102" s="29">
        <f>Base!X90</f>
        <v>1.014390766690016</v>
      </c>
      <c r="S102" s="8">
        <f>Base!K90</f>
        <v>0.0</v>
      </c>
      <c r="T102" s="7" t="str">
        <f>Base!M90</f>
        <v>Devengado 2026 ≥ 90% del PIM</v>
      </c>
    </row>
    <row r="103" spans="1:20">
      <c r="A103" s="28">
        <f>SUBTOTAL(103,$B$6:B103)</f>
        <v>87</v>
      </c>
      <c r="B103" s="28">
        <v>333</v>
      </c>
      <c r="C103" s="7" t="s">
        <v>449</v>
      </c>
      <c r="D103" s="8">
        <f>Base!N91</f>
        <v>919876.0</v>
      </c>
      <c r="E103" s="8">
        <f>Base!O91</f>
        <v>345226.89999999997</v>
      </c>
      <c r="F103" s="8">
        <f>D103-E103</f>
        <v>574649.1000000001</v>
      </c>
      <c r="G103" s="8">
        <f>Base!Q91</f>
        <v>7840.91</v>
      </c>
      <c r="H103" s="8">
        <f>D103-G103</f>
        <v>912035.09</v>
      </c>
      <c r="I103" s="29">
        <f>IF(D103=0,0,G103/D103)</f>
        <v>0.008523877131265518</v>
      </c>
      <c r="J103" s="7" t="str">
        <f>Base!AH91</f>
        <v>Administración directa / Contrata / Personal/bienes/servicios / Equipamiento</v>
      </c>
      <c r="K103" s="28" t="str">
        <f>Base!I91</f>
        <v>Proyecto de inversión</v>
      </c>
      <c r="L103" s="8">
        <f>Base!AA91</f>
        <v>903516.0</v>
      </c>
      <c r="M103" s="8">
        <f>Base!AB91</f>
        <v>919620.0</v>
      </c>
      <c r="N103" s="8">
        <f>Base!AC91</f>
        <v>268263.0</v>
      </c>
      <c r="O103" s="8">
        <f>Base!AD91</f>
        <v>0</v>
      </c>
      <c r="P103" s="7">
        <f>IF(Base!AI91="","",Base!AI91)</f>
        <v/>
      </c>
      <c r="Q103" s="28" t="str">
        <f>Base!J91</f>
        <v>Con condiciones</v>
      </c>
      <c r="R103" s="29">
        <f>Base!X91</f>
        <v>0.04168538781561456</v>
      </c>
      <c r="S103" s="8">
        <f>Base!K91</f>
        <v>16359.75</v>
      </c>
      <c r="T103" s="7" t="str">
        <f>Base!M91</f>
        <v>Está programado en el PMI 2026 · Tiene monto en el PMI 2027 (S/ 919,620)</v>
      </c>
    </row>
    <row r="104" spans="1:20">
      <c r="A104" s="28">
        <f>SUBTOTAL(103,$B$6:B104)</f>
        <v>88</v>
      </c>
      <c r="B104" s="28">
        <v>173</v>
      </c>
      <c r="C104" s="7" t="s">
        <v>453</v>
      </c>
      <c r="D104" s="8">
        <f>Base!N92</f>
        <v>41720.0</v>
      </c>
      <c r="E104" s="8">
        <f>Base!O92</f>
        <v>31883.370000000003</v>
      </c>
      <c r="F104" s="8">
        <f>D104-E104</f>
        <v>9836.629999999997</v>
      </c>
      <c r="G104" s="8">
        <f>Base!Q92</f>
        <v>31883.370000000003</v>
      </c>
      <c r="H104" s="8">
        <f>D104-G104</f>
        <v>9836.629999999997</v>
      </c>
      <c r="I104" s="29">
        <f>IF(D104=0,0,G104/D104)</f>
        <v>0.7642226749760307</v>
      </c>
      <c r="J104" s="7" t="str">
        <f>Base!AH92</f>
        <v>Contrata / Personal/bienes/servicios</v>
      </c>
      <c r="K104" s="28" t="str">
        <f>Base!I92</f>
        <v>Proyecto de inversión</v>
      </c>
      <c r="L104" s="8">
        <f>Base!AA92</f>
        <v>120201.0</v>
      </c>
      <c r="M104" s="8">
        <f>Base!AB92</f>
        <v>0</v>
      </c>
      <c r="N104" s="8">
        <f>Base!AC92</f>
        <v>0</v>
      </c>
      <c r="O104" s="8">
        <f>Base!AD92</f>
        <v>0</v>
      </c>
      <c r="P104" s="7">
        <f>IF(Base!AI92="","",Base!AI92)</f>
        <v/>
      </c>
      <c r="Q104" s="28" t="str">
        <f>Base!J92</f>
        <v>No mover</v>
      </c>
      <c r="R104" s="29">
        <f>Base!X92</f>
        <v>0.9618032325418465</v>
      </c>
      <c r="S104" s="8">
        <f>Base!K92</f>
        <v>0.0</v>
      </c>
      <c r="T104" s="7" t="str">
        <f>Base!M92</f>
        <v>Avance financiero acumulado 96% (&gt; 90%)</v>
      </c>
    </row>
    <row r="105" spans="1:20">
      <c r="A105" s="28">
        <f>SUBTOTAL(103,$B$6:B105)</f>
        <v>89</v>
      </c>
      <c r="B105" s="28">
        <v>180</v>
      </c>
      <c r="C105" s="7" t="s">
        <v>456</v>
      </c>
      <c r="D105" s="8">
        <f>Base!N93</f>
        <v>704972.0</v>
      </c>
      <c r="E105" s="8">
        <f>Base!O93</f>
        <v>319119.29</v>
      </c>
      <c r="F105" s="8">
        <f>D105-E105</f>
        <v>385852.71</v>
      </c>
      <c r="G105" s="8">
        <f>Base!Q93</f>
        <v>15770.09</v>
      </c>
      <c r="H105" s="8">
        <f>D105-G105</f>
        <v>689201.91</v>
      </c>
      <c r="I105" s="29">
        <f>IF(D105=0,0,G105/D105)</f>
        <v>0.022369810432187377</v>
      </c>
      <c r="J105" s="7" t="str">
        <f>Base!AH93</f>
        <v>Administración directa / Contrata / Expediente técnico / Personal/bienes/servicios</v>
      </c>
      <c r="K105" s="28" t="str">
        <f>Base!I93</f>
        <v>Proyecto de inversión</v>
      </c>
      <c r="L105" s="8">
        <f>Base!AA93</f>
        <v>100000.0</v>
      </c>
      <c r="M105" s="8">
        <f>Base!AB93</f>
        <v>0</v>
      </c>
      <c r="N105" s="8">
        <f>Base!AC93</f>
        <v>921923.0</v>
      </c>
      <c r="O105" s="8">
        <f>Base!AD93</f>
        <v>0</v>
      </c>
      <c r="P105" s="7">
        <f>IF(Base!AI93="","",Base!AI93)</f>
        <v/>
      </c>
      <c r="Q105" s="28" t="str">
        <f>Base!J93</f>
        <v>Sin saldo útil</v>
      </c>
      <c r="R105" s="29">
        <f>Base!X93</f>
        <v>0.06977434755278451</v>
      </c>
      <c r="S105" s="8">
        <f>Base!K93</f>
        <v>0.0</v>
      </c>
      <c r="T105" s="7" t="str">
        <f>Base!M93</f>
        <v>Saldo libre menor a S/ 10,000</v>
      </c>
    </row>
    <row r="106" spans="1:20">
      <c r="A106" s="28">
        <f>SUBTOTAL(103,$B$6:B106)</f>
        <v>90</v>
      </c>
      <c r="B106" s="28">
        <v>83</v>
      </c>
      <c r="C106" s="7" t="s">
        <v>459</v>
      </c>
      <c r="D106" s="8">
        <f>Base!N94</f>
        <v>61203.0</v>
      </c>
      <c r="E106" s="8">
        <f>Base!O94</f>
        <v>0.0</v>
      </c>
      <c r="F106" s="8">
        <f>D106-E106</f>
        <v>61203.0</v>
      </c>
      <c r="G106" s="8">
        <f>Base!Q94</f>
        <v>0.0</v>
      </c>
      <c r="H106" s="8">
        <f>D106-G106</f>
        <v>61203.0</v>
      </c>
      <c r="I106" s="29">
        <f>IF(D106=0,0,G106/D106)</f>
        <v>0.0</v>
      </c>
      <c r="J106" s="7" t="str">
        <f>Base!AH94</f>
        <v>Administración directa</v>
      </c>
      <c r="K106" s="28" t="str">
        <f>Base!I94</f>
        <v>IOARR</v>
      </c>
      <c r="L106" s="8">
        <f>Base!AA94</f>
        <v>61203.0</v>
      </c>
      <c r="M106" s="8">
        <f>Base!AB94</f>
        <v>0</v>
      </c>
      <c r="N106" s="8">
        <f>Base!AC94</f>
        <v>0</v>
      </c>
      <c r="O106" s="8">
        <f>Base!AD94</f>
        <v>0</v>
      </c>
      <c r="P106" s="7">
        <f>IF(Base!AI94="","",Base!AI94)</f>
        <v/>
      </c>
      <c r="Q106" s="28" t="str">
        <f>Base!J94</f>
        <v>No mover</v>
      </c>
      <c r="R106" s="29">
        <f>Base!X94</f>
        <v>0.966123647808904</v>
      </c>
      <c r="S106" s="8">
        <f>Base!K94</f>
        <v>0.0</v>
      </c>
      <c r="T106" s="7" t="str">
        <f>Base!M94</f>
        <v>Avance financiero acumulado 97% (&gt; 90%)</v>
      </c>
    </row>
    <row r="107" spans="1:20">
      <c r="A107" s="25" t="s">
        <v>221</v>
      </c>
      <c r="B107" s="25"/>
      <c r="C107" s="25"/>
      <c r="D107" s="26">
        <f>SUM(D108:D117)</f>
        <v>67673088.0</v>
      </c>
      <c r="E107" s="26">
        <f>SUM(E108:E117)</f>
        <v>61870190.61</v>
      </c>
      <c r="F107" s="26">
        <f>D107-E107</f>
        <v>5802897.390000001</v>
      </c>
      <c r="G107" s="26">
        <f>SUM(G108:G117)</f>
        <v>41195298.65</v>
      </c>
      <c r="H107" s="26">
        <f>D107-G107</f>
        <v>26477789.35</v>
      </c>
      <c r="I107" s="27">
        <f>IF(D107=0,0,G107/D107)</f>
        <v>0.6087397496919307</v>
      </c>
      <c r="J107" s="25"/>
      <c r="K107" s="25"/>
      <c r="L107" s="25"/>
      <c r="M107" s="25"/>
      <c r="N107" s="25"/>
      <c r="O107" s="25"/>
      <c r="P107" s="25"/>
      <c r="Q107" s="25"/>
      <c r="R107" s="25"/>
      <c r="S107" s="26">
        <f>SUM(S108:S117)</f>
        <v>0.0</v>
      </c>
      <c r="T107" s="25"/>
    </row>
    <row r="108" spans="1:20">
      <c r="A108" s="28">
        <f>SUBTOTAL(103,$B$6:B108)</f>
        <v>91</v>
      </c>
      <c r="B108" s="28">
        <v>110</v>
      </c>
      <c r="C108" s="7" t="s">
        <v>462</v>
      </c>
      <c r="D108" s="8">
        <f>Base!N95</f>
        <v>23143575.0</v>
      </c>
      <c r="E108" s="8">
        <f>Base!O95</f>
        <v>22339569.84</v>
      </c>
      <c r="F108" s="8">
        <f>D108-E108</f>
        <v>804005.1600000001</v>
      </c>
      <c r="G108" s="8">
        <f>Base!Q95</f>
        <v>12059018.399999999</v>
      </c>
      <c r="H108" s="8">
        <f>D108-G108</f>
        <v>11084556.600000001</v>
      </c>
      <c r="I108" s="29">
        <f>IF(D108=0,0,G108/D108)</f>
        <v>0.5210525340186206</v>
      </c>
      <c r="J108" s="7" t="str">
        <f>Base!AH95</f>
        <v>Administración directa / Contrata / Personal/bienes/servicios</v>
      </c>
      <c r="K108" s="28" t="str">
        <f>Base!I95</f>
        <v>Proyecto de inversión</v>
      </c>
      <c r="L108" s="8">
        <f>Base!AA95</f>
        <v>15500800.0</v>
      </c>
      <c r="M108" s="8">
        <f>Base!AB95</f>
        <v>4458489.0</v>
      </c>
      <c r="N108" s="8">
        <f>Base!AC95</f>
        <v>450011.0</v>
      </c>
      <c r="O108" s="8">
        <f>Base!AD95</f>
        <v>0</v>
      </c>
      <c r="P108" s="7">
        <f>IF(Base!AI95="","",Base!AI95)</f>
        <v/>
      </c>
      <c r="Q108" s="28" t="str">
        <f>Base!J95</f>
        <v>Sin saldo útil</v>
      </c>
      <c r="R108" s="29">
        <f>Base!X95</f>
        <v>0.7610807806918674</v>
      </c>
      <c r="S108" s="8">
        <f>Base!K95</f>
        <v>0.0</v>
      </c>
      <c r="T108" s="7" t="str">
        <f>Base!M95</f>
        <v>Saldo libre menor a S/ 10,000</v>
      </c>
    </row>
    <row r="109" spans="1:20">
      <c r="A109" s="28">
        <f>SUBTOTAL(103,$B$6:B109)</f>
        <v>92</v>
      </c>
      <c r="B109" s="28">
        <v>103</v>
      </c>
      <c r="C109" s="7" t="s">
        <v>466</v>
      </c>
      <c r="D109" s="8">
        <f>Base!N96</f>
        <v>14991498.0</v>
      </c>
      <c r="E109" s="8">
        <f>Base!O96</f>
        <v>14786012.969999999</v>
      </c>
      <c r="F109" s="8">
        <f>D109-E109</f>
        <v>205485.0300000012</v>
      </c>
      <c r="G109" s="8">
        <f>Base!Q96</f>
        <v>11502166.71</v>
      </c>
      <c r="H109" s="8">
        <f>D109-G109</f>
        <v>3489331.289999999</v>
      </c>
      <c r="I109" s="29">
        <f>IF(D109=0,0,G109/D109)</f>
        <v>0.7672459890265804</v>
      </c>
      <c r="J109" s="7" t="str">
        <f>Base!AH96</f>
        <v>Administración directa / Contrata / Personal/bienes/servicios</v>
      </c>
      <c r="K109" s="28" t="str">
        <f>Base!I96</f>
        <v>Proyecto de inversión</v>
      </c>
      <c r="L109" s="8">
        <f>Base!AA96</f>
        <v>12491498.0</v>
      </c>
      <c r="M109" s="8">
        <f>Base!AB96</f>
        <v>632388.0</v>
      </c>
      <c r="N109" s="8">
        <f>Base!AC96</f>
        <v>41870.0</v>
      </c>
      <c r="O109" s="8">
        <f>Base!AD96</f>
        <v>0</v>
      </c>
      <c r="P109" s="7">
        <f>IF(Base!AI96="","",Base!AI96)</f>
        <v/>
      </c>
      <c r="Q109" s="28" t="str">
        <f>Base!J96</f>
        <v>No mover</v>
      </c>
      <c r="R109" s="29">
        <f>Base!X96</f>
        <v>0.9271313941369703</v>
      </c>
      <c r="S109" s="8">
        <f>Base!K96</f>
        <v>0.0</v>
      </c>
      <c r="T109" s="7" t="str">
        <f>Base!M96</f>
        <v>Avance financiero acumulado 93% (&gt; 90%)</v>
      </c>
    </row>
    <row r="110" spans="1:20">
      <c r="A110" s="28">
        <f>SUBTOTAL(103,$B$6:B110)</f>
        <v>93</v>
      </c>
      <c r="B110" s="28">
        <v>106</v>
      </c>
      <c r="C110" s="7" t="s">
        <v>470</v>
      </c>
      <c r="D110" s="8">
        <f>Base!N97</f>
        <v>5270087.0</v>
      </c>
      <c r="E110" s="8">
        <f>Base!O97</f>
        <v>5222084.29</v>
      </c>
      <c r="F110" s="8">
        <f>D110-E110</f>
        <v>48002.70999999996</v>
      </c>
      <c r="G110" s="8">
        <f>Base!Q97</f>
        <v>5220159.289999999</v>
      </c>
      <c r="H110" s="8">
        <f>D110-G110</f>
        <v>49927.710000000894</v>
      </c>
      <c r="I110" s="29">
        <f>IF(D110=0,0,G110/D110)</f>
        <v>0.9905262076318663</v>
      </c>
      <c r="J110" s="7" t="str">
        <f>Base!AH97</f>
        <v>Administración directa / Contrata / Personal/bienes/servicios</v>
      </c>
      <c r="K110" s="28" t="str">
        <f>Base!I97</f>
        <v>Proyecto de inversión</v>
      </c>
      <c r="L110" s="8" t="str">
        <f>Base!AA97</f>
        <v>No registrado en cartera</v>
      </c>
      <c r="M110" s="8" t="str">
        <f>Base!AB97</f>
        <v>No registrado en cartera</v>
      </c>
      <c r="N110" s="8" t="str">
        <f>Base!AC97</f>
        <v>No registrado en cartera</v>
      </c>
      <c r="O110" s="8" t="str">
        <f>Base!AD97</f>
        <v>No registrado en cartera</v>
      </c>
      <c r="P110" s="7">
        <f>IF(Base!AI97="","",Base!AI97)</f>
        <v/>
      </c>
      <c r="Q110" s="28" t="str">
        <f>Base!J97</f>
        <v>No mover</v>
      </c>
      <c r="R110" s="29">
        <f>Base!X97</f>
        <v>0.8611411584255086</v>
      </c>
      <c r="S110" s="8">
        <f>Base!K97</f>
        <v>0.0</v>
      </c>
      <c r="T110" s="7" t="str">
        <f>Base!M97</f>
        <v>Devengado 2026 ≥ 90% del PIM</v>
      </c>
    </row>
    <row r="111" spans="1:20">
      <c r="A111" s="28">
        <f>SUBTOTAL(103,$B$6:B111)</f>
        <v>94</v>
      </c>
      <c r="B111" s="28">
        <v>119</v>
      </c>
      <c r="C111" s="7" t="s">
        <v>474</v>
      </c>
      <c r="D111" s="8">
        <f>Base!N98</f>
        <v>6770858.0</v>
      </c>
      <c r="E111" s="8">
        <f>Base!O98</f>
        <v>6117514.289999999</v>
      </c>
      <c r="F111" s="8">
        <f>D111-E111</f>
        <v>653343.7100000009</v>
      </c>
      <c r="G111" s="8">
        <f>Base!Q98</f>
        <v>3961148.719999999</v>
      </c>
      <c r="H111" s="8">
        <f>D111-G111</f>
        <v>2809709.280000001</v>
      </c>
      <c r="I111" s="29">
        <f>IF(D111=0,0,G111/D111)</f>
        <v>0.5850290642633472</v>
      </c>
      <c r="J111" s="7" t="str">
        <f>Base!AH98</f>
        <v>Administración directa / Contrata / Personal/bienes/servicios / Equipamiento</v>
      </c>
      <c r="K111" s="28" t="str">
        <f>Base!I98</f>
        <v>Proyecto de inversión</v>
      </c>
      <c r="L111" s="8" t="str">
        <f>Base!AA98</f>
        <v>No registrado en cartera</v>
      </c>
      <c r="M111" s="8" t="str">
        <f>Base!AB98</f>
        <v>No registrado en cartera</v>
      </c>
      <c r="N111" s="8" t="str">
        <f>Base!AC98</f>
        <v>No registrado en cartera</v>
      </c>
      <c r="O111" s="8" t="str">
        <f>Base!AD98</f>
        <v>No registrado en cartera</v>
      </c>
      <c r="P111" s="7">
        <f>IF(Base!AI98="","",Base!AI98)</f>
        <v/>
      </c>
      <c r="Q111" s="28" t="str">
        <f>Base!J98</f>
        <v>Sin saldo útil</v>
      </c>
      <c r="R111" s="29">
        <f>Base!X98</f>
        <v>0.5953724972686206</v>
      </c>
      <c r="S111" s="8">
        <f>Base!K98</f>
        <v>0.0</v>
      </c>
      <c r="T111" s="7" t="str">
        <f>Base!M98</f>
        <v>Saldo libre menor a S/ 10,000</v>
      </c>
    </row>
    <row r="112" spans="1:20">
      <c r="A112" s="28">
        <f>SUBTOTAL(103,$B$6:B112)</f>
        <v>95</v>
      </c>
      <c r="B112" s="28">
        <v>121</v>
      </c>
      <c r="C112" s="7" t="s">
        <v>478</v>
      </c>
      <c r="D112" s="8">
        <f>Base!N99</f>
        <v>2308286.0</v>
      </c>
      <c r="E112" s="8">
        <f>Base!O99</f>
        <v>0.0</v>
      </c>
      <c r="F112" s="8">
        <f>D112-E112</f>
        <v>2308286.0</v>
      </c>
      <c r="G112" s="8">
        <f>Base!Q99</f>
        <v>0.0</v>
      </c>
      <c r="H112" s="8">
        <f>D112-G112</f>
        <v>2308286.0</v>
      </c>
      <c r="I112" s="29">
        <f>IF(D112=0,0,G112/D112)</f>
        <v>0.0</v>
      </c>
      <c r="J112" s="7" t="str">
        <f>Base!AH99</f>
        <v>Administración directa / Contrata</v>
      </c>
      <c r="K112" s="28" t="str">
        <f>Base!I99</f>
        <v>Proyecto de inversión</v>
      </c>
      <c r="L112" s="8">
        <f>Base!AA99</f>
        <v>800000.0</v>
      </c>
      <c r="M112" s="8">
        <f>Base!AB99</f>
        <v>10345657.0</v>
      </c>
      <c r="N112" s="8">
        <f>Base!AC99</f>
        <v>0</v>
      </c>
      <c r="O112" s="8">
        <f>Base!AD99</f>
        <v>10973904.0</v>
      </c>
      <c r="P112" s="7">
        <f>IF(Base!AI99="","",Base!AI99)</f>
        <v/>
      </c>
      <c r="Q112" s="28" t="str">
        <f>Base!J99</f>
        <v>Sin saldo útil</v>
      </c>
      <c r="R112" s="29">
        <f>Base!X99</f>
        <v>0.01537243991992007</v>
      </c>
      <c r="S112" s="8">
        <f>Base!K99</f>
        <v>0.0</v>
      </c>
      <c r="T112" s="7" t="str">
        <f>Base!M99</f>
        <v>Saldo libre menor a S/ 10,000</v>
      </c>
    </row>
    <row r="113" spans="1:20">
      <c r="A113" s="28">
        <f>SUBTOTAL(103,$B$6:B113)</f>
        <v>96</v>
      </c>
      <c r="B113" s="28">
        <v>463</v>
      </c>
      <c r="C113" s="7" t="s">
        <v>481</v>
      </c>
      <c r="D113" s="8">
        <f>Base!N100</f>
        <v>1827737.0</v>
      </c>
      <c r="E113" s="8">
        <f>Base!O100</f>
        <v>1038425.98</v>
      </c>
      <c r="F113" s="8">
        <f>D113-E113</f>
        <v>789311.02</v>
      </c>
      <c r="G113" s="8">
        <f>Base!Q100</f>
        <v>13810.34</v>
      </c>
      <c r="H113" s="8">
        <f>D113-G113</f>
        <v>1813926.66</v>
      </c>
      <c r="I113" s="29">
        <f>IF(D113=0,0,G113/D113)</f>
        <v>0.007555977692633021</v>
      </c>
      <c r="J113" s="7" t="str">
        <f>Base!AH100</f>
        <v>Administración directa / Contrata</v>
      </c>
      <c r="K113" s="28" t="str">
        <f>Base!I100</f>
        <v>Proyecto de inversión</v>
      </c>
      <c r="L113" s="8" t="str">
        <f>Base!AA100</f>
        <v>No registrado en cartera</v>
      </c>
      <c r="M113" s="8" t="str">
        <f>Base!AB100</f>
        <v>No registrado en cartera</v>
      </c>
      <c r="N113" s="8" t="str">
        <f>Base!AC100</f>
        <v>No registrado en cartera</v>
      </c>
      <c r="O113" s="8" t="str">
        <f>Base!AD100</f>
        <v>No registrado en cartera</v>
      </c>
      <c r="P113" s="7">
        <f>IF(Base!AI100="","",Base!AI100)</f>
        <v/>
      </c>
      <c r="Q113" s="28" t="str">
        <f>Base!J100</f>
        <v>Sin saldo útil</v>
      </c>
      <c r="R113" s="29">
        <f>Base!X100</f>
        <v>0.0058794657742996855</v>
      </c>
      <c r="S113" s="8">
        <f>Base!K100</f>
        <v>0.0</v>
      </c>
      <c r="T113" s="7" t="str">
        <f>Base!M100</f>
        <v>Saldo libre menor a S/ 10,000</v>
      </c>
    </row>
    <row r="114" spans="1:20">
      <c r="A114" s="28">
        <f>SUBTOTAL(103,$B$6:B114)</f>
        <v>97</v>
      </c>
      <c r="B114" s="28">
        <v>128</v>
      </c>
      <c r="C114" s="7" t="s">
        <v>485</v>
      </c>
      <c r="D114" s="8">
        <f>Base!N101</f>
        <v>4106961.0</v>
      </c>
      <c r="E114" s="8">
        <f>Base!O101</f>
        <v>3413280.5300000003</v>
      </c>
      <c r="F114" s="8">
        <f>D114-E114</f>
        <v>693680.4699999997</v>
      </c>
      <c r="G114" s="8">
        <f>Base!Q101</f>
        <v>1831598.54</v>
      </c>
      <c r="H114" s="8">
        <f>D114-G114</f>
        <v>2275362.46</v>
      </c>
      <c r="I114" s="29">
        <f>IF(D114=0,0,G114/D114)</f>
        <v>0.4459741740912563</v>
      </c>
      <c r="J114" s="7" t="str">
        <f>Base!AH101</f>
        <v>Administración directa / Contrata / Personal/bienes/servicios</v>
      </c>
      <c r="K114" s="28" t="str">
        <f>Base!I101</f>
        <v>Proyecto de inversión</v>
      </c>
      <c r="L114" s="8" t="str">
        <f>Base!AA101</f>
        <v>No registrado en cartera</v>
      </c>
      <c r="M114" s="8" t="str">
        <f>Base!AB101</f>
        <v>No registrado en cartera</v>
      </c>
      <c r="N114" s="8" t="str">
        <f>Base!AC101</f>
        <v>No registrado en cartera</v>
      </c>
      <c r="O114" s="8" t="str">
        <f>Base!AD101</f>
        <v>No registrado en cartera</v>
      </c>
      <c r="P114" s="7">
        <f>IF(Base!AI101="","",Base!AI101)</f>
        <v/>
      </c>
      <c r="Q114" s="28" t="str">
        <f>Base!J101</f>
        <v>Sin saldo útil</v>
      </c>
      <c r="R114" s="29">
        <f>Base!X101</f>
        <v>0.5503187494036604</v>
      </c>
      <c r="S114" s="8">
        <f>Base!K101</f>
        <v>0.0</v>
      </c>
      <c r="T114" s="7" t="str">
        <f>Base!M101</f>
        <v>Saldo libre menor a S/ 10,000</v>
      </c>
    </row>
    <row r="115" spans="1:20">
      <c r="A115" s="28">
        <f>SUBTOTAL(103,$B$6:B115)</f>
        <v>98</v>
      </c>
      <c r="B115" s="28">
        <v>105</v>
      </c>
      <c r="C115" s="7" t="s">
        <v>489</v>
      </c>
      <c r="D115" s="8">
        <f>Base!N102</f>
        <v>7751873.0</v>
      </c>
      <c r="E115" s="8">
        <f>Base!O102</f>
        <v>7581999.37</v>
      </c>
      <c r="F115" s="8">
        <f>D115-E115</f>
        <v>169873.6299999999</v>
      </c>
      <c r="G115" s="8">
        <f>Base!Q102</f>
        <v>5292812.7700000005</v>
      </c>
      <c r="H115" s="8">
        <f>D115-G115</f>
        <v>2459060.2299999995</v>
      </c>
      <c r="I115" s="29">
        <f>IF(D115=0,0,G115/D115)</f>
        <v>0.6827785710627613</v>
      </c>
      <c r="J115" s="7" t="str">
        <f>Base!AH102</f>
        <v>Administración directa / Contrata / Personal/bienes/servicios / Equipamiento</v>
      </c>
      <c r="K115" s="28" t="str">
        <f>Base!I102</f>
        <v>Proyecto de inversión</v>
      </c>
      <c r="L115" s="8" t="str">
        <f>Base!AA102</f>
        <v>No registrado en cartera</v>
      </c>
      <c r="M115" s="8" t="str">
        <f>Base!AB102</f>
        <v>No registrado en cartera</v>
      </c>
      <c r="N115" s="8" t="str">
        <f>Base!AC102</f>
        <v>No registrado en cartera</v>
      </c>
      <c r="O115" s="8" t="str">
        <f>Base!AD102</f>
        <v>No registrado en cartera</v>
      </c>
      <c r="P115" s="7">
        <f>IF(Base!AI102="","",Base!AI102)</f>
        <v/>
      </c>
      <c r="Q115" s="28" t="str">
        <f>Base!J102</f>
        <v>Sin saldo útil</v>
      </c>
      <c r="R115" s="29">
        <f>Base!X102</f>
        <v>0.8241888705269461</v>
      </c>
      <c r="S115" s="8">
        <f>Base!K102</f>
        <v>0.0</v>
      </c>
      <c r="T115" s="7" t="str">
        <f>Base!M102</f>
        <v>Saldo libre menor a S/ 10,000</v>
      </c>
    </row>
    <row r="116" spans="1:20">
      <c r="A116" s="28">
        <f>SUBTOTAL(103,$B$6:B116)</f>
        <v>99</v>
      </c>
      <c r="B116" s="28">
        <v>114</v>
      </c>
      <c r="C116" s="7" t="s">
        <v>492</v>
      </c>
      <c r="D116" s="8">
        <f>Base!N103</f>
        <v>936343.0</v>
      </c>
      <c r="E116" s="8">
        <f>Base!O103</f>
        <v>868354.77</v>
      </c>
      <c r="F116" s="8">
        <f>D116-E116</f>
        <v>67988.22999999998</v>
      </c>
      <c r="G116" s="8">
        <f>Base!Q103</f>
        <v>868354.72</v>
      </c>
      <c r="H116" s="8">
        <f>D116-G116</f>
        <v>67988.28000000003</v>
      </c>
      <c r="I116" s="29">
        <f>IF(D116=0,0,G116/D116)</f>
        <v>0.927389557031985</v>
      </c>
      <c r="J116" s="7" t="str">
        <f>Base!AH103</f>
        <v>Administración directa / Contrata / Personal/bienes/servicios</v>
      </c>
      <c r="K116" s="28" t="str">
        <f>Base!I103</f>
        <v>Proyecto de inversión</v>
      </c>
      <c r="L116" s="8" t="str">
        <f>Base!AA103</f>
        <v>No registrado en cartera</v>
      </c>
      <c r="M116" s="8" t="str">
        <f>Base!AB103</f>
        <v>No registrado en cartera</v>
      </c>
      <c r="N116" s="8" t="str">
        <f>Base!AC103</f>
        <v>No registrado en cartera</v>
      </c>
      <c r="O116" s="8" t="str">
        <f>Base!AD103</f>
        <v>No registrado en cartera</v>
      </c>
      <c r="P116" s="7">
        <f>IF(Base!AI103="","",Base!AI103)</f>
        <v/>
      </c>
      <c r="Q116" s="28" t="str">
        <f>Base!J103</f>
        <v>No mover</v>
      </c>
      <c r="R116" s="29">
        <f>Base!X103</f>
        <v>0.9951554776161496</v>
      </c>
      <c r="S116" s="8">
        <f>Base!K103</f>
        <v>0.0</v>
      </c>
      <c r="T116" s="7" t="str">
        <f>Base!M103</f>
        <v>Devengado 2026 ≥ 90% del PIM</v>
      </c>
    </row>
    <row r="117" spans="1:20">
      <c r="A117" s="28">
        <f>SUBTOTAL(103,$B$6:B117)</f>
        <v>100</v>
      </c>
      <c r="B117" s="28">
        <v>167</v>
      </c>
      <c r="C117" s="7" t="s">
        <v>495</v>
      </c>
      <c r="D117" s="8">
        <f>Base!N104</f>
        <v>565870.0</v>
      </c>
      <c r="E117" s="8">
        <f>Base!O104</f>
        <v>502948.57000000007</v>
      </c>
      <c r="F117" s="8">
        <f>D117-E117</f>
        <v>62921.429999999935</v>
      </c>
      <c r="G117" s="8">
        <f>Base!Q104</f>
        <v>446229.16</v>
      </c>
      <c r="H117" s="8">
        <f>D117-G117</f>
        <v>119640.84000000003</v>
      </c>
      <c r="I117" s="29">
        <f>IF(D117=0,0,G117/D117)</f>
        <v>0.7885718627953416</v>
      </c>
      <c r="J117" s="7" t="str">
        <f>Base!AH104</f>
        <v>Administración directa / Contrata / Personal/bienes/servicios</v>
      </c>
      <c r="K117" s="28" t="str">
        <f>Base!I104</f>
        <v>Proyecto de inversión</v>
      </c>
      <c r="L117" s="8" t="str">
        <f>Base!AA104</f>
        <v>No registrado en cartera</v>
      </c>
      <c r="M117" s="8" t="str">
        <f>Base!AB104</f>
        <v>No registrado en cartera</v>
      </c>
      <c r="N117" s="8" t="str">
        <f>Base!AC104</f>
        <v>No registrado en cartera</v>
      </c>
      <c r="O117" s="8" t="str">
        <f>Base!AD104</f>
        <v>No registrado en cartera</v>
      </c>
      <c r="P117" s="7">
        <f>IF(Base!AI104="","",Base!AI104)</f>
        <v/>
      </c>
      <c r="Q117" s="28" t="str">
        <f>Base!J104</f>
        <v>No mover</v>
      </c>
      <c r="R117" s="29">
        <f>Base!X104</f>
        <v>0.9453248000654878</v>
      </c>
      <c r="S117" s="8">
        <f>Base!K104</f>
        <v>0.0</v>
      </c>
      <c r="T117" s="7" t="str">
        <f>Base!M104</f>
        <v>Avance financiero acumulado 95% (&gt; 90%)</v>
      </c>
    </row>
    <row r="118" spans="1:20">
      <c r="A118" s="25" t="s">
        <v>319</v>
      </c>
      <c r="B118" s="25"/>
      <c r="C118" s="25"/>
      <c r="D118" s="26">
        <f>SUM(D119:D121)</f>
        <v>6449080.0</v>
      </c>
      <c r="E118" s="26">
        <f>SUM(E119:E121)</f>
        <v>6391544.64</v>
      </c>
      <c r="F118" s="26">
        <f>D118-E118</f>
        <v>57535.360000000335</v>
      </c>
      <c r="G118" s="26">
        <f>SUM(G119:G121)</f>
        <v>208464.85</v>
      </c>
      <c r="H118" s="26">
        <f>D118-G118</f>
        <v>6240615.15</v>
      </c>
      <c r="I118" s="27">
        <f>IF(D118=0,0,G118/D118)</f>
        <v>0.03232474244388347</v>
      </c>
      <c r="J118" s="25"/>
      <c r="K118" s="25"/>
      <c r="L118" s="25"/>
      <c r="M118" s="25"/>
      <c r="N118" s="25"/>
      <c r="O118" s="25"/>
      <c r="P118" s="25"/>
      <c r="Q118" s="25"/>
      <c r="R118" s="25"/>
      <c r="S118" s="26">
        <f>SUM(S119:S121)</f>
        <v>12925.0</v>
      </c>
      <c r="T118" s="25"/>
    </row>
    <row r="119" spans="1:20">
      <c r="A119" s="28">
        <f>SUBTOTAL(103,$B$6:B119)</f>
        <v>101</v>
      </c>
      <c r="B119" s="28">
        <v>69</v>
      </c>
      <c r="C119" s="7" t="s">
        <v>499</v>
      </c>
      <c r="D119" s="8">
        <f>Base!N105</f>
        <v>1075076.0</v>
      </c>
      <c r="E119" s="8">
        <f>Base!O105</f>
        <v>1062250.0</v>
      </c>
      <c r="F119" s="8">
        <f>D119-E119</f>
        <v>12826.0</v>
      </c>
      <c r="G119" s="8">
        <f>Base!Q105</f>
        <v>20822.47</v>
      </c>
      <c r="H119" s="8">
        <f>D119-G119</f>
        <v>1054253.53</v>
      </c>
      <c r="I119" s="29">
        <f>IF(D119=0,0,G119/D119)</f>
        <v>0.019368370236150748</v>
      </c>
      <c r="J119" s="7" t="str">
        <f>Base!AH105</f>
        <v>Contrata / Expediente técnico</v>
      </c>
      <c r="K119" s="28" t="str">
        <f>Base!I105</f>
        <v>IOARR</v>
      </c>
      <c r="L119" s="8">
        <f>Base!AA105</f>
        <v>1062638.0</v>
      </c>
      <c r="M119" s="8">
        <f>Base!AB105</f>
        <v>245874.0</v>
      </c>
      <c r="N119" s="8">
        <f>Base!AC105</f>
        <v>0</v>
      </c>
      <c r="O119" s="8">
        <f>Base!AD105</f>
        <v>0</v>
      </c>
      <c r="P119" s="7">
        <f>IF(Base!AI105="","",Base!AI105)</f>
        <v/>
      </c>
      <c r="Q119" s="28" t="str">
        <f>Base!J105</f>
        <v>Con condiciones</v>
      </c>
      <c r="R119" s="29">
        <f>Base!X105</f>
        <v>0.03335106433276457</v>
      </c>
      <c r="S119" s="8">
        <f>Base!K105</f>
        <v>12826.0</v>
      </c>
      <c r="T119" s="7" t="str">
        <f>Base!M105</f>
        <v>Está programado en el PMI 2026 · Tiene monto en el PMI 2027 (S/ 245,874)</v>
      </c>
    </row>
    <row r="120" spans="1:20">
      <c r="A120" s="28">
        <f>SUBTOTAL(103,$B$6:B120)</f>
        <v>102</v>
      </c>
      <c r="B120" s="28">
        <v>73</v>
      </c>
      <c r="C120" s="7" t="s">
        <v>504</v>
      </c>
      <c r="D120" s="8">
        <f>Base!N106</f>
        <v>4474004.0</v>
      </c>
      <c r="E120" s="8">
        <f>Base!O106</f>
        <v>4473905.0</v>
      </c>
      <c r="F120" s="8">
        <f>D120-E120</f>
        <v>99.0</v>
      </c>
      <c r="G120" s="8">
        <f>Base!Q106</f>
        <v>0.0</v>
      </c>
      <c r="H120" s="8">
        <f>D120-G120</f>
        <v>4474004.0</v>
      </c>
      <c r="I120" s="29">
        <f>IF(D120=0,0,G120/D120)</f>
        <v>0.0</v>
      </c>
      <c r="J120" s="7" t="str">
        <f>Base!AH106</f>
        <v>Contrata / Expediente técnico</v>
      </c>
      <c r="K120" s="28" t="str">
        <f>Base!I106</f>
        <v>IOARR</v>
      </c>
      <c r="L120" s="8">
        <f>Base!AA106</f>
        <v>1556258.0</v>
      </c>
      <c r="M120" s="8">
        <f>Base!AB106</f>
        <v>2054256.0</v>
      </c>
      <c r="N120" s="8">
        <f>Base!AC106</f>
        <v>0</v>
      </c>
      <c r="O120" s="8">
        <f>Base!AD106</f>
        <v>994904.0</v>
      </c>
      <c r="P120" s="7">
        <f>IF(Base!AI106="","",Base!AI106)</f>
        <v/>
      </c>
      <c r="Q120" s="28" t="str">
        <f>Base!J106</f>
        <v>Rebajando certificación</v>
      </c>
      <c r="R120" s="29">
        <f>Base!X106</f>
        <v>0.014878272633131573</v>
      </c>
      <c r="S120" s="8">
        <f>Base!K106</f>
        <v>99.0</v>
      </c>
      <c r="T120" s="7" t="str">
        <f>Base!M106</f>
        <v>Sin saldo libre; hay S/ 4,438,806 certificados sin comprometer ni programar en el 12-B (requiere rebajar la certificación)</v>
      </c>
    </row>
    <row r="121" spans="1:20">
      <c r="A121" s="28">
        <f>SUBTOTAL(103,$B$6:B121)</f>
        <v>103</v>
      </c>
      <c r="B121" s="28">
        <v>504</v>
      </c>
      <c r="C121" s="7" t="s">
        <v>508</v>
      </c>
      <c r="D121" s="8">
        <f>Base!N107</f>
        <v>900000.0</v>
      </c>
      <c r="E121" s="8">
        <f>Base!O107</f>
        <v>855389.64</v>
      </c>
      <c r="F121" s="8">
        <f>D121-E121</f>
        <v>44610.359999999986</v>
      </c>
      <c r="G121" s="8">
        <f>Base!Q107</f>
        <v>187642.38</v>
      </c>
      <c r="H121" s="8">
        <f>D121-G121</f>
        <v>712357.62</v>
      </c>
      <c r="I121" s="29">
        <f>IF(D121=0,0,G121/D121)</f>
        <v>0.20849153333333334</v>
      </c>
      <c r="J121" s="7" t="str">
        <f>Base!AH107</f>
        <v>Administración directa / Contrata / Personal/bienes/servicios / Equipamiento</v>
      </c>
      <c r="K121" s="28" t="str">
        <f>Base!I107</f>
        <v>Proyecto de inversión</v>
      </c>
      <c r="L121" s="8" t="str">
        <f>Base!AA107</f>
        <v>No registrado en cartera</v>
      </c>
      <c r="M121" s="8" t="str">
        <f>Base!AB107</f>
        <v>No registrado en cartera</v>
      </c>
      <c r="N121" s="8" t="str">
        <f>Base!AC107</f>
        <v>No registrado en cartera</v>
      </c>
      <c r="O121" s="8" t="str">
        <f>Base!AD107</f>
        <v>No registrado en cartera</v>
      </c>
      <c r="P121" s="7">
        <f>IF(Base!AI107="","",Base!AI107)</f>
        <v/>
      </c>
      <c r="Q121" s="28" t="str">
        <f>Base!J107</f>
        <v>Sin saldo útil</v>
      </c>
      <c r="R121" s="29">
        <f>Base!X107</f>
        <v>0.05453324105641346</v>
      </c>
      <c r="S121" s="8">
        <f>Base!K107</f>
        <v>0.0</v>
      </c>
      <c r="T121" s="7" t="str">
        <f>Base!M107</f>
        <v>Saldo libre menor a S/ 10,000</v>
      </c>
    </row>
    <row r="122" spans="1:20">
      <c r="A122" s="9" t="s">
        <v>510</v>
      </c>
      <c r="B122" s="9"/>
      <c r="C122" s="9"/>
      <c r="D122" s="10">
        <f>D123+D133+D144+D146+D149</f>
        <v>199274718.0</v>
      </c>
      <c r="E122" s="10">
        <f>E123+E133+E144+E146+E149</f>
        <v>191899044.49</v>
      </c>
      <c r="F122" s="10">
        <f>D122-E122</f>
        <v>7375673.50999999</v>
      </c>
      <c r="G122" s="10">
        <f>G123+G133+G144+G146+G149</f>
        <v>104459874.83000001</v>
      </c>
      <c r="H122" s="10">
        <f>D122-G122</f>
        <v>94814843.16999999</v>
      </c>
      <c r="I122" s="24">
        <f>IF(D122=0,0,G122/D122)</f>
        <v>0.5242003395031778</v>
      </c>
      <c r="J122" s="9"/>
      <c r="K122" s="9"/>
      <c r="L122" s="9"/>
      <c r="M122" s="9"/>
      <c r="N122" s="9"/>
      <c r="O122" s="9"/>
      <c r="P122" s="9"/>
      <c r="Q122" s="9"/>
      <c r="R122" s="9"/>
      <c r="S122" s="10">
        <f>S123+S133+S144+S146+S149</f>
        <v>278341.7699999999</v>
      </c>
      <c r="T122" s="9"/>
    </row>
    <row r="123" spans="1:20">
      <c r="A123" s="25" t="s">
        <v>102</v>
      </c>
      <c r="B123" s="25"/>
      <c r="C123" s="25"/>
      <c r="D123" s="26">
        <f>SUM(D124:D132)</f>
        <v>31210021.0</v>
      </c>
      <c r="E123" s="26">
        <f>SUM(E124:E132)</f>
        <v>28924498.15</v>
      </c>
      <c r="F123" s="26">
        <f>D123-E123</f>
        <v>2285522.8500000015</v>
      </c>
      <c r="G123" s="26">
        <f>SUM(G124:G132)</f>
        <v>14467550.45</v>
      </c>
      <c r="H123" s="26">
        <f>D123-G123</f>
        <v>16742470.55</v>
      </c>
      <c r="I123" s="27">
        <f>IF(D123=0,0,G123/D123)</f>
        <v>0.4635546528469173</v>
      </c>
      <c r="J123" s="25"/>
      <c r="K123" s="25"/>
      <c r="L123" s="25"/>
      <c r="M123" s="25"/>
      <c r="N123" s="25"/>
      <c r="O123" s="25"/>
      <c r="P123" s="25"/>
      <c r="Q123" s="25"/>
      <c r="R123" s="25"/>
      <c r="S123" s="26">
        <f>SUM(S124:S132)</f>
        <v>5679.969999999972</v>
      </c>
      <c r="T123" s="25"/>
    </row>
    <row r="124" spans="1:20">
      <c r="A124" s="28">
        <f>SUBTOTAL(103,$B$6:B124)</f>
        <v>104</v>
      </c>
      <c r="B124" s="28">
        <v>34</v>
      </c>
      <c r="C124" s="7" t="s">
        <v>513</v>
      </c>
      <c r="D124" s="8">
        <f>Base!N108</f>
        <v>8692228.0</v>
      </c>
      <c r="E124" s="8">
        <f>Base!O108</f>
        <v>8634477.36</v>
      </c>
      <c r="F124" s="8">
        <f>D124-E124</f>
        <v>57750.640000000596</v>
      </c>
      <c r="G124" s="8">
        <f>Base!Q108</f>
        <v>4987667.55</v>
      </c>
      <c r="H124" s="8">
        <f>D124-G124</f>
        <v>3704560.45</v>
      </c>
      <c r="I124" s="29">
        <f>IF(D124=0,0,G124/D124)</f>
        <v>0.5738077222548695</v>
      </c>
      <c r="J124" s="7" t="str">
        <f>Base!AH108</f>
        <v>Contrata / Personal/bienes/servicios / Equipamiento</v>
      </c>
      <c r="K124" s="28" t="str">
        <f>Base!I108</f>
        <v>Proyecto de inversión</v>
      </c>
      <c r="L124" s="8">
        <f>Base!AA108</f>
        <v>12431185.0</v>
      </c>
      <c r="M124" s="8">
        <f>Base!AB108</f>
        <v>4843790.0</v>
      </c>
      <c r="N124" s="8">
        <f>Base!AC108</f>
        <v>2910115.0</v>
      </c>
      <c r="O124" s="8">
        <f>Base!AD108</f>
        <v>0</v>
      </c>
      <c r="P124" s="7">
        <f>IF(Base!AI108="","",Base!AI108)</f>
        <v/>
      </c>
      <c r="Q124" s="28" t="str">
        <f>Base!J108</f>
        <v>Sin saldo útil</v>
      </c>
      <c r="R124" s="29">
        <f>Base!X108</f>
        <v>0.22546482924595151</v>
      </c>
      <c r="S124" s="8">
        <f>Base!K108</f>
        <v>0.0</v>
      </c>
      <c r="T124" s="7" t="str">
        <f>Base!M108</f>
        <v>Saldo libre menor a S/ 10,000</v>
      </c>
    </row>
    <row r="125" spans="1:20">
      <c r="A125" s="28">
        <f>SUBTOTAL(103,$B$6:B125)</f>
        <v>105</v>
      </c>
      <c r="B125" s="28">
        <v>460</v>
      </c>
      <c r="C125" s="7" t="s">
        <v>517</v>
      </c>
      <c r="D125" s="8">
        <f>Base!N109</f>
        <v>4437995.0</v>
      </c>
      <c r="E125" s="8">
        <f>Base!O109</f>
        <v>3605496.8599999994</v>
      </c>
      <c r="F125" s="8">
        <f>D125-E125</f>
        <v>832498.1400000006</v>
      </c>
      <c r="G125" s="8">
        <f>Base!Q109</f>
        <v>2493396.69</v>
      </c>
      <c r="H125" s="8">
        <f>D125-G125</f>
        <v>1944598.31</v>
      </c>
      <c r="I125" s="29">
        <f>IF(D125=0,0,G125/D125)</f>
        <v>0.5618295401414377</v>
      </c>
      <c r="J125" s="7" t="str">
        <f>Base!AH109</f>
        <v>Administración directa / Contrata / Equipamiento / Personal/bienes/servicios</v>
      </c>
      <c r="K125" s="28" t="str">
        <f>Base!I109</f>
        <v>Proyecto de inversión</v>
      </c>
      <c r="L125" s="8" t="str">
        <f>Base!AA109</f>
        <v>No registrado en cartera</v>
      </c>
      <c r="M125" s="8" t="str">
        <f>Base!AB109</f>
        <v>No registrado en cartera</v>
      </c>
      <c r="N125" s="8" t="str">
        <f>Base!AC109</f>
        <v>No registrado en cartera</v>
      </c>
      <c r="O125" s="8" t="str">
        <f>Base!AD109</f>
        <v>No registrado en cartera</v>
      </c>
      <c r="P125" s="7">
        <f>IF(Base!AI109="","",Base!AI109)</f>
        <v/>
      </c>
      <c r="Q125" s="28" t="str">
        <f>Base!J109</f>
        <v>Sin saldo útil</v>
      </c>
      <c r="R125" s="29">
        <f>Base!X109</f>
        <v>0.5719554905951993</v>
      </c>
      <c r="S125" s="8">
        <f>Base!K109</f>
        <v>0.0</v>
      </c>
      <c r="T125" s="7" t="str">
        <f>Base!M109</f>
        <v>Saldo libre menor a S/ 10,000</v>
      </c>
    </row>
    <row r="126" spans="1:20">
      <c r="A126" s="28">
        <f>SUBTOTAL(103,$B$6:B126)</f>
        <v>106</v>
      </c>
      <c r="B126" s="28">
        <v>455</v>
      </c>
      <c r="C126" s="7" t="s">
        <v>520</v>
      </c>
      <c r="D126" s="8">
        <f>Base!N110</f>
        <v>4265759.0</v>
      </c>
      <c r="E126" s="8">
        <f>Base!O110</f>
        <v>3847052.94</v>
      </c>
      <c r="F126" s="8">
        <f>D126-E126</f>
        <v>418706.06000000006</v>
      </c>
      <c r="G126" s="8">
        <f>Base!Q110</f>
        <v>2741829.61</v>
      </c>
      <c r="H126" s="8">
        <f>D126-G126</f>
        <v>1523929.3900000001</v>
      </c>
      <c r="I126" s="29">
        <f>IF(D126=0,0,G126/D126)</f>
        <v>0.6427530505122301</v>
      </c>
      <c r="J126" s="7" t="str">
        <f>Base!AH110</f>
        <v>Administración directa / Contrata / Equipamiento / Personal/bienes/servicios</v>
      </c>
      <c r="K126" s="28" t="str">
        <f>Base!I110</f>
        <v>Proyecto de inversión</v>
      </c>
      <c r="L126" s="8" t="str">
        <f>Base!AA110</f>
        <v>No registrado en cartera</v>
      </c>
      <c r="M126" s="8" t="str">
        <f>Base!AB110</f>
        <v>No registrado en cartera</v>
      </c>
      <c r="N126" s="8" t="str">
        <f>Base!AC110</f>
        <v>No registrado en cartera</v>
      </c>
      <c r="O126" s="8" t="str">
        <f>Base!AD110</f>
        <v>No registrado en cartera</v>
      </c>
      <c r="P126" s="7">
        <f>IF(Base!AI110="","",Base!AI110)</f>
        <v/>
      </c>
      <c r="Q126" s="28" t="str">
        <f>Base!J110</f>
        <v>Sin saldo útil</v>
      </c>
      <c r="R126" s="29">
        <f>Base!X110</f>
        <v>0.5950397049067939</v>
      </c>
      <c r="S126" s="8">
        <f>Base!K110</f>
        <v>0.0</v>
      </c>
      <c r="T126" s="7" t="str">
        <f>Base!M110</f>
        <v>Saldo libre menor a S/ 10,000</v>
      </c>
    </row>
    <row r="127" spans="1:20">
      <c r="A127" s="28">
        <f>SUBTOTAL(103,$B$6:B127)</f>
        <v>107</v>
      </c>
      <c r="B127" s="28">
        <v>172</v>
      </c>
      <c r="C127" s="7" t="s">
        <v>524</v>
      </c>
      <c r="D127" s="8">
        <f>Base!N111</f>
        <v>2342684.0</v>
      </c>
      <c r="E127" s="8">
        <f>Base!O111</f>
        <v>2160743.33</v>
      </c>
      <c r="F127" s="8">
        <f>D127-E127</f>
        <v>181940.66999999993</v>
      </c>
      <c r="G127" s="8">
        <f>Base!Q111</f>
        <v>1123789.35</v>
      </c>
      <c r="H127" s="8">
        <f>D127-G127</f>
        <v>1218894.65</v>
      </c>
      <c r="I127" s="29">
        <f>IF(D127=0,0,G127/D127)</f>
        <v>0.47970163709659525</v>
      </c>
      <c r="J127" s="7" t="str">
        <f>Base!AH111</f>
        <v>Administración directa / Contrata / Personal/bienes/servicios</v>
      </c>
      <c r="K127" s="28" t="str">
        <f>Base!I111</f>
        <v>Proyecto de inversión</v>
      </c>
      <c r="L127" s="8">
        <f>Base!AA111</f>
        <v>800000.0</v>
      </c>
      <c r="M127" s="8">
        <f>Base!AB111</f>
        <v>26969.0</v>
      </c>
      <c r="N127" s="8">
        <f>Base!AC111</f>
        <v>0</v>
      </c>
      <c r="O127" s="8">
        <f>Base!AD111</f>
        <v>0</v>
      </c>
      <c r="P127" s="7">
        <f>IF(Base!AI111="","",Base!AI111)</f>
        <v/>
      </c>
      <c r="Q127" s="28" t="str">
        <f>Base!J111</f>
        <v>Sin saldo útil</v>
      </c>
      <c r="R127" s="29">
        <f>Base!X111</f>
        <v>0.46033295161127324</v>
      </c>
      <c r="S127" s="8">
        <f>Base!K111</f>
        <v>0.0</v>
      </c>
      <c r="T127" s="7" t="str">
        <f>Base!M111</f>
        <v>Saldo libre menor a S/ 10,000</v>
      </c>
    </row>
    <row r="128" spans="1:20">
      <c r="A128" s="28">
        <f>SUBTOTAL(103,$B$6:B128)</f>
        <v>108</v>
      </c>
      <c r="B128" s="28">
        <v>28</v>
      </c>
      <c r="C128" s="7" t="s">
        <v>527</v>
      </c>
      <c r="D128" s="8">
        <f>Base!N112</f>
        <v>4026127.0</v>
      </c>
      <c r="E128" s="8">
        <f>Base!O112</f>
        <v>3941445.94</v>
      </c>
      <c r="F128" s="8">
        <f>D128-E128</f>
        <v>84681.06000000006</v>
      </c>
      <c r="G128" s="8">
        <f>Base!Q112</f>
        <v>1387806.25</v>
      </c>
      <c r="H128" s="8">
        <f>D128-G128</f>
        <v>2638320.75</v>
      </c>
      <c r="I128" s="29">
        <f>IF(D128=0,0,G128/D128)</f>
        <v>0.34470006783193874</v>
      </c>
      <c r="J128" s="7" t="str">
        <f>Base!AH112</f>
        <v>Contrata / Personal/bienes/servicios</v>
      </c>
      <c r="K128" s="28" t="str">
        <f>Base!I112</f>
        <v>Proyecto de inversión</v>
      </c>
      <c r="L128" s="8">
        <f>Base!AA112</f>
        <v>2120577.0</v>
      </c>
      <c r="M128" s="8">
        <f>Base!AB112</f>
        <v>5094106.0</v>
      </c>
      <c r="N128" s="8">
        <f>Base!AC112</f>
        <v>4994536.0</v>
      </c>
      <c r="O128" s="8">
        <f>Base!AD112</f>
        <v>0</v>
      </c>
      <c r="P128" s="7">
        <f>IF(Base!AI112="","",Base!AI112)</f>
        <v/>
      </c>
      <c r="Q128" s="28" t="str">
        <f>Base!J112</f>
        <v>Sin saldo útil</v>
      </c>
      <c r="R128" s="29">
        <f>Base!X112</f>
        <v>0.14634991590117158</v>
      </c>
      <c r="S128" s="8">
        <f>Base!K112</f>
        <v>0.0</v>
      </c>
      <c r="T128" s="7" t="str">
        <f>Base!M112</f>
        <v>Saldo libre menor a S/ 10,000</v>
      </c>
    </row>
    <row r="129" spans="1:20">
      <c r="A129" s="28">
        <f>SUBTOTAL(103,$B$6:B129)</f>
        <v>109</v>
      </c>
      <c r="B129" s="28">
        <v>32</v>
      </c>
      <c r="C129" s="7" t="s">
        <v>530</v>
      </c>
      <c r="D129" s="8">
        <f>Base!N113</f>
        <v>4927527.0</v>
      </c>
      <c r="E129" s="8">
        <f>Base!O113</f>
        <v>4223260.6899999995</v>
      </c>
      <c r="F129" s="8">
        <f>D129-E129</f>
        <v>704266.3100000005</v>
      </c>
      <c r="G129" s="8">
        <f>Base!Q113</f>
        <v>1725644.14</v>
      </c>
      <c r="H129" s="8">
        <f>D129-G129</f>
        <v>3201882.8600000003</v>
      </c>
      <c r="I129" s="29">
        <f>IF(D129=0,0,G129/D129)</f>
        <v>0.35020490806037186</v>
      </c>
      <c r="J129" s="7" t="str">
        <f>Base!AH113</f>
        <v>Administración directa / Contrata / Equipamiento / Personal/bienes/servicios</v>
      </c>
      <c r="K129" s="28" t="str">
        <f>Base!I113</f>
        <v>Proyecto de inversión</v>
      </c>
      <c r="L129" s="8">
        <f>Base!AA113</f>
        <v>2000000.0</v>
      </c>
      <c r="M129" s="8">
        <f>Base!AB113</f>
        <v>8000000.0</v>
      </c>
      <c r="N129" s="8">
        <f>Base!AC113</f>
        <v>9133500.0</v>
      </c>
      <c r="O129" s="8">
        <f>Base!AD113</f>
        <v>8629252.0</v>
      </c>
      <c r="P129" s="7">
        <f>IF(Base!AI113="","",Base!AI113)</f>
        <v/>
      </c>
      <c r="Q129" s="28" t="str">
        <f>Base!J113</f>
        <v>Sin saldo útil</v>
      </c>
      <c r="R129" s="29">
        <f>Base!X113</f>
        <v>0.06969598209790624</v>
      </c>
      <c r="S129" s="8">
        <f>Base!K113</f>
        <v>0.0</v>
      </c>
      <c r="T129" s="7" t="str">
        <f>Base!M113</f>
        <v>Saldo libre menor a S/ 10,000</v>
      </c>
    </row>
    <row r="130" spans="1:20">
      <c r="A130" s="28">
        <f>SUBTOTAL(103,$B$6:B130)</f>
        <v>110</v>
      </c>
      <c r="B130" s="28">
        <v>156</v>
      </c>
      <c r="C130" s="7" t="s">
        <v>533</v>
      </c>
      <c r="D130" s="8">
        <f>Base!N114</f>
        <v>1479604.0</v>
      </c>
      <c r="E130" s="8">
        <f>Base!O114</f>
        <v>1473924.03</v>
      </c>
      <c r="F130" s="8">
        <f>D130-E130</f>
        <v>5679.969999999972</v>
      </c>
      <c r="G130" s="8">
        <f>Base!Q114</f>
        <v>7416.86</v>
      </c>
      <c r="H130" s="8">
        <f>D130-G130</f>
        <v>1472187.14</v>
      </c>
      <c r="I130" s="29">
        <f>IF(D130=0,0,G130/D130)</f>
        <v>0.005012733136704145</v>
      </c>
      <c r="J130" s="7" t="str">
        <f>Base!AH114</f>
        <v>Contrata / Expediente técnico</v>
      </c>
      <c r="K130" s="28" t="str">
        <f>Base!I114</f>
        <v>Proyecto de inversión</v>
      </c>
      <c r="L130" s="8">
        <f>Base!AA114</f>
        <v>3000000.0</v>
      </c>
      <c r="M130" s="8">
        <f>Base!AB114</f>
        <v>6984785.0</v>
      </c>
      <c r="N130" s="8">
        <f>Base!AC114</f>
        <v>0</v>
      </c>
      <c r="O130" s="8">
        <f>Base!AD114</f>
        <v>6681576.0</v>
      </c>
      <c r="P130" s="7">
        <f>IF(Base!AI114="","",Base!AI114)</f>
        <v/>
      </c>
      <c r="Q130" s="28" t="str">
        <f>Base!J114</f>
        <v>Rebajando certificación</v>
      </c>
      <c r="R130" s="29">
        <f>Base!X114</f>
        <v>0.03506289398068379</v>
      </c>
      <c r="S130" s="8">
        <f>Base!K114</f>
        <v>5679.969999999972</v>
      </c>
      <c r="T130" s="7" t="str">
        <f>Base!M114</f>
        <v>Sin saldo libre; hay S/ 1,335,804 certificados sin comprometer ni programar en el 12-B (requiere rebajar la certificación)</v>
      </c>
    </row>
    <row r="131" spans="1:20">
      <c r="A131" s="28">
        <f>SUBTOTAL(103,$B$6:B131)</f>
        <v>111</v>
      </c>
      <c r="B131" s="28">
        <v>506</v>
      </c>
      <c r="C131" s="7" t="s">
        <v>537</v>
      </c>
      <c r="D131" s="8">
        <f>Base!N115</f>
        <v>1038097.0</v>
      </c>
      <c r="E131" s="8">
        <f>Base!O115</f>
        <v>1038097.0</v>
      </c>
      <c r="F131" s="8">
        <f>D131-E131</f>
        <v>0.0</v>
      </c>
      <c r="G131" s="8">
        <f>Base!Q115</f>
        <v>0.0</v>
      </c>
      <c r="H131" s="8">
        <f>D131-G131</f>
        <v>1038097.0</v>
      </c>
      <c r="I131" s="29">
        <f>IF(D131=0,0,G131/D131)</f>
        <v>0.0</v>
      </c>
      <c r="J131" s="7" t="str">
        <f>Base!AH115</f>
        <v>Contrata</v>
      </c>
      <c r="K131" s="28" t="str">
        <f>Base!I115</f>
        <v>Proyecto de inversión</v>
      </c>
      <c r="L131" s="8" t="str">
        <f>Base!AA115</f>
        <v>No registrado en cartera</v>
      </c>
      <c r="M131" s="8" t="str">
        <f>Base!AB115</f>
        <v>No registrado en cartera</v>
      </c>
      <c r="N131" s="8" t="str">
        <f>Base!AC115</f>
        <v>No registrado en cartera</v>
      </c>
      <c r="O131" s="8" t="str">
        <f>Base!AD115</f>
        <v>No registrado en cartera</v>
      </c>
      <c r="P131" s="7">
        <f>IF(Base!AI115="","",Base!AI115)</f>
        <v/>
      </c>
      <c r="Q131" s="28" t="str">
        <f>Base!J115</f>
        <v>Rebajando certificación</v>
      </c>
      <c r="R131" s="29">
        <f>Base!X115</f>
        <v>0.016293211991982148</v>
      </c>
      <c r="S131" s="8">
        <f>Base!K115</f>
        <v>0.0</v>
      </c>
      <c r="T131" s="7" t="str">
        <f>Base!M115</f>
        <v>Sin saldo libre; hay S/ 970,838 certificados sin comprometer ni programar en el 12-B (requiere rebajar la certificación)</v>
      </c>
    </row>
    <row r="132" spans="1:20">
      <c r="A132" s="28">
        <f>SUBTOTAL(103,$B$6:B132)</f>
        <v>112</v>
      </c>
      <c r="B132" s="28">
        <v>23</v>
      </c>
      <c r="C132" s="7" t="s">
        <v>541</v>
      </c>
      <c r="D132" s="8">
        <f>Base!N116</f>
        <v>0.0</v>
      </c>
      <c r="E132" s="8">
        <f>Base!O116</f>
        <v>0.0</v>
      </c>
      <c r="F132" s="8">
        <f>D132-E132</f>
        <v>0.0</v>
      </c>
      <c r="G132" s="8">
        <f>Base!Q116</f>
        <v>0.0</v>
      </c>
      <c r="H132" s="8">
        <f>D132-G132</f>
        <v>0.0</v>
      </c>
      <c r="I132" s="29">
        <f>IF(D132=0,0,G132/D132)</f>
        <v>0</v>
      </c>
      <c r="J132" s="7" t="str">
        <f>Base!AH116</f>
        <v>Personal/bienes/servicios</v>
      </c>
      <c r="K132" s="28" t="str">
        <f>Base!I116</f>
        <v>Proyecto de inversión</v>
      </c>
      <c r="L132" s="8">
        <f>Base!AA116</f>
        <v>144908.0</v>
      </c>
      <c r="M132" s="8">
        <f>Base!AB116</f>
        <v>229001.0</v>
      </c>
      <c r="N132" s="8">
        <f>Base!AC116</f>
        <v>0</v>
      </c>
      <c r="O132" s="8">
        <f>Base!AD116</f>
        <v>0</v>
      </c>
      <c r="P132" s="7">
        <f>IF(Base!AI116="","",Base!AI116)</f>
        <v/>
      </c>
      <c r="Q132" s="28" t="str">
        <f>Base!J116</f>
        <v>Sin PIM</v>
      </c>
      <c r="R132" s="29">
        <f>Base!X116</f>
        <v>0.9722351122878343</v>
      </c>
      <c r="S132" s="8">
        <f>Base!K116</f>
        <v>0.0</v>
      </c>
      <c r="T132" s="7" t="str">
        <f>Base!M116</f>
        <v>PIM igual a 0</v>
      </c>
    </row>
    <row r="133" spans="1:20">
      <c r="A133" s="25" t="s">
        <v>78</v>
      </c>
      <c r="B133" s="25"/>
      <c r="C133" s="25"/>
      <c r="D133" s="26">
        <f>SUM(D134:D143)</f>
        <v>153365775.0</v>
      </c>
      <c r="E133" s="26">
        <f>SUM(E134:E143)</f>
        <v>148423261.8</v>
      </c>
      <c r="F133" s="26">
        <f>D133-E133</f>
        <v>4942513.199999988</v>
      </c>
      <c r="G133" s="26">
        <f>SUM(G134:G143)</f>
        <v>83717752.60000001</v>
      </c>
      <c r="H133" s="26">
        <f>D133-G133</f>
        <v>69648022.39999999</v>
      </c>
      <c r="I133" s="27">
        <f>IF(D133=0,0,G133/D133)</f>
        <v>0.54586985003662</v>
      </c>
      <c r="J133" s="25"/>
      <c r="K133" s="25"/>
      <c r="L133" s="25"/>
      <c r="M133" s="25"/>
      <c r="N133" s="25"/>
      <c r="O133" s="25"/>
      <c r="P133" s="25"/>
      <c r="Q133" s="25"/>
      <c r="R133" s="25"/>
      <c r="S133" s="26">
        <f>SUM(S134:S143)</f>
        <v>272661.79999999993</v>
      </c>
      <c r="T133" s="25"/>
    </row>
    <row r="134" spans="1:20">
      <c r="A134" s="28">
        <f>SUBTOTAL(103,$B$6:B134)</f>
        <v>113</v>
      </c>
      <c r="B134" s="28">
        <v>219</v>
      </c>
      <c r="C134" s="7" t="s">
        <v>544</v>
      </c>
      <c r="D134" s="8">
        <f>Base!N117</f>
        <v>56150305.0</v>
      </c>
      <c r="E134" s="8">
        <f>Base!O117</f>
        <v>56150304.02</v>
      </c>
      <c r="F134" s="8">
        <f>D134-E134</f>
        <v>0.9799999967217445</v>
      </c>
      <c r="G134" s="8">
        <f>Base!Q117</f>
        <v>29724123.720000003</v>
      </c>
      <c r="H134" s="8">
        <f>D134-G134</f>
        <v>26426181.279999997</v>
      </c>
      <c r="I134" s="29">
        <f>IF(D134=0,0,G134/D134)</f>
        <v>0.5293670928412588</v>
      </c>
      <c r="J134" s="7" t="str">
        <f>Base!AH117</f>
        <v>Contrata / Personal/bienes/servicios</v>
      </c>
      <c r="K134" s="28" t="str">
        <f>Base!I117</f>
        <v>Proyecto de inversión</v>
      </c>
      <c r="L134" s="8" t="str">
        <f>Base!AA117</f>
        <v>No registrado en cartera</v>
      </c>
      <c r="M134" s="8" t="str">
        <f>Base!AB117</f>
        <v>No registrado en cartera</v>
      </c>
      <c r="N134" s="8" t="str">
        <f>Base!AC117</f>
        <v>No registrado en cartera</v>
      </c>
      <c r="O134" s="8" t="str">
        <f>Base!AD117</f>
        <v>No registrado en cartera</v>
      </c>
      <c r="P134" s="7">
        <f>IF(Base!AI117="","",Base!AI117)</f>
        <v/>
      </c>
      <c r="Q134" s="28" t="str">
        <f>Base!J117</f>
        <v>Sin saldo útil</v>
      </c>
      <c r="R134" s="29">
        <f>Base!X117</f>
        <v>0.5725447257802313</v>
      </c>
      <c r="S134" s="8">
        <f>Base!K117</f>
        <v>0.0</v>
      </c>
      <c r="T134" s="7" t="str">
        <f>Base!M117</f>
        <v>Saldo libre menor a S/ 10,000</v>
      </c>
    </row>
    <row r="135" spans="1:20">
      <c r="A135" s="28">
        <f>SUBTOTAL(103,$B$6:B135)</f>
        <v>114</v>
      </c>
      <c r="B135" s="28">
        <v>240</v>
      </c>
      <c r="C135" s="7" t="s">
        <v>547</v>
      </c>
      <c r="D135" s="8">
        <f>Base!N118</f>
        <v>8766661.0</v>
      </c>
      <c r="E135" s="8">
        <f>Base!O118</f>
        <v>8493624.369999997</v>
      </c>
      <c r="F135" s="8">
        <f>D135-E135</f>
        <v>273036.6300000027</v>
      </c>
      <c r="G135" s="8">
        <f>Base!Q118</f>
        <v>3843826.37</v>
      </c>
      <c r="H135" s="8">
        <f>D135-G135</f>
        <v>4922834.63</v>
      </c>
      <c r="I135" s="29">
        <f>IF(D135=0,0,G135/D135)</f>
        <v>0.4384595651639775</v>
      </c>
      <c r="J135" s="7" t="str">
        <f>Base!AH118</f>
        <v>Contrata / Personal/bienes/servicios</v>
      </c>
      <c r="K135" s="28" t="str">
        <f>Base!I118</f>
        <v>Proyecto de inversión</v>
      </c>
      <c r="L135" s="8">
        <f>Base!AA118</f>
        <v>22181694.0</v>
      </c>
      <c r="M135" s="8">
        <f>Base!AB118</f>
        <v>12443559.0</v>
      </c>
      <c r="N135" s="8">
        <f>Base!AC118</f>
        <v>23194677.0</v>
      </c>
      <c r="O135" s="8">
        <f>Base!AD118</f>
        <v>529157.0</v>
      </c>
      <c r="P135" s="7">
        <f>IF(Base!AI118="","",Base!AI118)</f>
        <v/>
      </c>
      <c r="Q135" s="28" t="str">
        <f>Base!J118</f>
        <v>Sin saldo útil</v>
      </c>
      <c r="R135" s="29">
        <f>Base!X118</f>
        <v>0.4064393625931227</v>
      </c>
      <c r="S135" s="8">
        <f>Base!K118</f>
        <v>0.0</v>
      </c>
      <c r="T135" s="7" t="str">
        <f>Base!M118</f>
        <v>Saldo libre menor a S/ 10,000</v>
      </c>
    </row>
    <row r="136" spans="1:20">
      <c r="A136" s="28">
        <f>SUBTOTAL(103,$B$6:B136)</f>
        <v>115</v>
      </c>
      <c r="B136" s="28">
        <v>226</v>
      </c>
      <c r="C136" s="7" t="s">
        <v>550</v>
      </c>
      <c r="D136" s="8">
        <f>Base!N119</f>
        <v>18753537.0</v>
      </c>
      <c r="E136" s="8">
        <f>Base!O119</f>
        <v>18471517.02</v>
      </c>
      <c r="F136" s="8">
        <f>D136-E136</f>
        <v>282019.98000000045</v>
      </c>
      <c r="G136" s="8">
        <f>Base!Q119</f>
        <v>17212318.05</v>
      </c>
      <c r="H136" s="8">
        <f>D136-G136</f>
        <v>1541218.9499999993</v>
      </c>
      <c r="I136" s="29">
        <f>IF(D136=0,0,G136/D136)</f>
        <v>0.9178171589711317</v>
      </c>
      <c r="J136" s="7" t="str">
        <f>Base!AH119</f>
        <v>Contrata</v>
      </c>
      <c r="K136" s="28" t="str">
        <f>Base!I119</f>
        <v>Proyecto de inversión</v>
      </c>
      <c r="L136" s="8">
        <f>Base!AA119</f>
        <v>12200258.0</v>
      </c>
      <c r="M136" s="8">
        <f>Base!AB119</f>
        <v>14587856.0</v>
      </c>
      <c r="N136" s="8">
        <f>Base!AC119</f>
        <v>16487882.0</v>
      </c>
      <c r="O136" s="8">
        <f>Base!AD119</f>
        <v>20726909.0</v>
      </c>
      <c r="P136" s="7">
        <f>IF(Base!AI119="","",Base!AI119)</f>
        <v/>
      </c>
      <c r="Q136" s="28" t="str">
        <f>Base!J119</f>
        <v>No mover</v>
      </c>
      <c r="R136" s="29">
        <f>Base!X119</f>
        <v>0.2555082204307017</v>
      </c>
      <c r="S136" s="8">
        <f>Base!K119</f>
        <v>0.0</v>
      </c>
      <c r="T136" s="7" t="str">
        <f>Base!M119</f>
        <v>Devengado 2026 ≥ 90% del PIM</v>
      </c>
    </row>
    <row r="137" spans="1:20">
      <c r="A137" s="28">
        <f>SUBTOTAL(103,$B$6:B137)</f>
        <v>116</v>
      </c>
      <c r="B137" s="28">
        <v>234</v>
      </c>
      <c r="C137" s="7" t="s">
        <v>553</v>
      </c>
      <c r="D137" s="8">
        <f>Base!N120</f>
        <v>17484286.0</v>
      </c>
      <c r="E137" s="8">
        <f>Base!O120</f>
        <v>17380462.93</v>
      </c>
      <c r="F137" s="8">
        <f>D137-E137</f>
        <v>103823.0700000003</v>
      </c>
      <c r="G137" s="8">
        <f>Base!Q120</f>
        <v>15761867.260000002</v>
      </c>
      <c r="H137" s="8">
        <f>D137-G137</f>
        <v>1722418.7399999984</v>
      </c>
      <c r="I137" s="29">
        <f>IF(D137=0,0,G137/D137)</f>
        <v>0.9014876135062079</v>
      </c>
      <c r="J137" s="7" t="str">
        <f>Base!AH120</f>
        <v>Contrata</v>
      </c>
      <c r="K137" s="28" t="str">
        <f>Base!I120</f>
        <v>Proyecto de inversión</v>
      </c>
      <c r="L137" s="8">
        <f>Base!AA120</f>
        <v>12000000.0</v>
      </c>
      <c r="M137" s="8">
        <f>Base!AB120</f>
        <v>14587598.0</v>
      </c>
      <c r="N137" s="8">
        <f>Base!AC120</f>
        <v>26545222.0</v>
      </c>
      <c r="O137" s="8">
        <f>Base!AD120</f>
        <v>3405517.0</v>
      </c>
      <c r="P137" s="7">
        <f>IF(Base!AI120="","",Base!AI120)</f>
        <v/>
      </c>
      <c r="Q137" s="28" t="str">
        <f>Base!J120</f>
        <v>No mover</v>
      </c>
      <c r="R137" s="29">
        <f>Base!X120</f>
        <v>0.25881184349905234</v>
      </c>
      <c r="S137" s="8">
        <f>Base!K120</f>
        <v>0.0</v>
      </c>
      <c r="T137" s="7" t="str">
        <f>Base!M120</f>
        <v>Devengado 2026 ≥ 90% del PIM</v>
      </c>
    </row>
    <row r="138" spans="1:20">
      <c r="A138" s="28">
        <f>SUBTOTAL(103,$B$6:B138)</f>
        <v>117</v>
      </c>
      <c r="B138" s="28">
        <v>434</v>
      </c>
      <c r="C138" s="7" t="s">
        <v>556</v>
      </c>
      <c r="D138" s="8">
        <f>Base!N121</f>
        <v>41519761.0</v>
      </c>
      <c r="E138" s="8">
        <f>Base!O121</f>
        <v>39201248.73</v>
      </c>
      <c r="F138" s="8">
        <f>D138-E138</f>
        <v>2318512.2700000033</v>
      </c>
      <c r="G138" s="8">
        <f>Base!Q121</f>
        <v>10652959.619999997</v>
      </c>
      <c r="H138" s="8">
        <f>D138-G138</f>
        <v>30866801.380000003</v>
      </c>
      <c r="I138" s="29">
        <f>IF(D138=0,0,G138/D138)</f>
        <v>0.25657564888198653</v>
      </c>
      <c r="J138" s="7" t="str">
        <f>Base!AH121</f>
        <v>Contrata</v>
      </c>
      <c r="K138" s="28" t="str">
        <f>Base!I121</f>
        <v>Proyecto de inversión</v>
      </c>
      <c r="L138" s="8" t="str">
        <f>Base!AA121</f>
        <v>No registrado en cartera</v>
      </c>
      <c r="M138" s="8" t="str">
        <f>Base!AB121</f>
        <v>No registrado en cartera</v>
      </c>
      <c r="N138" s="8" t="str">
        <f>Base!AC121</f>
        <v>No registrado en cartera</v>
      </c>
      <c r="O138" s="8" t="str">
        <f>Base!AD121</f>
        <v>No registrado en cartera</v>
      </c>
      <c r="P138" s="7">
        <f>IF(Base!AI121="","",Base!AI121)</f>
        <v/>
      </c>
      <c r="Q138" s="28" t="str">
        <f>Base!J121</f>
        <v>Sin saldo útil</v>
      </c>
      <c r="R138" s="29">
        <f>Base!X121</f>
        <v>0.46692164991454854</v>
      </c>
      <c r="S138" s="8">
        <f>Base!K121</f>
        <v>0.0</v>
      </c>
      <c r="T138" s="7" t="str">
        <f>Base!M121</f>
        <v>Saldo libre menor a S/ 10,000</v>
      </c>
    </row>
    <row r="139" spans="1:20">
      <c r="A139" s="28">
        <f>SUBTOTAL(103,$B$6:B139)</f>
        <v>118</v>
      </c>
      <c r="B139" s="28">
        <v>233</v>
      </c>
      <c r="C139" s="7" t="s">
        <v>559</v>
      </c>
      <c r="D139" s="8">
        <f>Base!N122</f>
        <v>966193.0</v>
      </c>
      <c r="E139" s="8">
        <f>Base!O122</f>
        <v>746819.06</v>
      </c>
      <c r="F139" s="8">
        <f>D139-E139</f>
        <v>219373.93999999994</v>
      </c>
      <c r="G139" s="8">
        <f>Base!Q122</f>
        <v>6257.4</v>
      </c>
      <c r="H139" s="8">
        <f>D139-G139</f>
        <v>959935.6</v>
      </c>
      <c r="I139" s="29">
        <f>IF(D139=0,0,G139/D139)</f>
        <v>0.006476345823246494</v>
      </c>
      <c r="J139" s="7" t="str">
        <f>Base!AH122</f>
        <v>Contrata / Expediente técnico / Laudos arbitrales</v>
      </c>
      <c r="K139" s="28" t="str">
        <f>Base!I122</f>
        <v>Proyecto de inversión</v>
      </c>
      <c r="L139" s="8" t="str">
        <f>Base!AA122</f>
        <v>No registrado en cartera</v>
      </c>
      <c r="M139" s="8" t="str">
        <f>Base!AB122</f>
        <v>No registrado en cartera</v>
      </c>
      <c r="N139" s="8" t="str">
        <f>Base!AC122</f>
        <v>No registrado en cartera</v>
      </c>
      <c r="O139" s="8" t="str">
        <f>Base!AD122</f>
        <v>No registrado en cartera</v>
      </c>
      <c r="P139" s="7">
        <f>IF(Base!AI122="","",Base!AI122)</f>
        <v/>
      </c>
      <c r="Q139" s="28" t="str">
        <f>Base!J122</f>
        <v>Con condiciones</v>
      </c>
      <c r="R139" s="29">
        <f>Base!X122</f>
        <v>0.0028325335480997448</v>
      </c>
      <c r="S139" s="8">
        <f>Base!K122</f>
        <v>219373.93999999994</v>
      </c>
      <c r="T139" s="7" t="str">
        <f>Base!M122</f>
        <v>Figura en un PMI (MINISTERIO DE SALUD) sin monto 2026 en la Cartera del GR: validar con la OPMI</v>
      </c>
    </row>
    <row r="140" spans="1:20">
      <c r="A140" s="28">
        <f>SUBTOTAL(103,$B$6:B140)</f>
        <v>119</v>
      </c>
      <c r="B140" s="28">
        <v>2</v>
      </c>
      <c r="C140" s="7" t="s">
        <v>565</v>
      </c>
      <c r="D140" s="8">
        <f>Base!N123</f>
        <v>4068561.0</v>
      </c>
      <c r="E140" s="8">
        <f>Base!O123</f>
        <v>4043454.41</v>
      </c>
      <c r="F140" s="8">
        <f>D140-E140</f>
        <v>25106.58999999985</v>
      </c>
      <c r="G140" s="8">
        <f>Base!Q123</f>
        <v>4043454.41</v>
      </c>
      <c r="H140" s="8">
        <f>D140-G140</f>
        <v>25106.58999999985</v>
      </c>
      <c r="I140" s="29">
        <f>IF(D140=0,0,G140/D140)</f>
        <v>0.9938291228766142</v>
      </c>
      <c r="J140" s="7" t="str">
        <f>Base!AH123</f>
        <v>Contrata / Laudos arbitrales</v>
      </c>
      <c r="K140" s="28" t="str">
        <f>Base!I123</f>
        <v>Proyecto de inversión</v>
      </c>
      <c r="L140" s="8">
        <f>Base!AA123</f>
        <v>100000.0</v>
      </c>
      <c r="M140" s="8">
        <f>Base!AB123</f>
        <v>0</v>
      </c>
      <c r="N140" s="8">
        <f>Base!AC123</f>
        <v>0</v>
      </c>
      <c r="O140" s="8">
        <f>Base!AD123</f>
        <v>900000.0</v>
      </c>
      <c r="P140" s="7">
        <f>IF(Base!AI123="","",Base!AI123)</f>
        <v/>
      </c>
      <c r="Q140" s="28" t="str">
        <f>Base!J123</f>
        <v>No mover</v>
      </c>
      <c r="R140" s="29">
        <f>Base!X123</f>
        <v>0.9612013871394762</v>
      </c>
      <c r="S140" s="8">
        <f>Base!K123</f>
        <v>0.0</v>
      </c>
      <c r="T140" s="7" t="str">
        <f>Base!M123</f>
        <v>Devengado 2026 ≥ 90% del PIM</v>
      </c>
    </row>
    <row r="141" spans="1:20">
      <c r="A141" s="28">
        <f>SUBTOTAL(103,$B$6:B141)</f>
        <v>120</v>
      </c>
      <c r="B141" s="28">
        <v>282</v>
      </c>
      <c r="C141" s="7" t="s">
        <v>570</v>
      </c>
      <c r="D141" s="8">
        <f>Base!N124</f>
        <v>1382457.0</v>
      </c>
      <c r="E141" s="8">
        <f>Base!O124</f>
        <v>1382455.8</v>
      </c>
      <c r="F141" s="8">
        <f>D141-E141</f>
        <v>1.1999999999534339</v>
      </c>
      <c r="G141" s="8">
        <f>Base!Q124</f>
        <v>215371.16</v>
      </c>
      <c r="H141" s="8">
        <f>D141-G141</f>
        <v>1167085.84</v>
      </c>
      <c r="I141" s="29">
        <f>IF(D141=0,0,G141/D141)</f>
        <v>0.15578868637505544</v>
      </c>
      <c r="J141" s="7" t="str">
        <f>Base!AH124</f>
        <v>Expediente técnico / Contrata</v>
      </c>
      <c r="K141" s="28" t="str">
        <f>Base!I124</f>
        <v>Proyecto de inversión</v>
      </c>
      <c r="L141" s="8">
        <f>Base!AA124</f>
        <v>5480901.0</v>
      </c>
      <c r="M141" s="8">
        <f>Base!AB124</f>
        <v>12000000.0</v>
      </c>
      <c r="N141" s="8">
        <f>Base!AC124</f>
        <v>0</v>
      </c>
      <c r="O141" s="8">
        <f>Base!AD124</f>
        <v>100000.0</v>
      </c>
      <c r="P141" s="7">
        <f>IF(Base!AI124="","",Base!AI124)</f>
        <v/>
      </c>
      <c r="Q141" s="28" t="str">
        <f>Base!J124</f>
        <v>Sin saldo útil</v>
      </c>
      <c r="R141" s="29">
        <f>Base!X124</f>
        <v>0.0047257489579858114</v>
      </c>
      <c r="S141" s="8">
        <f>Base!K124</f>
        <v>0.0</v>
      </c>
      <c r="T141" s="7" t="str">
        <f>Base!M124</f>
        <v>Saldo libre menor a S/ 10,000</v>
      </c>
    </row>
    <row r="142" spans="1:20">
      <c r="A142" s="28">
        <f>SUBTOTAL(103,$B$6:B142)</f>
        <v>121</v>
      </c>
      <c r="B142" s="28">
        <v>197</v>
      </c>
      <c r="C142" s="7" t="s">
        <v>574</v>
      </c>
      <c r="D142" s="8">
        <f>Base!N125</f>
        <v>3866926.0</v>
      </c>
      <c r="E142" s="8">
        <f>Base!O125</f>
        <v>2225809.46</v>
      </c>
      <c r="F142" s="8">
        <f>D142-E142</f>
        <v>1641116.54</v>
      </c>
      <c r="G142" s="8">
        <f>Base!Q125</f>
        <v>1969860.2300000002</v>
      </c>
      <c r="H142" s="8">
        <f>D142-G142</f>
        <v>1897065.7699999998</v>
      </c>
      <c r="I142" s="29">
        <f>IF(D142=0,0,G142/D142)</f>
        <v>0.5094124454411593</v>
      </c>
      <c r="J142" s="7" t="str">
        <f>Base!AH125</f>
        <v>Contrata</v>
      </c>
      <c r="K142" s="28" t="str">
        <f>Base!I125</f>
        <v>Proyecto de inversión</v>
      </c>
      <c r="L142" s="8">
        <f>Base!AA125</f>
        <v>200000.0</v>
      </c>
      <c r="M142" s="8">
        <f>Base!AB125</f>
        <v>0</v>
      </c>
      <c r="N142" s="8">
        <f>Base!AC125</f>
        <v>522166.0</v>
      </c>
      <c r="O142" s="8">
        <f>Base!AD125</f>
        <v>0</v>
      </c>
      <c r="P142" s="7">
        <f>IF(Base!AI125="","",Base!AI125)</f>
        <v/>
      </c>
      <c r="Q142" s="28" t="str">
        <f>Base!J125</f>
        <v>No mover</v>
      </c>
      <c r="R142" s="29">
        <f>Base!X125</f>
        <v>0.967477997075234</v>
      </c>
      <c r="S142" s="8">
        <f>Base!K125</f>
        <v>0.0</v>
      </c>
      <c r="T142" s="7" t="str">
        <f>Base!M125</f>
        <v>Avance financiero acumulado 97% (&gt; 90%)</v>
      </c>
    </row>
    <row r="143" spans="1:20">
      <c r="A143" s="28">
        <f>SUBTOTAL(103,$B$6:B143)</f>
        <v>122</v>
      </c>
      <c r="B143" s="28">
        <v>222</v>
      </c>
      <c r="C143" s="7" t="s">
        <v>577</v>
      </c>
      <c r="D143" s="8">
        <f>Base!N126</f>
        <v>407088.0</v>
      </c>
      <c r="E143" s="8">
        <f>Base!O126</f>
        <v>327566.0</v>
      </c>
      <c r="F143" s="8">
        <f>D143-E143</f>
        <v>79522.0</v>
      </c>
      <c r="G143" s="8">
        <f>Base!Q126</f>
        <v>287714.38</v>
      </c>
      <c r="H143" s="8">
        <f>D143-G143</f>
        <v>119373.62</v>
      </c>
      <c r="I143" s="29">
        <f>IF(D143=0,0,G143/D143)</f>
        <v>0.7067621251424754</v>
      </c>
      <c r="J143" s="7" t="str">
        <f>Base!AH126</f>
        <v>Expediente técnico / Contrata</v>
      </c>
      <c r="K143" s="28" t="str">
        <f>Base!I126</f>
        <v>Proyecto de inversión</v>
      </c>
      <c r="L143" s="8">
        <f>Base!AA126</f>
        <v>1199085.0</v>
      </c>
      <c r="M143" s="8">
        <f>Base!AB126</f>
        <v>5128392.0</v>
      </c>
      <c r="N143" s="8">
        <f>Base!AC126</f>
        <v>53288.0</v>
      </c>
      <c r="O143" s="8">
        <f>Base!AD126</f>
        <v>0</v>
      </c>
      <c r="P143" s="7">
        <f>IF(Base!AI126="","",Base!AI126)</f>
        <v/>
      </c>
      <c r="Q143" s="28" t="str">
        <f>Base!J126</f>
        <v>Con condiciones</v>
      </c>
      <c r="R143" s="29">
        <f>Base!X126</f>
        <v>0.388565773159751</v>
      </c>
      <c r="S143" s="8">
        <f>Base!K126</f>
        <v>53287.859999999986</v>
      </c>
      <c r="T143" s="7" t="str">
        <f>Base!M126</f>
        <v>Está programado en el PMI 2026 · Tiene monto en el PMI 2027 (S/ 5,128,392)</v>
      </c>
    </row>
    <row r="144" spans="1:20">
      <c r="A144" s="25" t="s">
        <v>221</v>
      </c>
      <c r="B144" s="25"/>
      <c r="C144" s="25"/>
      <c r="D144" s="26">
        <f>SUM(D145:D145)</f>
        <v>3978899.0</v>
      </c>
      <c r="E144" s="26">
        <f>SUM(E145:E145)</f>
        <v>3978899.0</v>
      </c>
      <c r="F144" s="26">
        <f>D144-E144</f>
        <v>0.0</v>
      </c>
      <c r="G144" s="26">
        <f>SUM(G145:G145)</f>
        <v>0.0</v>
      </c>
      <c r="H144" s="26">
        <f>D144-G144</f>
        <v>3978899.0</v>
      </c>
      <c r="I144" s="27">
        <f>IF(D144=0,0,G144/D144)</f>
        <v>0.0</v>
      </c>
      <c r="J144" s="25"/>
      <c r="K144" s="25"/>
      <c r="L144" s="25"/>
      <c r="M144" s="25"/>
      <c r="N144" s="25"/>
      <c r="O144" s="25"/>
      <c r="P144" s="25"/>
      <c r="Q144" s="25"/>
      <c r="R144" s="25"/>
      <c r="S144" s="26">
        <f>SUM(S145:S145)</f>
        <v>0.0</v>
      </c>
      <c r="T144" s="25"/>
    </row>
    <row r="145" spans="1:20">
      <c r="A145" s="28">
        <f>SUBTOTAL(103,$B$6:B145)</f>
        <v>123</v>
      </c>
      <c r="B145" s="28">
        <v>109</v>
      </c>
      <c r="C145" s="7" t="s">
        <v>582</v>
      </c>
      <c r="D145" s="8">
        <f>Base!N127</f>
        <v>3978899.0</v>
      </c>
      <c r="E145" s="8">
        <f>Base!O127</f>
        <v>3978899.0</v>
      </c>
      <c r="F145" s="8">
        <f>D145-E145</f>
        <v>0.0</v>
      </c>
      <c r="G145" s="8">
        <f>Base!Q127</f>
        <v>0.0</v>
      </c>
      <c r="H145" s="8">
        <f>D145-G145</f>
        <v>3978899.0</v>
      </c>
      <c r="I145" s="29">
        <f>IF(D145=0,0,G145/D145)</f>
        <v>0.0</v>
      </c>
      <c r="J145" s="7" t="str">
        <f>Base!AH127</f>
        <v>Contrata</v>
      </c>
      <c r="K145" s="28" t="str">
        <f>Base!I127</f>
        <v>Proyecto de inversión</v>
      </c>
      <c r="L145" s="8">
        <f>Base!AA127</f>
        <v>4000000.0</v>
      </c>
      <c r="M145" s="8">
        <f>Base!AB127</f>
        <v>8256356.0</v>
      </c>
      <c r="N145" s="8">
        <f>Base!AC127</f>
        <v>4200001.0</v>
      </c>
      <c r="O145" s="8">
        <f>Base!AD127</f>
        <v>103192.0</v>
      </c>
      <c r="P145" s="7">
        <f>IF(Base!AI127="","",Base!AI127)</f>
        <v/>
      </c>
      <c r="Q145" s="28" t="str">
        <f>Base!J127</f>
        <v>Sin saldo útil</v>
      </c>
      <c r="R145" s="29">
        <f>Base!X127</f>
        <v>0.02639705807407222</v>
      </c>
      <c r="S145" s="8">
        <f>Base!K127</f>
        <v>0.0</v>
      </c>
      <c r="T145" s="7" t="str">
        <f>Base!M127</f>
        <v>Saldo libre menor a S/ 10,000</v>
      </c>
    </row>
    <row r="146" spans="1:20">
      <c r="A146" s="25" t="s">
        <v>319</v>
      </c>
      <c r="B146" s="25"/>
      <c r="C146" s="25"/>
      <c r="D146" s="26">
        <f>SUM(D147:D148)</f>
        <v>10709023.0</v>
      </c>
      <c r="E146" s="26">
        <f>SUM(E147:E148)</f>
        <v>10561385.540000001</v>
      </c>
      <c r="F146" s="26">
        <f>D146-E146</f>
        <v>147637.45999999903</v>
      </c>
      <c r="G146" s="26">
        <f>SUM(G147:G148)</f>
        <v>6274571.78</v>
      </c>
      <c r="H146" s="26">
        <f>D146-G146</f>
        <v>4434451.22</v>
      </c>
      <c r="I146" s="27">
        <f>IF(D146=0,0,G146/D146)</f>
        <v>0.5859144928533631</v>
      </c>
      <c r="J146" s="25"/>
      <c r="K146" s="25"/>
      <c r="L146" s="25"/>
      <c r="M146" s="25"/>
      <c r="N146" s="25"/>
      <c r="O146" s="25"/>
      <c r="P146" s="25"/>
      <c r="Q146" s="25"/>
      <c r="R146" s="25"/>
      <c r="S146" s="26">
        <f>SUM(S147:S148)</f>
        <v>0.0</v>
      </c>
      <c r="T146" s="25"/>
    </row>
    <row r="147" spans="1:20">
      <c r="A147" s="28">
        <f>SUBTOTAL(103,$B$6:B147)</f>
        <v>124</v>
      </c>
      <c r="B147" s="28">
        <v>64</v>
      </c>
      <c r="C147" s="7" t="s">
        <v>585</v>
      </c>
      <c r="D147" s="8">
        <f>Base!N128</f>
        <v>6912542.0</v>
      </c>
      <c r="E147" s="8">
        <f>Base!O128</f>
        <v>6855594.0600000005</v>
      </c>
      <c r="F147" s="8">
        <f>D147-E147</f>
        <v>56947.93999999948</v>
      </c>
      <c r="G147" s="8">
        <f>Base!Q128</f>
        <v>4377038.86</v>
      </c>
      <c r="H147" s="8">
        <f>D147-G147</f>
        <v>2535503.1399999997</v>
      </c>
      <c r="I147" s="29">
        <f>IF(D147=0,0,G147/D147)</f>
        <v>0.6332024977208096</v>
      </c>
      <c r="J147" s="7" t="str">
        <f>Base!AH128</f>
        <v>Contrata / Personal/bienes/servicios</v>
      </c>
      <c r="K147" s="28" t="str">
        <f>Base!I128</f>
        <v>Proyecto de inversión</v>
      </c>
      <c r="L147" s="8">
        <f>Base!AA128</f>
        <v>3160785.0</v>
      </c>
      <c r="M147" s="8">
        <f>Base!AB128</f>
        <v>5000000.0</v>
      </c>
      <c r="N147" s="8">
        <f>Base!AC128</f>
        <v>0</v>
      </c>
      <c r="O147" s="8">
        <f>Base!AD128</f>
        <v>1000000.0</v>
      </c>
      <c r="P147" s="7">
        <f>IF(Base!AI128="","",Base!AI128)</f>
        <v/>
      </c>
      <c r="Q147" s="28" t="str">
        <f>Base!J128</f>
        <v>Sin saldo útil</v>
      </c>
      <c r="R147" s="29">
        <f>Base!X128</f>
        <v>0.19706423352816102</v>
      </c>
      <c r="S147" s="8">
        <f>Base!K128</f>
        <v>0.0</v>
      </c>
      <c r="T147" s="7" t="str">
        <f>Base!M128</f>
        <v>Saldo libre menor a S/ 10,000</v>
      </c>
    </row>
    <row r="148" spans="1:20">
      <c r="A148" s="28">
        <f>SUBTOTAL(103,$B$6:B148)</f>
        <v>125</v>
      </c>
      <c r="B148" s="28">
        <v>66</v>
      </c>
      <c r="C148" s="7" t="s">
        <v>588</v>
      </c>
      <c r="D148" s="8">
        <f>Base!N129</f>
        <v>3796481.0</v>
      </c>
      <c r="E148" s="8">
        <f>Base!O129</f>
        <v>3705791.48</v>
      </c>
      <c r="F148" s="8">
        <f>D148-E148</f>
        <v>90689.52000000002</v>
      </c>
      <c r="G148" s="8">
        <f>Base!Q129</f>
        <v>1897532.92</v>
      </c>
      <c r="H148" s="8">
        <f>D148-G148</f>
        <v>1898948.08</v>
      </c>
      <c r="I148" s="29">
        <f>IF(D148=0,0,G148/D148)</f>
        <v>0.4998136221411354</v>
      </c>
      <c r="J148" s="7" t="str">
        <f>Base!AH129</f>
        <v>Contrata / Personal/bienes/servicios</v>
      </c>
      <c r="K148" s="28" t="str">
        <f>Base!I129</f>
        <v>IOARR</v>
      </c>
      <c r="L148" s="8">
        <f>Base!AA129</f>
        <v>3796481.0</v>
      </c>
      <c r="M148" s="8">
        <f>Base!AB129</f>
        <v>1394507.0</v>
      </c>
      <c r="N148" s="8">
        <f>Base!AC129</f>
        <v>0</v>
      </c>
      <c r="O148" s="8">
        <f>Base!AD129</f>
        <v>0</v>
      </c>
      <c r="P148" s="7">
        <f>IF(Base!AI129="","",Base!AI129)</f>
        <v/>
      </c>
      <c r="Q148" s="28" t="str">
        <f>Base!J129</f>
        <v>Sin saldo útil</v>
      </c>
      <c r="R148" s="29">
        <f>Base!X129</f>
        <v>0.38249116079283585</v>
      </c>
      <c r="S148" s="8">
        <f>Base!K129</f>
        <v>0.0</v>
      </c>
      <c r="T148" s="7" t="str">
        <f>Base!M129</f>
        <v>Saldo libre menor a S/ 10,000</v>
      </c>
    </row>
    <row r="149" spans="1:20">
      <c r="A149" s="25" t="s">
        <v>589</v>
      </c>
      <c r="B149" s="25"/>
      <c r="C149" s="25"/>
      <c r="D149" s="26">
        <f>SUM(D150:D150)</f>
        <v>11000.0</v>
      </c>
      <c r="E149" s="26">
        <f>SUM(E150:E150)</f>
        <v>11000.0</v>
      </c>
      <c r="F149" s="26">
        <f>D149-E149</f>
        <v>0.0</v>
      </c>
      <c r="G149" s="26">
        <f>SUM(G150:G150)</f>
        <v>0.0</v>
      </c>
      <c r="H149" s="26">
        <f>D149-G149</f>
        <v>11000.0</v>
      </c>
      <c r="I149" s="27">
        <f>IF(D149=0,0,G149/D149)</f>
        <v>0.0</v>
      </c>
      <c r="J149" s="25"/>
      <c r="K149" s="25"/>
      <c r="L149" s="25"/>
      <c r="M149" s="25"/>
      <c r="N149" s="25"/>
      <c r="O149" s="25"/>
      <c r="P149" s="25"/>
      <c r="Q149" s="25"/>
      <c r="R149" s="25"/>
      <c r="S149" s="26">
        <f>SUM(S150:S150)</f>
        <v>0.0</v>
      </c>
      <c r="T149" s="25"/>
    </row>
    <row r="150" spans="1:20">
      <c r="A150" s="28">
        <f>SUBTOTAL(103,$B$6:B150)</f>
        <v>126</v>
      </c>
      <c r="B150" s="28">
        <v>470</v>
      </c>
      <c r="C150" s="7" t="s">
        <v>592</v>
      </c>
      <c r="D150" s="8">
        <f>Base!N130</f>
        <v>11000.0</v>
      </c>
      <c r="E150" s="8">
        <f>Base!O130</f>
        <v>11000.0</v>
      </c>
      <c r="F150" s="8">
        <f>D150-E150</f>
        <v>0.0</v>
      </c>
      <c r="G150" s="8">
        <f>Base!Q130</f>
        <v>0.0</v>
      </c>
      <c r="H150" s="8">
        <f>D150-G150</f>
        <v>11000.0</v>
      </c>
      <c r="I150" s="29">
        <f>IF(D150=0,0,G150/D150)</f>
        <v>0.0</v>
      </c>
      <c r="J150" s="7" t="str">
        <f>Base!AH130</f>
        <v>Contrata / Administración directa</v>
      </c>
      <c r="K150" s="28" t="str">
        <f>Base!I130</f>
        <v>Proyecto de inversión</v>
      </c>
      <c r="L150" s="8" t="str">
        <f>Base!AA130</f>
        <v>No registrado en cartera</v>
      </c>
      <c r="M150" s="8" t="str">
        <f>Base!AB130</f>
        <v>No registrado en cartera</v>
      </c>
      <c r="N150" s="8" t="str">
        <f>Base!AC130</f>
        <v>No registrado en cartera</v>
      </c>
      <c r="O150" s="8" t="str">
        <f>Base!AD130</f>
        <v>No registrado en cartera</v>
      </c>
      <c r="P150" s="7">
        <f>IF(Base!AI130="","",Base!AI130)</f>
        <v/>
      </c>
      <c r="Q150" s="28" t="str">
        <f>Base!J130</f>
        <v>Sin saldo útil</v>
      </c>
      <c r="R150" s="29">
        <f>Base!X130</f>
        <v>0.007532763989826623</v>
      </c>
      <c r="S150" s="8">
        <f>Base!K130</f>
        <v>0.0</v>
      </c>
      <c r="T150" s="7" t="str">
        <f>Base!M130</f>
        <v>Saldo libre menor a S/ 10,000</v>
      </c>
    </row>
    <row r="151" spans="1:20">
      <c r="A151" s="9" t="s">
        <v>594</v>
      </c>
      <c r="B151" s="9"/>
      <c r="C151" s="9"/>
      <c r="D151" s="10">
        <f>D152+D155+D176+D191+D194</f>
        <v>10398250.0</v>
      </c>
      <c r="E151" s="10">
        <f>E152+E155+E176+E191+E194</f>
        <v>8524039.780000001</v>
      </c>
      <c r="F151" s="10">
        <f>D151-E151</f>
        <v>1874210.2199999988</v>
      </c>
      <c r="G151" s="10">
        <f>G152+G155+G176+G191+G194</f>
        <v>5405465.16</v>
      </c>
      <c r="H151" s="10">
        <f>D151-G151</f>
        <v>4992784.84</v>
      </c>
      <c r="I151" s="24">
        <f>IF(D151=0,0,G151/D151)</f>
        <v>0.5198437390907124</v>
      </c>
      <c r="J151" s="9"/>
      <c r="K151" s="9"/>
      <c r="L151" s="9"/>
      <c r="M151" s="9"/>
      <c r="N151" s="9"/>
      <c r="O151" s="9"/>
      <c r="P151" s="9"/>
      <c r="Q151" s="9"/>
      <c r="R151" s="9"/>
      <c r="S151" s="10">
        <f>S152+S155+S176+S191+S194</f>
        <v>567080.5</v>
      </c>
      <c r="T151" s="9"/>
    </row>
    <row r="152" spans="1:20">
      <c r="A152" s="25" t="s">
        <v>78</v>
      </c>
      <c r="B152" s="25"/>
      <c r="C152" s="25"/>
      <c r="D152" s="26">
        <f>SUM(D153:D154)</f>
        <v>273816.0</v>
      </c>
      <c r="E152" s="26">
        <f>SUM(E153:E154)</f>
        <v>273816.0</v>
      </c>
      <c r="F152" s="26">
        <f>D152-E152</f>
        <v>0.0</v>
      </c>
      <c r="G152" s="26">
        <f>SUM(G153:G154)</f>
        <v>113941.65000000001</v>
      </c>
      <c r="H152" s="26">
        <f>D152-G152</f>
        <v>159874.34999999998</v>
      </c>
      <c r="I152" s="27">
        <f>IF(D152=0,0,G152/D152)</f>
        <v>0.41612487948111143</v>
      </c>
      <c r="J152" s="25"/>
      <c r="K152" s="25"/>
      <c r="L152" s="25"/>
      <c r="M152" s="25"/>
      <c r="N152" s="25"/>
      <c r="O152" s="25"/>
      <c r="P152" s="25"/>
      <c r="Q152" s="25"/>
      <c r="R152" s="25"/>
      <c r="S152" s="26">
        <f>SUM(S153:S154)</f>
        <v>0.0</v>
      </c>
      <c r="T152" s="25"/>
    </row>
    <row r="153" spans="1:20">
      <c r="A153" s="28">
        <f>SUBTOTAL(103,$B$6:B153)</f>
        <v>127</v>
      </c>
      <c r="B153" s="28">
        <v>341</v>
      </c>
      <c r="C153" s="7" t="s">
        <v>597</v>
      </c>
      <c r="D153" s="8">
        <f>Base!N131</f>
        <v>123816.0</v>
      </c>
      <c r="E153" s="8">
        <f>Base!O131</f>
        <v>123816.0</v>
      </c>
      <c r="F153" s="8">
        <f>D153-E153</f>
        <v>0.0</v>
      </c>
      <c r="G153" s="8">
        <f>Base!Q131</f>
        <v>113941.65000000001</v>
      </c>
      <c r="H153" s="8">
        <f>D153-G153</f>
        <v>9874.349999999991</v>
      </c>
      <c r="I153" s="29">
        <f>IF(D153=0,0,G153/D153)</f>
        <v>0.9202498061639853</v>
      </c>
      <c r="J153" s="7" t="str">
        <f>Base!AH131</f>
        <v>Expediente técnico</v>
      </c>
      <c r="K153" s="28" t="str">
        <f>Base!I131</f>
        <v>IOARR</v>
      </c>
      <c r="L153" s="8">
        <f>Base!AA131</f>
        <v>111816.0</v>
      </c>
      <c r="M153" s="8">
        <f>Base!AB131</f>
        <v>978654.0</v>
      </c>
      <c r="N153" s="8">
        <f>Base!AC131</f>
        <v>625659.0</v>
      </c>
      <c r="O153" s="8">
        <f>Base!AD131</f>
        <v>0</v>
      </c>
      <c r="P153" s="7">
        <f>IF(Base!AI131="","",Base!AI131)</f>
        <v/>
      </c>
      <c r="Q153" s="28" t="str">
        <f>Base!J131</f>
        <v>No mover</v>
      </c>
      <c r="R153" s="29">
        <f>Base!X131</f>
        <v>0.07404231859103598</v>
      </c>
      <c r="S153" s="8">
        <f>Base!K131</f>
        <v>0.0</v>
      </c>
      <c r="T153" s="7" t="str">
        <f>Base!M131</f>
        <v>Devengado 2026 ≥ 90% del PIM</v>
      </c>
    </row>
    <row r="154" spans="1:20">
      <c r="A154" s="28">
        <f>SUBTOTAL(103,$B$6:B154)</f>
        <v>128</v>
      </c>
      <c r="B154" s="28">
        <v>528</v>
      </c>
      <c r="C154" s="7" t="s">
        <v>600</v>
      </c>
      <c r="D154" s="8">
        <f>Base!N132</f>
        <v>150000.0</v>
      </c>
      <c r="E154" s="8">
        <f>Base!O132</f>
        <v>150000.0</v>
      </c>
      <c r="F154" s="8">
        <f>D154-E154</f>
        <v>0.0</v>
      </c>
      <c r="G154" s="8">
        <f>Base!Q132</f>
        <v>0.0</v>
      </c>
      <c r="H154" s="8">
        <f>D154-G154</f>
        <v>150000.0</v>
      </c>
      <c r="I154" s="29">
        <f>IF(D154=0,0,G154/D154)</f>
        <v>0.0</v>
      </c>
      <c r="J154" s="7" t="str">
        <f>Base!AH132</f>
        <v>Expediente técnico</v>
      </c>
      <c r="K154" s="28" t="str">
        <f>Base!I132</f>
        <v>Proyecto de inversión</v>
      </c>
      <c r="L154" s="8">
        <f>Base!AA132</f>
        <v>150000.0</v>
      </c>
      <c r="M154" s="8">
        <f>Base!AB132</f>
        <v>0</v>
      </c>
      <c r="N154" s="8">
        <f>Base!AC132</f>
        <v>0</v>
      </c>
      <c r="O154" s="8">
        <f>Base!AD132</f>
        <v>1000000.0</v>
      </c>
      <c r="P154" s="7">
        <f>IF(Base!AI132="","",Base!AI132)</f>
        <v/>
      </c>
      <c r="Q154" s="28" t="str">
        <f>Base!J132</f>
        <v>Sin saldo útil</v>
      </c>
      <c r="R154" s="29">
        <f>Base!X132</f>
        <v>0.0</v>
      </c>
      <c r="S154" s="8">
        <f>Base!K132</f>
        <v>0.0</v>
      </c>
      <c r="T154" s="7" t="str">
        <f>Base!M132</f>
        <v>Saldo libre menor a S/ 10,000</v>
      </c>
    </row>
    <row r="155" spans="1:20">
      <c r="A155" s="25" t="s">
        <v>102</v>
      </c>
      <c r="B155" s="25"/>
      <c r="C155" s="25"/>
      <c r="D155" s="26">
        <f>SUM(D156:D175)</f>
        <v>4916633.0</v>
      </c>
      <c r="E155" s="26">
        <f>SUM(E156:E175)</f>
        <v>4122930.87</v>
      </c>
      <c r="F155" s="26">
        <f>D155-E155</f>
        <v>793702.1299999999</v>
      </c>
      <c r="G155" s="26">
        <f>SUM(G156:G175)</f>
        <v>2783642.55</v>
      </c>
      <c r="H155" s="26">
        <f>D155-G155</f>
        <v>2132990.45</v>
      </c>
      <c r="I155" s="27">
        <f>IF(D155=0,0,G155/D155)</f>
        <v>0.5661684632552398</v>
      </c>
      <c r="J155" s="25"/>
      <c r="K155" s="25"/>
      <c r="L155" s="25"/>
      <c r="M155" s="25"/>
      <c r="N155" s="25"/>
      <c r="O155" s="25"/>
      <c r="P155" s="25"/>
      <c r="Q155" s="25"/>
      <c r="R155" s="25"/>
      <c r="S155" s="26">
        <f>SUM(S156:S175)</f>
        <v>432846.5</v>
      </c>
      <c r="T155" s="25"/>
    </row>
    <row r="156" spans="1:20">
      <c r="A156" s="28">
        <f>SUBTOTAL(103,$B$6:B156)</f>
        <v>129</v>
      </c>
      <c r="B156" s="28">
        <v>165</v>
      </c>
      <c r="C156" s="7" t="s">
        <v>603</v>
      </c>
      <c r="D156" s="8">
        <f>Base!N133</f>
        <v>57442.0</v>
      </c>
      <c r="E156" s="8">
        <f>Base!O133</f>
        <v>57136.9</v>
      </c>
      <c r="F156" s="8">
        <f>D156-E156</f>
        <v>305.09999999999854</v>
      </c>
      <c r="G156" s="8">
        <f>Base!Q133</f>
        <v>54415.03</v>
      </c>
      <c r="H156" s="8">
        <f>D156-G156</f>
        <v>3026.970000000001</v>
      </c>
      <c r="I156" s="29">
        <f>IF(D156=0,0,G156/D156)</f>
        <v>0.9473038891403502</v>
      </c>
      <c r="J156" s="7" t="str">
        <f>Base!AH133</f>
        <v>Expediente técnico</v>
      </c>
      <c r="K156" s="28" t="str">
        <f>Base!I133</f>
        <v>Proyecto de inversión</v>
      </c>
      <c r="L156" s="8">
        <f>Base!AA133</f>
        <v>1500000.0</v>
      </c>
      <c r="M156" s="8">
        <f>Base!AB133</f>
        <v>2568954.0</v>
      </c>
      <c r="N156" s="8">
        <f>Base!AC133</f>
        <v>0</v>
      </c>
      <c r="O156" s="8">
        <f>Base!AD133</f>
        <v>500000.0</v>
      </c>
      <c r="P156" s="7">
        <f>IF(Base!AI133="","",Base!AI133)</f>
        <v/>
      </c>
      <c r="Q156" s="28" t="str">
        <f>Base!J133</f>
        <v>No mover</v>
      </c>
      <c r="R156" s="29">
        <f>Base!X133</f>
        <v>0.03871005240879704</v>
      </c>
      <c r="S156" s="8">
        <f>Base!K133</f>
        <v>0.0</v>
      </c>
      <c r="T156" s="7" t="str">
        <f>Base!M133</f>
        <v>Devengado 2026 ≥ 90% del PIM</v>
      </c>
    </row>
    <row r="157" spans="1:20">
      <c r="A157" s="28">
        <f>SUBTOTAL(103,$B$6:B157)</f>
        <v>130</v>
      </c>
      <c r="B157" s="28">
        <v>188</v>
      </c>
      <c r="C157" s="7" t="s">
        <v>606</v>
      </c>
      <c r="D157" s="8">
        <f>Base!N134</f>
        <v>53010.0</v>
      </c>
      <c r="E157" s="8">
        <f>Base!O134</f>
        <v>24506.97</v>
      </c>
      <c r="F157" s="8">
        <f>D157-E157</f>
        <v>28503.03</v>
      </c>
      <c r="G157" s="8">
        <f>Base!Q134</f>
        <v>24506.97</v>
      </c>
      <c r="H157" s="8">
        <f>D157-G157</f>
        <v>28503.03</v>
      </c>
      <c r="I157" s="29">
        <f>IF(D157=0,0,G157/D157)</f>
        <v>0.46230843237125074</v>
      </c>
      <c r="J157" s="7" t="str">
        <f>Base!AH134</f>
        <v>Expediente técnico</v>
      </c>
      <c r="K157" s="28" t="str">
        <f>Base!I134</f>
        <v>Proyecto de inversión</v>
      </c>
      <c r="L157" s="8">
        <f>Base!AA134</f>
        <v>100000.0</v>
      </c>
      <c r="M157" s="8">
        <f>Base!AB134</f>
        <v>1254675.0</v>
      </c>
      <c r="N157" s="8">
        <f>Base!AC134</f>
        <v>0</v>
      </c>
      <c r="O157" s="8">
        <f>Base!AD134</f>
        <v>747276.0</v>
      </c>
      <c r="P157" s="7">
        <f>IF(Base!AI134="","",Base!AI134)</f>
        <v/>
      </c>
      <c r="Q157" s="28" t="str">
        <f>Base!J134</f>
        <v>Sin saldo útil</v>
      </c>
      <c r="R157" s="29">
        <f>Base!X134</f>
        <v>0.06215974100624631</v>
      </c>
      <c r="S157" s="8">
        <f>Base!K134</f>
        <v>0.0</v>
      </c>
      <c r="T157" s="7" t="str">
        <f>Base!M134</f>
        <v>Saldo libre menor a S/ 10,000</v>
      </c>
    </row>
    <row r="158" spans="1:20">
      <c r="A158" s="28">
        <f>SUBTOTAL(103,$B$6:B158)</f>
        <v>131</v>
      </c>
      <c r="B158" s="28">
        <v>191</v>
      </c>
      <c r="C158" s="7" t="s">
        <v>609</v>
      </c>
      <c r="D158" s="8">
        <f>Base!N135</f>
        <v>40486.0</v>
      </c>
      <c r="E158" s="8">
        <f>Base!O135</f>
        <v>40486.0</v>
      </c>
      <c r="F158" s="8">
        <f>D158-E158</f>
        <v>0.0</v>
      </c>
      <c r="G158" s="8">
        <f>Base!Q135</f>
        <v>25380.63</v>
      </c>
      <c r="H158" s="8">
        <f>D158-G158</f>
        <v>15105.369999999999</v>
      </c>
      <c r="I158" s="29">
        <f>IF(D158=0,0,G158/D158)</f>
        <v>0.6268989280245023</v>
      </c>
      <c r="J158" s="7" t="str">
        <f>Base!AH135</f>
        <v>Expediente técnico</v>
      </c>
      <c r="K158" s="28" t="str">
        <f>Base!I135</f>
        <v>Proyecto de inversión</v>
      </c>
      <c r="L158" s="8">
        <f>Base!AA135</f>
        <v>100000.0</v>
      </c>
      <c r="M158" s="8">
        <f>Base!AB135</f>
        <v>0</v>
      </c>
      <c r="N158" s="8">
        <f>Base!AC135</f>
        <v>0</v>
      </c>
      <c r="O158" s="8">
        <f>Base!AD135</f>
        <v>1247609.0</v>
      </c>
      <c r="P158" s="7">
        <f>IF(Base!AI135="","",Base!AI135)</f>
        <v/>
      </c>
      <c r="Q158" s="28" t="str">
        <f>Base!J135</f>
        <v>Sin saldo útil</v>
      </c>
      <c r="R158" s="29">
        <f>Base!X135</f>
        <v>0.11107451738621195</v>
      </c>
      <c r="S158" s="8">
        <f>Base!K135</f>
        <v>0.0</v>
      </c>
      <c r="T158" s="7" t="str">
        <f>Base!M135</f>
        <v>Saldo libre menor a S/ 10,000</v>
      </c>
    </row>
    <row r="159" spans="1:20">
      <c r="A159" s="28">
        <f>SUBTOTAL(103,$B$6:B159)</f>
        <v>132</v>
      </c>
      <c r="B159" s="28">
        <v>316</v>
      </c>
      <c r="C159" s="7" t="s">
        <v>612</v>
      </c>
      <c r="D159" s="8">
        <f>Base!N136</f>
        <v>350000.0</v>
      </c>
      <c r="E159" s="8">
        <f>Base!O136</f>
        <v>350000.0</v>
      </c>
      <c r="F159" s="8">
        <f>D159-E159</f>
        <v>0.0</v>
      </c>
      <c r="G159" s="8">
        <f>Base!Q136</f>
        <v>163264.47999999998</v>
      </c>
      <c r="H159" s="8">
        <f>D159-G159</f>
        <v>186735.52000000002</v>
      </c>
      <c r="I159" s="29">
        <f>IF(D159=0,0,G159/D159)</f>
        <v>0.4664699428571428</v>
      </c>
      <c r="J159" s="7" t="str">
        <f>Base!AH136</f>
        <v>Expediente técnico</v>
      </c>
      <c r="K159" s="28" t="str">
        <f>Base!I136</f>
        <v>Proyecto de inversión</v>
      </c>
      <c r="L159" s="8">
        <f>Base!AA136</f>
        <v>350000.0</v>
      </c>
      <c r="M159" s="8">
        <f>Base!AB136</f>
        <v>575452.0</v>
      </c>
      <c r="N159" s="8">
        <f>Base!AC136</f>
        <v>0</v>
      </c>
      <c r="O159" s="8">
        <f>Base!AD136</f>
        <v>1000000.0</v>
      </c>
      <c r="P159" s="7">
        <f>IF(Base!AI136="","",Base!AI136)</f>
        <v/>
      </c>
      <c r="Q159" s="28" t="str">
        <f>Base!J136</f>
        <v>Sin saldo útil</v>
      </c>
      <c r="R159" s="29">
        <f>Base!X136</f>
        <v>0.01194717260959616</v>
      </c>
      <c r="S159" s="8">
        <f>Base!K136</f>
        <v>0.0</v>
      </c>
      <c r="T159" s="7" t="str">
        <f>Base!M136</f>
        <v>Saldo libre menor a S/ 10,000</v>
      </c>
    </row>
    <row r="160" spans="1:20">
      <c r="A160" s="28">
        <f>SUBTOTAL(103,$B$6:B160)</f>
        <v>133</v>
      </c>
      <c r="B160" s="28">
        <v>317</v>
      </c>
      <c r="C160" s="7" t="s">
        <v>615</v>
      </c>
      <c r="D160" s="8">
        <f>Base!N137</f>
        <v>81646.0</v>
      </c>
      <c r="E160" s="8">
        <f>Base!O137</f>
        <v>0.0</v>
      </c>
      <c r="F160" s="8">
        <f>D160-E160</f>
        <v>81646.0</v>
      </c>
      <c r="G160" s="8">
        <f>Base!Q137</f>
        <v>0.0</v>
      </c>
      <c r="H160" s="8">
        <f>D160-G160</f>
        <v>81646.0</v>
      </c>
      <c r="I160" s="29">
        <f>IF(D160=0,0,G160/D160)</f>
        <v>0.0</v>
      </c>
      <c r="J160" s="7" t="str">
        <f>Base!AH137</f>
        <v>Expediente técnico</v>
      </c>
      <c r="K160" s="28" t="str">
        <f>Base!I137</f>
        <v>Proyecto de inversión</v>
      </c>
      <c r="L160" s="8" t="str">
        <f>Base!AA137</f>
        <v>No registrado en cartera</v>
      </c>
      <c r="M160" s="8" t="str">
        <f>Base!AB137</f>
        <v>No registrado en cartera</v>
      </c>
      <c r="N160" s="8" t="str">
        <f>Base!AC137</f>
        <v>No registrado en cartera</v>
      </c>
      <c r="O160" s="8" t="str">
        <f>Base!AD137</f>
        <v>No registrado en cartera</v>
      </c>
      <c r="P160" s="7">
        <f>IF(Base!AI137="","",Base!AI137)</f>
        <v/>
      </c>
      <c r="Q160" s="28" t="str">
        <f>Base!J137</f>
        <v>Con condiciones</v>
      </c>
      <c r="R160" s="29">
        <f>Base!X137</f>
        <v>0.03664465521476957</v>
      </c>
      <c r="S160" s="8">
        <f>Base!K137</f>
        <v>81646.0</v>
      </c>
      <c r="T160" s="7" t="str">
        <f>Base!M137</f>
        <v>El 12-B programa S/ 184,654 de un PIM de S/ 81,646: la UEI debe actualizarlo (el proyecto no está en ningún PMI)</v>
      </c>
    </row>
    <row r="161" spans="1:20">
      <c r="A161" s="28">
        <f>SUBTOTAL(103,$B$6:B161)</f>
        <v>134</v>
      </c>
      <c r="B161" s="28">
        <v>318</v>
      </c>
      <c r="C161" s="7" t="s">
        <v>619</v>
      </c>
      <c r="D161" s="8">
        <f>Base!N138</f>
        <v>292573.0</v>
      </c>
      <c r="E161" s="8">
        <f>Base!O138</f>
        <v>0.0</v>
      </c>
      <c r="F161" s="8">
        <f>D161-E161</f>
        <v>292573.0</v>
      </c>
      <c r="G161" s="8">
        <f>Base!Q138</f>
        <v>0.0</v>
      </c>
      <c r="H161" s="8">
        <f>D161-G161</f>
        <v>292573.0</v>
      </c>
      <c r="I161" s="29">
        <f>IF(D161=0,0,G161/D161)</f>
        <v>0.0</v>
      </c>
      <c r="J161" s="7" t="str">
        <f>Base!AH138</f>
        <v>Expediente técnico</v>
      </c>
      <c r="K161" s="28" t="str">
        <f>Base!I138</f>
        <v>Proyecto de inversión</v>
      </c>
      <c r="L161" s="8" t="str">
        <f>Base!AA138</f>
        <v>No registrado en cartera</v>
      </c>
      <c r="M161" s="8" t="str">
        <f>Base!AB138</f>
        <v>No registrado en cartera</v>
      </c>
      <c r="N161" s="8" t="str">
        <f>Base!AC138</f>
        <v>No registrado en cartera</v>
      </c>
      <c r="O161" s="8" t="str">
        <f>Base!AD138</f>
        <v>No registrado en cartera</v>
      </c>
      <c r="P161" s="7">
        <f>IF(Base!AI138="","",Base!AI138)</f>
        <v/>
      </c>
      <c r="Q161" s="28" t="str">
        <f>Base!J138</f>
        <v>Con condiciones</v>
      </c>
      <c r="R161" s="29">
        <f>Base!X138</f>
        <v>0.015207331267688338</v>
      </c>
      <c r="S161" s="8">
        <f>Base!K138</f>
        <v>292573.0</v>
      </c>
      <c r="T161" s="7" t="str">
        <f>Base!M138</f>
        <v>El 12-B programa S/ 292,573 de un PIM de S/ 292,573: la UEI debe actualizarlo (el proyecto no está en ningún PMI)</v>
      </c>
    </row>
    <row r="162" spans="1:20">
      <c r="A162" s="28">
        <f>SUBTOTAL(103,$B$6:B162)</f>
        <v>135</v>
      </c>
      <c r="B162" s="28">
        <v>319</v>
      </c>
      <c r="C162" s="7" t="s">
        <v>623</v>
      </c>
      <c r="D162" s="8">
        <f>Base!N139</f>
        <v>645412.0</v>
      </c>
      <c r="E162" s="8">
        <f>Base!O139</f>
        <v>615249.5</v>
      </c>
      <c r="F162" s="8">
        <f>D162-E162</f>
        <v>30162.5</v>
      </c>
      <c r="G162" s="8">
        <f>Base!Q139</f>
        <v>558544.3099999999</v>
      </c>
      <c r="H162" s="8">
        <f>D162-G162</f>
        <v>86867.69000000006</v>
      </c>
      <c r="I162" s="29">
        <f>IF(D162=0,0,G162/D162)</f>
        <v>0.8654073831908919</v>
      </c>
      <c r="J162" s="7" t="str">
        <f>Base!AH139</f>
        <v>Expediente técnico</v>
      </c>
      <c r="K162" s="28" t="str">
        <f>Base!I139</f>
        <v>Proyecto de inversión</v>
      </c>
      <c r="L162" s="8">
        <f>Base!AA139</f>
        <v>300000.0</v>
      </c>
      <c r="M162" s="8">
        <f>Base!AB139</f>
        <v>6325512.0</v>
      </c>
      <c r="N162" s="8">
        <f>Base!AC139</f>
        <v>500000.0</v>
      </c>
      <c r="O162" s="8">
        <f>Base!AD139</f>
        <v>3000000.0</v>
      </c>
      <c r="P162" s="7">
        <f>IF(Base!AI139="","",Base!AI139)</f>
        <v/>
      </c>
      <c r="Q162" s="28" t="str">
        <f>Base!J139</f>
        <v>Sin saldo útil</v>
      </c>
      <c r="R162" s="29">
        <f>Base!X139</f>
        <v>0.017811151858802013</v>
      </c>
      <c r="S162" s="8">
        <f>Base!K139</f>
        <v>0.0</v>
      </c>
      <c r="T162" s="7" t="str">
        <f>Base!M139</f>
        <v>Saldo libre menor a S/ 10,000</v>
      </c>
    </row>
    <row r="163" spans="1:20">
      <c r="A163" s="28">
        <f>SUBTOTAL(103,$B$6:B163)</f>
        <v>136</v>
      </c>
      <c r="B163" s="28">
        <v>320</v>
      </c>
      <c r="C163" s="7" t="s">
        <v>626</v>
      </c>
      <c r="D163" s="8">
        <f>Base!N140</f>
        <v>45161.0</v>
      </c>
      <c r="E163" s="8">
        <f>Base!O140</f>
        <v>45161.0</v>
      </c>
      <c r="F163" s="8">
        <f>D163-E163</f>
        <v>0.0</v>
      </c>
      <c r="G163" s="8">
        <f>Base!Q140</f>
        <v>30772.660000000003</v>
      </c>
      <c r="H163" s="8">
        <f>D163-G163</f>
        <v>14388.339999999997</v>
      </c>
      <c r="I163" s="29">
        <f>IF(D163=0,0,G163/D163)</f>
        <v>0.6813989947078232</v>
      </c>
      <c r="J163" s="7" t="str">
        <f>Base!AH140</f>
        <v>Expediente técnico</v>
      </c>
      <c r="K163" s="28" t="str">
        <f>Base!I140</f>
        <v>IOARR</v>
      </c>
      <c r="L163" s="8">
        <f>Base!AA140</f>
        <v>45161.0</v>
      </c>
      <c r="M163" s="8">
        <f>Base!AB140</f>
        <v>254874.0</v>
      </c>
      <c r="N163" s="8">
        <f>Base!AC140</f>
        <v>133958.0</v>
      </c>
      <c r="O163" s="8">
        <f>Base!AD140</f>
        <v>133958.0</v>
      </c>
      <c r="P163" s="7">
        <f>IF(Base!AI140="","",Base!AI140)</f>
        <v/>
      </c>
      <c r="Q163" s="28" t="str">
        <f>Base!J140</f>
        <v>Sin saldo útil</v>
      </c>
      <c r="R163" s="29">
        <f>Base!X140</f>
        <v>0.09929848512740617</v>
      </c>
      <c r="S163" s="8">
        <f>Base!K140</f>
        <v>0.0</v>
      </c>
      <c r="T163" s="7" t="str">
        <f>Base!M140</f>
        <v>Saldo libre menor a S/ 10,000</v>
      </c>
    </row>
    <row r="164" spans="1:20">
      <c r="A164" s="28">
        <f>SUBTOTAL(103,$B$6:B164)</f>
        <v>137</v>
      </c>
      <c r="B164" s="28">
        <v>323</v>
      </c>
      <c r="C164" s="7" t="s">
        <v>629</v>
      </c>
      <c r="D164" s="8">
        <f>Base!N141</f>
        <v>58627.0</v>
      </c>
      <c r="E164" s="8">
        <f>Base!O141</f>
        <v>0.0</v>
      </c>
      <c r="F164" s="8">
        <f>D164-E164</f>
        <v>58627.0</v>
      </c>
      <c r="G164" s="8">
        <f>Base!Q141</f>
        <v>0.0</v>
      </c>
      <c r="H164" s="8">
        <f>D164-G164</f>
        <v>58627.0</v>
      </c>
      <c r="I164" s="29">
        <f>IF(D164=0,0,G164/D164)</f>
        <v>0.0</v>
      </c>
      <c r="J164" s="7" t="str">
        <f>Base!AH141</f>
        <v>Expediente técnico</v>
      </c>
      <c r="K164" s="28" t="str">
        <f>Base!I141</f>
        <v>Proyecto de inversión</v>
      </c>
      <c r="L164" s="8" t="str">
        <f>Base!AA141</f>
        <v>No registrado en cartera</v>
      </c>
      <c r="M164" s="8" t="str">
        <f>Base!AB141</f>
        <v>No registrado en cartera</v>
      </c>
      <c r="N164" s="8" t="str">
        <f>Base!AC141</f>
        <v>No registrado en cartera</v>
      </c>
      <c r="O164" s="8" t="str">
        <f>Base!AD141</f>
        <v>No registrado en cartera</v>
      </c>
      <c r="P164" s="7">
        <f>IF(Base!AI141="","",Base!AI141)</f>
        <v/>
      </c>
      <c r="Q164" s="28" t="str">
        <f>Base!J141</f>
        <v>Con condiciones</v>
      </c>
      <c r="R164" s="29">
        <f>Base!X141</f>
        <v>0.02239152869055731</v>
      </c>
      <c r="S164" s="8">
        <f>Base!K141</f>
        <v>58627.0</v>
      </c>
      <c r="T164" s="7" t="str">
        <f>Base!M141</f>
        <v>El 12-B programa S/ 58,627 de un PIM de S/ 58,627: la UEI debe actualizarlo (el proyecto no está en ningún PMI)</v>
      </c>
    </row>
    <row r="165" spans="1:20">
      <c r="A165" s="28">
        <f>SUBTOTAL(103,$B$6:B165)</f>
        <v>138</v>
      </c>
      <c r="B165" s="28">
        <v>331</v>
      </c>
      <c r="C165" s="7" t="s">
        <v>633</v>
      </c>
      <c r="D165" s="8">
        <f>Base!N142</f>
        <v>220496.0</v>
      </c>
      <c r="E165" s="8">
        <f>Base!O142</f>
        <v>220392.0</v>
      </c>
      <c r="F165" s="8">
        <f>D165-E165</f>
        <v>104.0</v>
      </c>
      <c r="G165" s="8">
        <f>Base!Q142</f>
        <v>174510.41</v>
      </c>
      <c r="H165" s="8">
        <f>D165-G165</f>
        <v>45985.59</v>
      </c>
      <c r="I165" s="29">
        <f>IF(D165=0,0,G165/D165)</f>
        <v>0.7914447881140702</v>
      </c>
      <c r="J165" s="7" t="str">
        <f>Base!AH142</f>
        <v>Expediente técnico</v>
      </c>
      <c r="K165" s="28" t="str">
        <f>Base!I142</f>
        <v>Proyecto de inversión</v>
      </c>
      <c r="L165" s="8" t="str">
        <f>Base!AA142</f>
        <v>No registrado en cartera</v>
      </c>
      <c r="M165" s="8" t="str">
        <f>Base!AB142</f>
        <v>No registrado en cartera</v>
      </c>
      <c r="N165" s="8" t="str">
        <f>Base!AC142</f>
        <v>No registrado en cartera</v>
      </c>
      <c r="O165" s="8" t="str">
        <f>Base!AD142</f>
        <v>No registrado en cartera</v>
      </c>
      <c r="P165" s="7">
        <f>IF(Base!AI142="","",Base!AI142)</f>
        <v/>
      </c>
      <c r="Q165" s="28" t="str">
        <f>Base!J142</f>
        <v>Sin saldo útil</v>
      </c>
      <c r="R165" s="29">
        <f>Base!X142</f>
        <v>0.08105819230436379</v>
      </c>
      <c r="S165" s="8">
        <f>Base!K142</f>
        <v>0.0</v>
      </c>
      <c r="T165" s="7" t="str">
        <f>Base!M142</f>
        <v>Saldo libre menor a S/ 10,000</v>
      </c>
    </row>
    <row r="166" spans="1:20">
      <c r="A166" s="28">
        <f>SUBTOTAL(103,$B$6:B166)</f>
        <v>139</v>
      </c>
      <c r="B166" s="28">
        <v>332</v>
      </c>
      <c r="C166" s="7" t="s">
        <v>636</v>
      </c>
      <c r="D166" s="8">
        <f>Base!N143</f>
        <v>129991.0</v>
      </c>
      <c r="E166" s="8">
        <f>Base!O143</f>
        <v>129991.0</v>
      </c>
      <c r="F166" s="8">
        <f>D166-E166</f>
        <v>0.0</v>
      </c>
      <c r="G166" s="8">
        <f>Base!Q143</f>
        <v>129329.12</v>
      </c>
      <c r="H166" s="8">
        <f>D166-G166</f>
        <v>661.8800000000047</v>
      </c>
      <c r="I166" s="29">
        <f>IF(D166=0,0,G166/D166)</f>
        <v>0.9949082628797378</v>
      </c>
      <c r="J166" s="7" t="str">
        <f>Base!AH143</f>
        <v>Expediente técnico</v>
      </c>
      <c r="K166" s="28" t="str">
        <f>Base!I143</f>
        <v>Proyecto de inversión</v>
      </c>
      <c r="L166" s="8">
        <f>Base!AA143</f>
        <v>129991.0</v>
      </c>
      <c r="M166" s="8">
        <f>Base!AB143</f>
        <v>245854.0</v>
      </c>
      <c r="N166" s="8">
        <f>Base!AC143</f>
        <v>0</v>
      </c>
      <c r="O166" s="8">
        <f>Base!AD143</f>
        <v>200000.0</v>
      </c>
      <c r="P166" s="7">
        <f>IF(Base!AI143="","",Base!AI143)</f>
        <v/>
      </c>
      <c r="Q166" s="28" t="str">
        <f>Base!J143</f>
        <v>No mover</v>
      </c>
      <c r="R166" s="29">
        <f>Base!X143</f>
        <v>0.16228091071986106</v>
      </c>
      <c r="S166" s="8">
        <f>Base!K143</f>
        <v>0.0</v>
      </c>
      <c r="T166" s="7" t="str">
        <f>Base!M143</f>
        <v>Devengado 2026 ≥ 90% del PIM</v>
      </c>
    </row>
    <row r="167" spans="1:20">
      <c r="A167" s="28">
        <f>SUBTOTAL(103,$B$6:B167)</f>
        <v>140</v>
      </c>
      <c r="B167" s="28">
        <v>334</v>
      </c>
      <c r="C167" s="7" t="s">
        <v>639</v>
      </c>
      <c r="D167" s="8">
        <f>Base!N144</f>
        <v>24413.0</v>
      </c>
      <c r="E167" s="8">
        <f>Base!O144</f>
        <v>23994.5</v>
      </c>
      <c r="F167" s="8">
        <f>D167-E167</f>
        <v>418.5</v>
      </c>
      <c r="G167" s="8">
        <f>Base!Q144</f>
        <v>19205.73</v>
      </c>
      <c r="H167" s="8">
        <f>D167-G167</f>
        <v>5207.27</v>
      </c>
      <c r="I167" s="29">
        <f>IF(D167=0,0,G167/D167)</f>
        <v>0.7867009380248228</v>
      </c>
      <c r="J167" s="7" t="str">
        <f>Base!AH144</f>
        <v>Expediente técnico</v>
      </c>
      <c r="K167" s="28" t="str">
        <f>Base!I144</f>
        <v>Proyecto de inversión</v>
      </c>
      <c r="L167" s="8">
        <f>Base!AA144</f>
        <v>24413.0</v>
      </c>
      <c r="M167" s="8">
        <f>Base!AB144</f>
        <v>753784.0</v>
      </c>
      <c r="N167" s="8">
        <f>Base!AC144</f>
        <v>0</v>
      </c>
      <c r="O167" s="8">
        <f>Base!AD144</f>
        <v>1846698.0</v>
      </c>
      <c r="P167" s="7">
        <f>IF(Base!AI144="","",Base!AI144)</f>
        <v/>
      </c>
      <c r="Q167" s="28" t="str">
        <f>Base!J144</f>
        <v>Sin saldo útil</v>
      </c>
      <c r="R167" s="29">
        <f>Base!X144</f>
        <v>0.048127945333032045</v>
      </c>
      <c r="S167" s="8">
        <f>Base!K144</f>
        <v>0.0</v>
      </c>
      <c r="T167" s="7" t="str">
        <f>Base!M144</f>
        <v>Saldo libre menor a S/ 10,000</v>
      </c>
    </row>
    <row r="168" spans="1:20">
      <c r="A168" s="28">
        <f>SUBTOTAL(103,$B$6:B168)</f>
        <v>141</v>
      </c>
      <c r="B168" s="28">
        <v>459</v>
      </c>
      <c r="C168" s="7" t="s">
        <v>642</v>
      </c>
      <c r="D168" s="8">
        <f>Base!N145</f>
        <v>621845.0</v>
      </c>
      <c r="E168" s="8">
        <f>Base!O145</f>
        <v>621845.0</v>
      </c>
      <c r="F168" s="8">
        <f>D168-E168</f>
        <v>0.0</v>
      </c>
      <c r="G168" s="8">
        <f>Base!Q145</f>
        <v>396842.78</v>
      </c>
      <c r="H168" s="8">
        <f>D168-G168</f>
        <v>225002.21999999997</v>
      </c>
      <c r="I168" s="29">
        <f>IF(D168=0,0,G168/D168)</f>
        <v>0.638169929805659</v>
      </c>
      <c r="J168" s="7" t="str">
        <f>Base!AH145</f>
        <v>Expediente técnico</v>
      </c>
      <c r="K168" s="28" t="str">
        <f>Base!I145</f>
        <v>Proyecto de inversión</v>
      </c>
      <c r="L168" s="8">
        <f>Base!AA145</f>
        <v>521845.0</v>
      </c>
      <c r="M168" s="8">
        <f>Base!AB145</f>
        <v>2345678.0</v>
      </c>
      <c r="N168" s="8">
        <f>Base!AC145</f>
        <v>0</v>
      </c>
      <c r="O168" s="8">
        <f>Base!AD145</f>
        <v>1000000.0</v>
      </c>
      <c r="P168" s="7">
        <f>IF(Base!AI145="","",Base!AI145)</f>
        <v/>
      </c>
      <c r="Q168" s="28" t="str">
        <f>Base!J145</f>
        <v>Sin saldo útil</v>
      </c>
      <c r="R168" s="29">
        <f>Base!X145</f>
        <v>0.024377413788728902</v>
      </c>
      <c r="S168" s="8">
        <f>Base!K145</f>
        <v>0.0</v>
      </c>
      <c r="T168" s="7" t="str">
        <f>Base!M145</f>
        <v>Saldo libre menor a S/ 10,000</v>
      </c>
    </row>
    <row r="169" spans="1:20">
      <c r="A169" s="28">
        <f>SUBTOTAL(103,$B$6:B169)</f>
        <v>142</v>
      </c>
      <c r="B169" s="28">
        <v>492</v>
      </c>
      <c r="C169" s="7" t="s">
        <v>645</v>
      </c>
      <c r="D169" s="8">
        <f>Base!N146</f>
        <v>784869.0</v>
      </c>
      <c r="E169" s="8">
        <f>Base!O146</f>
        <v>784869.0</v>
      </c>
      <c r="F169" s="8">
        <f>D169-E169</f>
        <v>0.0</v>
      </c>
      <c r="G169" s="8">
        <f>Base!Q146</f>
        <v>631813.71</v>
      </c>
      <c r="H169" s="8">
        <f>D169-G169</f>
        <v>153055.29000000004</v>
      </c>
      <c r="I169" s="29">
        <f>IF(D169=0,0,G169/D169)</f>
        <v>0.8049925656383421</v>
      </c>
      <c r="J169" s="7" t="str">
        <f>Base!AH146</f>
        <v>Expediente técnico</v>
      </c>
      <c r="K169" s="28" t="str">
        <f>Base!I146</f>
        <v>Proyecto de inversión</v>
      </c>
      <c r="L169" s="8">
        <f>Base!AA146</f>
        <v>340000.0</v>
      </c>
      <c r="M169" s="8">
        <f>Base!AB146</f>
        <v>254845.0</v>
      </c>
      <c r="N169" s="8">
        <f>Base!AC146</f>
        <v>0</v>
      </c>
      <c r="O169" s="8">
        <f>Base!AD146</f>
        <v>300000.0</v>
      </c>
      <c r="P169" s="7">
        <f>IF(Base!AI146="","",Base!AI146)</f>
        <v/>
      </c>
      <c r="Q169" s="28" t="str">
        <f>Base!J146</f>
        <v>Sin saldo útil</v>
      </c>
      <c r="R169" s="29">
        <f>Base!X146</f>
        <v>0.020428340635825954</v>
      </c>
      <c r="S169" s="8">
        <f>Base!K146</f>
        <v>0.0</v>
      </c>
      <c r="T169" s="7" t="str">
        <f>Base!M146</f>
        <v>Saldo libre menor a S/ 10,000</v>
      </c>
    </row>
    <row r="170" spans="1:20">
      <c r="A170" s="28">
        <f>SUBTOTAL(103,$B$6:B170)</f>
        <v>143</v>
      </c>
      <c r="B170" s="28">
        <v>495</v>
      </c>
      <c r="C170" s="7" t="s">
        <v>648</v>
      </c>
      <c r="D170" s="8">
        <f>Base!N147</f>
        <v>373203.0</v>
      </c>
      <c r="E170" s="8">
        <f>Base!O147</f>
        <v>199545.0</v>
      </c>
      <c r="F170" s="8">
        <f>D170-E170</f>
        <v>173658.0</v>
      </c>
      <c r="G170" s="8">
        <f>Base!Q147</f>
        <v>127534.07</v>
      </c>
      <c r="H170" s="8">
        <f>D170-G170</f>
        <v>245668.93</v>
      </c>
      <c r="I170" s="29">
        <f>IF(D170=0,0,G170/D170)</f>
        <v>0.3417284159023374</v>
      </c>
      <c r="J170" s="7" t="str">
        <f>Base!AH147</f>
        <v>Expediente técnico</v>
      </c>
      <c r="K170" s="28" t="str">
        <f>Base!I147</f>
        <v>Proyecto de inversión</v>
      </c>
      <c r="L170" s="8">
        <f>Base!AA147</f>
        <v>199545.0</v>
      </c>
      <c r="M170" s="8">
        <f>Base!AB147</f>
        <v>5256354.0</v>
      </c>
      <c r="N170" s="8">
        <f>Base!AC147</f>
        <v>0</v>
      </c>
      <c r="O170" s="8">
        <f>Base!AD147</f>
        <v>0</v>
      </c>
      <c r="P170" s="7">
        <f>IF(Base!AI147="","",Base!AI147)</f>
        <v/>
      </c>
      <c r="Q170" s="28" t="str">
        <f>Base!J147</f>
        <v>Sin saldo útil</v>
      </c>
      <c r="R170" s="29">
        <f>Base!X147</f>
        <v>0.007959518962522165</v>
      </c>
      <c r="S170" s="8">
        <f>Base!K147</f>
        <v>0.0</v>
      </c>
      <c r="T170" s="7" t="str">
        <f>Base!M147</f>
        <v>Saldo libre menor a S/ 10,000</v>
      </c>
    </row>
    <row r="171" spans="1:20">
      <c r="A171" s="28">
        <f>SUBTOTAL(103,$B$6:B171)</f>
        <v>144</v>
      </c>
      <c r="B171" s="28">
        <v>496</v>
      </c>
      <c r="C171" s="7" t="s">
        <v>651</v>
      </c>
      <c r="D171" s="8">
        <f>Base!N148</f>
        <v>192812.0</v>
      </c>
      <c r="E171" s="8">
        <f>Base!O148</f>
        <v>182045.0</v>
      </c>
      <c r="F171" s="8">
        <f>D171-E171</f>
        <v>10767.0</v>
      </c>
      <c r="G171" s="8">
        <f>Base!Q148</f>
        <v>176515.68</v>
      </c>
      <c r="H171" s="8">
        <f>D171-G171</f>
        <v>16296.320000000007</v>
      </c>
      <c r="I171" s="29">
        <f>IF(D171=0,0,G171/D171)</f>
        <v>0.9154807792046138</v>
      </c>
      <c r="J171" s="7" t="str">
        <f>Base!AH148</f>
        <v>Expediente técnico</v>
      </c>
      <c r="K171" s="28" t="str">
        <f>Base!I148</f>
        <v>Proyecto de inversión</v>
      </c>
      <c r="L171" s="8">
        <f>Base!AA148</f>
        <v>192812.0</v>
      </c>
      <c r="M171" s="8">
        <f>Base!AB148</f>
        <v>0</v>
      </c>
      <c r="N171" s="8">
        <f>Base!AC148</f>
        <v>500000.0</v>
      </c>
      <c r="O171" s="8">
        <f>Base!AD148</f>
        <v>0</v>
      </c>
      <c r="P171" s="7">
        <f>IF(Base!AI148="","",Base!AI148)</f>
        <v/>
      </c>
      <c r="Q171" s="28" t="str">
        <f>Base!J148</f>
        <v>No mover</v>
      </c>
      <c r="R171" s="29">
        <f>Base!X148</f>
        <v>0.014542223033006606</v>
      </c>
      <c r="S171" s="8">
        <f>Base!K148</f>
        <v>0.0</v>
      </c>
      <c r="T171" s="7" t="str">
        <f>Base!M148</f>
        <v>Devengado 2026 ≥ 90% del PIM</v>
      </c>
    </row>
    <row r="172" spans="1:20">
      <c r="A172" s="28">
        <f>SUBTOTAL(103,$B$6:B172)</f>
        <v>145</v>
      </c>
      <c r="B172" s="28">
        <v>501</v>
      </c>
      <c r="C172" s="7" t="s">
        <v>654</v>
      </c>
      <c r="D172" s="8">
        <f>Base!N149</f>
        <v>287709.0</v>
      </c>
      <c r="E172" s="8">
        <f>Base!O149</f>
        <v>287709.0</v>
      </c>
      <c r="F172" s="8">
        <f>D172-E172</f>
        <v>0.0</v>
      </c>
      <c r="G172" s="8">
        <f>Base!Q149</f>
        <v>108740.53</v>
      </c>
      <c r="H172" s="8">
        <f>D172-G172</f>
        <v>178968.47</v>
      </c>
      <c r="I172" s="29">
        <f>IF(D172=0,0,G172/D172)</f>
        <v>0.37795317490937025</v>
      </c>
      <c r="J172" s="7" t="str">
        <f>Base!AH149</f>
        <v>Expediente técnico</v>
      </c>
      <c r="K172" s="28" t="str">
        <f>Base!I149</f>
        <v>Proyecto de inversión</v>
      </c>
      <c r="L172" s="8">
        <f>Base!AA149</f>
        <v>287709.0</v>
      </c>
      <c r="M172" s="8">
        <f>Base!AB149</f>
        <v>0</v>
      </c>
      <c r="N172" s="8">
        <f>Base!AC149</f>
        <v>0</v>
      </c>
      <c r="O172" s="8">
        <f>Base!AD149</f>
        <v>3000000.0</v>
      </c>
      <c r="P172" s="7">
        <f>IF(Base!AI149="","",Base!AI149)</f>
        <v/>
      </c>
      <c r="Q172" s="28" t="str">
        <f>Base!J149</f>
        <v>Sin saldo útil</v>
      </c>
      <c r="R172" s="29">
        <f>Base!X149</f>
        <v>0.01770676974707258</v>
      </c>
      <c r="S172" s="8">
        <f>Base!K149</f>
        <v>0.0</v>
      </c>
      <c r="T172" s="7" t="str">
        <f>Base!M149</f>
        <v>Saldo libre menor a S/ 10,000</v>
      </c>
    </row>
    <row r="173" spans="1:20">
      <c r="A173" s="28">
        <f>SUBTOTAL(103,$B$6:B173)</f>
        <v>146</v>
      </c>
      <c r="B173" s="28">
        <v>502</v>
      </c>
      <c r="C173" s="7" t="s">
        <v>657</v>
      </c>
      <c r="D173" s="8">
        <f>Base!N150</f>
        <v>256938.0</v>
      </c>
      <c r="E173" s="8">
        <f>Base!O150</f>
        <v>140000.0</v>
      </c>
      <c r="F173" s="8">
        <f>D173-E173</f>
        <v>116938.0</v>
      </c>
      <c r="G173" s="8">
        <f>Base!Q150</f>
        <v>131428.18</v>
      </c>
      <c r="H173" s="8">
        <f>D173-G173</f>
        <v>125509.82</v>
      </c>
      <c r="I173" s="29">
        <f>IF(D173=0,0,G173/D173)</f>
        <v>0.511517097509905</v>
      </c>
      <c r="J173" s="7" t="str">
        <f>Base!AH150</f>
        <v>Expediente técnico</v>
      </c>
      <c r="K173" s="28" t="str">
        <f>Base!I150</f>
        <v>Proyecto de inversión</v>
      </c>
      <c r="L173" s="8">
        <f>Base!AA150</f>
        <v>140000.0</v>
      </c>
      <c r="M173" s="8">
        <f>Base!AB150</f>
        <v>0</v>
      </c>
      <c r="N173" s="8">
        <f>Base!AC150</f>
        <v>0</v>
      </c>
      <c r="O173" s="8">
        <f>Base!AD150</f>
        <v>500000.0</v>
      </c>
      <c r="P173" s="7">
        <f>IF(Base!AI150="","",Base!AI150)</f>
        <v/>
      </c>
      <c r="Q173" s="28" t="str">
        <f>Base!J150</f>
        <v>Sin saldo útil</v>
      </c>
      <c r="R173" s="29">
        <f>Base!X150</f>
        <v>0.02198239685562438</v>
      </c>
      <c r="S173" s="8">
        <f>Base!K150</f>
        <v>0.5</v>
      </c>
      <c r="T173" s="7" t="str">
        <f>Base!M150</f>
        <v>Saldo libre menor a S/ 10,000</v>
      </c>
    </row>
    <row r="174" spans="1:20">
      <c r="A174" s="28">
        <f>SUBTOTAL(103,$B$6:B174)</f>
        <v>147</v>
      </c>
      <c r="B174" s="28">
        <v>517</v>
      </c>
      <c r="C174" s="7" t="s">
        <v>660</v>
      </c>
      <c r="D174" s="8">
        <f>Base!N151</f>
        <v>200000.0</v>
      </c>
      <c r="E174" s="8">
        <f>Base!O151</f>
        <v>200000.0</v>
      </c>
      <c r="F174" s="8">
        <f>D174-E174</f>
        <v>0.0</v>
      </c>
      <c r="G174" s="8">
        <f>Base!Q151</f>
        <v>0.0</v>
      </c>
      <c r="H174" s="8">
        <f>D174-G174</f>
        <v>200000.0</v>
      </c>
      <c r="I174" s="29">
        <f>IF(D174=0,0,G174/D174)</f>
        <v>0.0</v>
      </c>
      <c r="J174" s="7" t="str">
        <f>Base!AH151</f>
        <v>Expediente técnico</v>
      </c>
      <c r="K174" s="28" t="str">
        <f>Base!I151</f>
        <v>Proyecto de inversión</v>
      </c>
      <c r="L174" s="8" t="str">
        <f>Base!AA151</f>
        <v>No registrado en cartera</v>
      </c>
      <c r="M174" s="8" t="str">
        <f>Base!AB151</f>
        <v>No registrado en cartera</v>
      </c>
      <c r="N174" s="8" t="str">
        <f>Base!AC151</f>
        <v>No registrado en cartera</v>
      </c>
      <c r="O174" s="8" t="str">
        <f>Base!AD151</f>
        <v>No registrado en cartera</v>
      </c>
      <c r="P174" s="7">
        <f>IF(Base!AI151="","",Base!AI151)</f>
        <v/>
      </c>
      <c r="Q174" s="28" t="str">
        <f>Base!J151</f>
        <v>Sin saldo útil</v>
      </c>
      <c r="R174" s="29">
        <f>Base!X151</f>
        <v>0.0</v>
      </c>
      <c r="S174" s="8">
        <f>Base!K151</f>
        <v>0.0</v>
      </c>
      <c r="T174" s="7" t="str">
        <f>Base!M151</f>
        <v>Saldo libre menor a S/ 10,000</v>
      </c>
    </row>
    <row r="175" spans="1:20">
      <c r="A175" s="28">
        <f>SUBTOTAL(103,$B$6:B175)</f>
        <v>148</v>
      </c>
      <c r="B175" s="28">
        <v>518</v>
      </c>
      <c r="C175" s="7" t="s">
        <v>665</v>
      </c>
      <c r="D175" s="8">
        <f>Base!N152</f>
        <v>200000.0</v>
      </c>
      <c r="E175" s="8">
        <f>Base!O152</f>
        <v>200000.0</v>
      </c>
      <c r="F175" s="8">
        <f>D175-E175</f>
        <v>0.0</v>
      </c>
      <c r="G175" s="8">
        <f>Base!Q152</f>
        <v>30838.26</v>
      </c>
      <c r="H175" s="8">
        <f>D175-G175</f>
        <v>169161.74</v>
      </c>
      <c r="I175" s="29">
        <f>IF(D175=0,0,G175/D175)</f>
        <v>0.1541913</v>
      </c>
      <c r="J175" s="7" t="str">
        <f>Base!AH152</f>
        <v>Expediente técnico</v>
      </c>
      <c r="K175" s="28" t="str">
        <f>Base!I152</f>
        <v>Proyecto de inversión</v>
      </c>
      <c r="L175" s="8">
        <f>Base!AA152</f>
        <v>200000.0</v>
      </c>
      <c r="M175" s="8">
        <f>Base!AB152</f>
        <v>0</v>
      </c>
      <c r="N175" s="8">
        <f>Base!AC152</f>
        <v>3000000.0</v>
      </c>
      <c r="O175" s="8">
        <f>Base!AD152</f>
        <v>8896729.0</v>
      </c>
      <c r="P175" s="7">
        <f>IF(Base!AI152="","",Base!AI152)</f>
        <v/>
      </c>
      <c r="Q175" s="28" t="str">
        <f>Base!J152</f>
        <v>Sin saldo útil</v>
      </c>
      <c r="R175" s="29">
        <f>Base!X152</f>
        <v>0.0025493055999086826</v>
      </c>
      <c r="S175" s="8">
        <f>Base!K152</f>
        <v>0.0</v>
      </c>
      <c r="T175" s="7" t="str">
        <f>Base!M152</f>
        <v>Saldo libre menor a S/ 10,000</v>
      </c>
    </row>
    <row r="176" spans="1:20">
      <c r="A176" s="25" t="s">
        <v>221</v>
      </c>
      <c r="B176" s="25"/>
      <c r="C176" s="25"/>
      <c r="D176" s="26">
        <f>SUM(D177:D190)</f>
        <v>4282059.0</v>
      </c>
      <c r="E176" s="26">
        <f>SUM(E177:E190)</f>
        <v>3701550.91</v>
      </c>
      <c r="F176" s="26">
        <f>D176-E176</f>
        <v>580508.0899999999</v>
      </c>
      <c r="G176" s="26">
        <f>SUM(G177:G190)</f>
        <v>2300486.39</v>
      </c>
      <c r="H176" s="26">
        <f>D176-G176</f>
        <v>1981572.6099999999</v>
      </c>
      <c r="I176" s="27">
        <f>IF(D176=0,0,G176/D176)</f>
        <v>0.537238368270965</v>
      </c>
      <c r="J176" s="25"/>
      <c r="K176" s="25"/>
      <c r="L176" s="25"/>
      <c r="M176" s="25"/>
      <c r="N176" s="25"/>
      <c r="O176" s="25"/>
      <c r="P176" s="25"/>
      <c r="Q176" s="25"/>
      <c r="R176" s="25"/>
      <c r="S176" s="26">
        <f>SUM(S177:S190)</f>
        <v>134234.0</v>
      </c>
      <c r="T176" s="25"/>
    </row>
    <row r="177" spans="1:20">
      <c r="A177" s="28">
        <f>SUBTOTAL(103,$B$6:B177)</f>
        <v>149</v>
      </c>
      <c r="B177" s="28">
        <v>304</v>
      </c>
      <c r="C177" s="7" t="s">
        <v>668</v>
      </c>
      <c r="D177" s="8">
        <f>Base!N153</f>
        <v>412686.0</v>
      </c>
      <c r="E177" s="8">
        <f>Base!O153</f>
        <v>364067.0</v>
      </c>
      <c r="F177" s="8">
        <f>D177-E177</f>
        <v>48619.0</v>
      </c>
      <c r="G177" s="8">
        <f>Base!Q153</f>
        <v>189727.76</v>
      </c>
      <c r="H177" s="8">
        <f>D177-G177</f>
        <v>222958.24</v>
      </c>
      <c r="I177" s="29">
        <f>IF(D177=0,0,G177/D177)</f>
        <v>0.45973878445113237</v>
      </c>
      <c r="J177" s="7" t="str">
        <f>Base!AH153</f>
        <v>Expediente técnico</v>
      </c>
      <c r="K177" s="28" t="str">
        <f>Base!I153</f>
        <v>Proyecto de inversión</v>
      </c>
      <c r="L177" s="8" t="str">
        <f>Base!AA153</f>
        <v>No registrado en cartera</v>
      </c>
      <c r="M177" s="8" t="str">
        <f>Base!AB153</f>
        <v>No registrado en cartera</v>
      </c>
      <c r="N177" s="8" t="str">
        <f>Base!AC153</f>
        <v>No registrado en cartera</v>
      </c>
      <c r="O177" s="8" t="str">
        <f>Base!AD153</f>
        <v>No registrado en cartera</v>
      </c>
      <c r="P177" s="7">
        <f>IF(Base!AI153="","",Base!AI153)</f>
        <v/>
      </c>
      <c r="Q177" s="28" t="str">
        <f>Base!J153</f>
        <v>Sin saldo útil</v>
      </c>
      <c r="R177" s="29">
        <f>Base!X153</f>
        <v>0.010344570044796188</v>
      </c>
      <c r="S177" s="8">
        <f>Base!K153</f>
        <v>0.0</v>
      </c>
      <c r="T177" s="7" t="str">
        <f>Base!M153</f>
        <v>Saldo libre menor a S/ 10,000</v>
      </c>
    </row>
    <row r="178" spans="1:20">
      <c r="A178" s="28">
        <f>SUBTOTAL(103,$B$6:B178)</f>
        <v>150</v>
      </c>
      <c r="B178" s="28">
        <v>308</v>
      </c>
      <c r="C178" s="7" t="s">
        <v>671</v>
      </c>
      <c r="D178" s="8">
        <f>Base!N154</f>
        <v>350000.0</v>
      </c>
      <c r="E178" s="8">
        <f>Base!O154</f>
        <v>350000.0</v>
      </c>
      <c r="F178" s="8">
        <f>D178-E178</f>
        <v>0.0</v>
      </c>
      <c r="G178" s="8">
        <f>Base!Q154</f>
        <v>65074.95999999999</v>
      </c>
      <c r="H178" s="8">
        <f>D178-G178</f>
        <v>284925.04000000004</v>
      </c>
      <c r="I178" s="29">
        <f>IF(D178=0,0,G178/D178)</f>
        <v>0.1859284571428571</v>
      </c>
      <c r="J178" s="7" t="str">
        <f>Base!AH154</f>
        <v>Expediente técnico</v>
      </c>
      <c r="K178" s="28" t="str">
        <f>Base!I154</f>
        <v>Proyecto de inversión</v>
      </c>
      <c r="L178" s="8">
        <f>Base!AA154</f>
        <v>350000.0</v>
      </c>
      <c r="M178" s="8">
        <f>Base!AB154</f>
        <v>7563584.0</v>
      </c>
      <c r="N178" s="8">
        <f>Base!AC154</f>
        <v>500000.0</v>
      </c>
      <c r="O178" s="8">
        <f>Base!AD154</f>
        <v>700000.0</v>
      </c>
      <c r="P178" s="7">
        <f>IF(Base!AI154="","",Base!AI154)</f>
        <v/>
      </c>
      <c r="Q178" s="28" t="str">
        <f>Base!J154</f>
        <v>Sin saldo útil</v>
      </c>
      <c r="R178" s="29">
        <f>Base!X154</f>
        <v>0.0020567139750288523</v>
      </c>
      <c r="S178" s="8">
        <f>Base!K154</f>
        <v>0.0</v>
      </c>
      <c r="T178" s="7" t="str">
        <f>Base!M154</f>
        <v>Saldo libre menor a S/ 10,000</v>
      </c>
    </row>
    <row r="179" spans="1:20">
      <c r="A179" s="28">
        <f>SUBTOTAL(103,$B$6:B179)</f>
        <v>151</v>
      </c>
      <c r="B179" s="28">
        <v>534</v>
      </c>
      <c r="C179" s="7" t="s">
        <v>671</v>
      </c>
      <c r="D179" s="8">
        <f>Base!N155</f>
        <v>213376.0</v>
      </c>
      <c r="E179" s="8">
        <f>Base!O155</f>
        <v>0.0</v>
      </c>
      <c r="F179" s="8">
        <f>D179-E179</f>
        <v>213376.0</v>
      </c>
      <c r="G179" s="8">
        <f>Base!Q155</f>
        <v>0.0</v>
      </c>
      <c r="H179" s="8">
        <f>D179-G179</f>
        <v>213376.0</v>
      </c>
      <c r="I179" s="29">
        <f>IF(D179=0,0,G179/D179)</f>
        <v>0.0</v>
      </c>
      <c r="J179" s="7" t="str">
        <f>Base!AH155</f>
        <v>Expediente técnico</v>
      </c>
      <c r="K179" s="28" t="str">
        <f>Base!I155</f>
        <v>Proyecto de inversión</v>
      </c>
      <c r="L179" s="8">
        <f>Base!AA155</f>
        <v>350000.0</v>
      </c>
      <c r="M179" s="8">
        <f>Base!AB155</f>
        <v>7563584.0</v>
      </c>
      <c r="N179" s="8">
        <f>Base!AC155</f>
        <v>500000.0</v>
      </c>
      <c r="O179" s="8">
        <f>Base!AD155</f>
        <v>700000.0</v>
      </c>
      <c r="P179" s="7">
        <f>IF(Base!AI155="","",Base!AI155)</f>
        <v/>
      </c>
      <c r="Q179" s="28" t="str">
        <f>Base!J155</f>
        <v>Sin saldo útil</v>
      </c>
      <c r="R179" s="29">
        <f>Base!X155</f>
        <v>0.0020567139750288523</v>
      </c>
      <c r="S179" s="8">
        <f>Base!K155</f>
        <v>0.0</v>
      </c>
      <c r="T179" s="7" t="str">
        <f>Base!M155</f>
        <v>Saldo libre menor a S/ 10,000</v>
      </c>
    </row>
    <row r="180" spans="1:20">
      <c r="A180" s="28">
        <f>SUBTOTAL(103,$B$6:B180)</f>
        <v>152</v>
      </c>
      <c r="B180" s="28">
        <v>309</v>
      </c>
      <c r="C180" s="7" t="s">
        <v>676</v>
      </c>
      <c r="D180" s="8">
        <f>Base!N156</f>
        <v>400000.0</v>
      </c>
      <c r="E180" s="8">
        <f>Base!O156</f>
        <v>400000.0</v>
      </c>
      <c r="F180" s="8">
        <f>D180-E180</f>
        <v>0.0</v>
      </c>
      <c r="G180" s="8">
        <f>Base!Q156</f>
        <v>285245.05</v>
      </c>
      <c r="H180" s="8">
        <f>D180-G180</f>
        <v>114754.95000000001</v>
      </c>
      <c r="I180" s="29">
        <f>IF(D180=0,0,G180/D180)</f>
        <v>0.7131126249999999</v>
      </c>
      <c r="J180" s="7" t="str">
        <f>Base!AH156</f>
        <v>Expediente técnico</v>
      </c>
      <c r="K180" s="28" t="str">
        <f>Base!I156</f>
        <v>Proyecto de inversión</v>
      </c>
      <c r="L180" s="8">
        <f>Base!AA156</f>
        <v>400000.0</v>
      </c>
      <c r="M180" s="8">
        <f>Base!AB156</f>
        <v>358745.0</v>
      </c>
      <c r="N180" s="8">
        <f>Base!AC156</f>
        <v>0</v>
      </c>
      <c r="O180" s="8">
        <f>Base!AD156</f>
        <v>1000000.0</v>
      </c>
      <c r="P180" s="7">
        <f>IF(Base!AI156="","",Base!AI156)</f>
        <v/>
      </c>
      <c r="Q180" s="28" t="str">
        <f>Base!J156</f>
        <v>Sin saldo útil</v>
      </c>
      <c r="R180" s="29">
        <f>Base!X156</f>
        <v>0.017998683823799877</v>
      </c>
      <c r="S180" s="8">
        <f>Base!K156</f>
        <v>0.0</v>
      </c>
      <c r="T180" s="7" t="str">
        <f>Base!M156</f>
        <v>Saldo libre menor a S/ 10,000</v>
      </c>
    </row>
    <row r="181" spans="1:20">
      <c r="A181" s="28">
        <f>SUBTOTAL(103,$B$6:B181)</f>
        <v>153</v>
      </c>
      <c r="B181" s="28">
        <v>310</v>
      </c>
      <c r="C181" s="7" t="s">
        <v>679</v>
      </c>
      <c r="D181" s="8">
        <f>Base!N157</f>
        <v>386035.0</v>
      </c>
      <c r="E181" s="8">
        <f>Base!O157</f>
        <v>365592.91000000003</v>
      </c>
      <c r="F181" s="8">
        <f>D181-E181</f>
        <v>20442.089999999967</v>
      </c>
      <c r="G181" s="8">
        <f>Base!Q157</f>
        <v>246262.9</v>
      </c>
      <c r="H181" s="8">
        <f>D181-G181</f>
        <v>139772.1</v>
      </c>
      <c r="I181" s="29">
        <f>IF(D181=0,0,G181/D181)</f>
        <v>0.6379289442667115</v>
      </c>
      <c r="J181" s="7" t="str">
        <f>Base!AH157</f>
        <v>Expediente técnico</v>
      </c>
      <c r="K181" s="28" t="str">
        <f>Base!I157</f>
        <v>Proyecto de inversión</v>
      </c>
      <c r="L181" s="8">
        <f>Base!AA157</f>
        <v>386035.0</v>
      </c>
      <c r="M181" s="8">
        <f>Base!AB157</f>
        <v>310542.0</v>
      </c>
      <c r="N181" s="8">
        <f>Base!AC157</f>
        <v>0</v>
      </c>
      <c r="O181" s="8">
        <f>Base!AD157</f>
        <v>1000000.0</v>
      </c>
      <c r="P181" s="7">
        <f>IF(Base!AI157="","",Base!AI157)</f>
        <v/>
      </c>
      <c r="Q181" s="28" t="str">
        <f>Base!J157</f>
        <v>Sin saldo útil</v>
      </c>
      <c r="R181" s="29">
        <f>Base!X157</f>
        <v>0.020589159287674175</v>
      </c>
      <c r="S181" s="8">
        <f>Base!K157</f>
        <v>0.0</v>
      </c>
      <c r="T181" s="7" t="str">
        <f>Base!M157</f>
        <v>Saldo libre menor a S/ 10,000</v>
      </c>
    </row>
    <row r="182" spans="1:20">
      <c r="A182" s="28">
        <f>SUBTOTAL(103,$B$6:B182)</f>
        <v>154</v>
      </c>
      <c r="B182" s="28">
        <v>325</v>
      </c>
      <c r="C182" s="7" t="s">
        <v>682</v>
      </c>
      <c r="D182" s="8">
        <f>Base!N158</f>
        <v>18371.0</v>
      </c>
      <c r="E182" s="8">
        <f>Base!O158</f>
        <v>0.0</v>
      </c>
      <c r="F182" s="8">
        <f>D182-E182</f>
        <v>18371.0</v>
      </c>
      <c r="G182" s="8">
        <f>Base!Q158</f>
        <v>0.0</v>
      </c>
      <c r="H182" s="8">
        <f>D182-G182</f>
        <v>18371.0</v>
      </c>
      <c r="I182" s="29">
        <f>IF(D182=0,0,G182/D182)</f>
        <v>0.0</v>
      </c>
      <c r="J182" s="7" t="str">
        <f>Base!AH158</f>
        <v>Expediente técnico</v>
      </c>
      <c r="K182" s="28" t="str">
        <f>Base!I158</f>
        <v>Proyecto de inversión</v>
      </c>
      <c r="L182" s="8" t="str">
        <f>Base!AA158</f>
        <v>No registrado en cartera</v>
      </c>
      <c r="M182" s="8" t="str">
        <f>Base!AB158</f>
        <v>No registrado en cartera</v>
      </c>
      <c r="N182" s="8" t="str">
        <f>Base!AC158</f>
        <v>No registrado en cartera</v>
      </c>
      <c r="O182" s="8" t="str">
        <f>Base!AD158</f>
        <v>No registrado en cartera</v>
      </c>
      <c r="P182" s="7">
        <f>IF(Base!AI158="","",Base!AI158)</f>
        <v/>
      </c>
      <c r="Q182" s="28" t="str">
        <f>Base!J158</f>
        <v>Con condiciones</v>
      </c>
      <c r="R182" s="29">
        <f>Base!X158</f>
        <v>0.0554440929469731</v>
      </c>
      <c r="S182" s="8">
        <f>Base!K158</f>
        <v>18371.0</v>
      </c>
      <c r="T182" s="7" t="str">
        <f>Base!M158</f>
        <v>El 12-B programa S/ 18,371 de un PIM de S/ 18,371: la UEI debe actualizarlo (el proyecto no está en ningún PMI)</v>
      </c>
    </row>
    <row r="183" spans="1:20">
      <c r="A183" s="28">
        <f>SUBTOTAL(103,$B$6:B183)</f>
        <v>155</v>
      </c>
      <c r="B183" s="28">
        <v>326</v>
      </c>
      <c r="C183" s="7" t="s">
        <v>687</v>
      </c>
      <c r="D183" s="8">
        <f>Base!N159</f>
        <v>225183.0</v>
      </c>
      <c r="E183" s="8">
        <f>Base!O159</f>
        <v>180000.0</v>
      </c>
      <c r="F183" s="8">
        <f>D183-E183</f>
        <v>45183.0</v>
      </c>
      <c r="G183" s="8">
        <f>Base!Q159</f>
        <v>179898.4</v>
      </c>
      <c r="H183" s="8">
        <f>D183-G183</f>
        <v>45284.600000000006</v>
      </c>
      <c r="I183" s="29">
        <f>IF(D183=0,0,G183/D183)</f>
        <v>0.7988986735233121</v>
      </c>
      <c r="J183" s="7" t="str">
        <f>Base!AH159</f>
        <v>Expediente técnico</v>
      </c>
      <c r="K183" s="28" t="str">
        <f>Base!I159</f>
        <v>Proyecto de inversión</v>
      </c>
      <c r="L183" s="8" t="str">
        <f>Base!AA159</f>
        <v>No registrado en cartera</v>
      </c>
      <c r="M183" s="8" t="str">
        <f>Base!AB159</f>
        <v>No registrado en cartera</v>
      </c>
      <c r="N183" s="8" t="str">
        <f>Base!AC159</f>
        <v>No registrado en cartera</v>
      </c>
      <c r="O183" s="8" t="str">
        <f>Base!AD159</f>
        <v>No registrado en cartera</v>
      </c>
      <c r="P183" s="7">
        <f>IF(Base!AI159="","",Base!AI159)</f>
        <v/>
      </c>
      <c r="Q183" s="28" t="str">
        <f>Base!J159</f>
        <v>Sin saldo útil</v>
      </c>
      <c r="R183" s="29">
        <f>Base!X159</f>
        <v>0.024959978588163786</v>
      </c>
      <c r="S183" s="8">
        <f>Base!K159</f>
        <v>0.0</v>
      </c>
      <c r="T183" s="7" t="str">
        <f>Base!M159</f>
        <v>Saldo libre menor a S/ 10,000</v>
      </c>
    </row>
    <row r="184" spans="1:20">
      <c r="A184" s="28">
        <f>SUBTOTAL(103,$B$6:B184)</f>
        <v>156</v>
      </c>
      <c r="B184" s="28">
        <v>327</v>
      </c>
      <c r="C184" s="7" t="s">
        <v>691</v>
      </c>
      <c r="D184" s="8">
        <f>Base!N160</f>
        <v>680000.0</v>
      </c>
      <c r="E184" s="8">
        <f>Base!O160</f>
        <v>676480.0</v>
      </c>
      <c r="F184" s="8">
        <f>D184-E184</f>
        <v>3520.0</v>
      </c>
      <c r="G184" s="8">
        <f>Base!Q160</f>
        <v>463894.66000000003</v>
      </c>
      <c r="H184" s="8">
        <f>D184-G184</f>
        <v>216105.33999999997</v>
      </c>
      <c r="I184" s="29">
        <f>IF(D184=0,0,G184/D184)</f>
        <v>0.6821980294117648</v>
      </c>
      <c r="J184" s="7" t="str">
        <f>Base!AH160</f>
        <v>Expediente técnico</v>
      </c>
      <c r="K184" s="28" t="str">
        <f>Base!I160</f>
        <v>Proyecto de inversión</v>
      </c>
      <c r="L184" s="8">
        <f>Base!AA160</f>
        <v>380000.0</v>
      </c>
      <c r="M184" s="8">
        <f>Base!AB160</f>
        <v>6625412.0</v>
      </c>
      <c r="N184" s="8">
        <f>Base!AC160</f>
        <v>0</v>
      </c>
      <c r="O184" s="8">
        <f>Base!AD160</f>
        <v>1000000.0</v>
      </c>
      <c r="P184" s="7">
        <f>IF(Base!AI160="","",Base!AI160)</f>
        <v/>
      </c>
      <c r="Q184" s="28" t="str">
        <f>Base!J160</f>
        <v>Sin saldo útil</v>
      </c>
      <c r="R184" s="29">
        <f>Base!X160</f>
        <v>0.020039336517938523</v>
      </c>
      <c r="S184" s="8">
        <f>Base!K160</f>
        <v>0.0</v>
      </c>
      <c r="T184" s="7" t="str">
        <f>Base!M160</f>
        <v>Saldo libre menor a S/ 10,000</v>
      </c>
    </row>
    <row r="185" spans="1:20">
      <c r="A185" s="28">
        <f>SUBTOTAL(103,$B$6:B185)</f>
        <v>157</v>
      </c>
      <c r="B185" s="28">
        <v>328</v>
      </c>
      <c r="C185" s="7" t="s">
        <v>694</v>
      </c>
      <c r="D185" s="8">
        <f>Base!N161</f>
        <v>519111.0</v>
      </c>
      <c r="E185" s="8">
        <f>Base!O161</f>
        <v>519111.0</v>
      </c>
      <c r="F185" s="8">
        <f>D185-E185</f>
        <v>0.0</v>
      </c>
      <c r="G185" s="8">
        <f>Base!Q161</f>
        <v>211182.68</v>
      </c>
      <c r="H185" s="8">
        <f>D185-G185</f>
        <v>307928.32</v>
      </c>
      <c r="I185" s="29">
        <f>IF(D185=0,0,G185/D185)</f>
        <v>0.4068160374178162</v>
      </c>
      <c r="J185" s="7" t="str">
        <f>Base!AH161</f>
        <v>Expediente técnico</v>
      </c>
      <c r="K185" s="28" t="str">
        <f>Base!I161</f>
        <v>Proyecto de inversión</v>
      </c>
      <c r="L185" s="8">
        <f>Base!AA161</f>
        <v>300000.0</v>
      </c>
      <c r="M185" s="8">
        <f>Base!AB161</f>
        <v>5285426.0</v>
      </c>
      <c r="N185" s="8">
        <f>Base!AC161</f>
        <v>0</v>
      </c>
      <c r="O185" s="8">
        <f>Base!AD161</f>
        <v>1000000.0</v>
      </c>
      <c r="P185" s="7">
        <f>IF(Base!AI161="","",Base!AI161)</f>
        <v/>
      </c>
      <c r="Q185" s="28" t="str">
        <f>Base!J161</f>
        <v>Sin saldo útil</v>
      </c>
      <c r="R185" s="29">
        <f>Base!X161</f>
        <v>0.016933602959971854</v>
      </c>
      <c r="S185" s="8">
        <f>Base!K161</f>
        <v>0.0</v>
      </c>
      <c r="T185" s="7" t="str">
        <f>Base!M161</f>
        <v>Saldo libre menor a S/ 10,000</v>
      </c>
    </row>
    <row r="186" spans="1:20">
      <c r="A186" s="28">
        <f>SUBTOTAL(103,$B$6:B186)</f>
        <v>158</v>
      </c>
      <c r="B186" s="28">
        <v>329</v>
      </c>
      <c r="C186" s="7" t="s">
        <v>697</v>
      </c>
      <c r="D186" s="8">
        <f>Base!N162</f>
        <v>206971.0</v>
      </c>
      <c r="E186" s="8">
        <f>Base!O162</f>
        <v>206970.5</v>
      </c>
      <c r="F186" s="8">
        <f>D186-E186</f>
        <v>0.5</v>
      </c>
      <c r="G186" s="8">
        <f>Base!Q162</f>
        <v>110370.29000000001</v>
      </c>
      <c r="H186" s="8">
        <f>D186-G186</f>
        <v>96600.70999999999</v>
      </c>
      <c r="I186" s="29">
        <f>IF(D186=0,0,G186/D186)</f>
        <v>0.5332645153185712</v>
      </c>
      <c r="J186" s="7" t="str">
        <f>Base!AH162</f>
        <v>Expediente técnico</v>
      </c>
      <c r="K186" s="28" t="str">
        <f>Base!I162</f>
        <v>IOARR</v>
      </c>
      <c r="L186" s="8">
        <f>Base!AA162</f>
        <v>206972.0</v>
      </c>
      <c r="M186" s="8">
        <f>Base!AB162</f>
        <v>254584.0</v>
      </c>
      <c r="N186" s="8">
        <f>Base!AC162</f>
        <v>0</v>
      </c>
      <c r="O186" s="8">
        <f>Base!AD162</f>
        <v>500000.0</v>
      </c>
      <c r="P186" s="7">
        <f>IF(Base!AI162="","",Base!AI162)</f>
        <v/>
      </c>
      <c r="Q186" s="28" t="str">
        <f>Base!J162</f>
        <v>Sin saldo útil</v>
      </c>
      <c r="R186" s="29">
        <f>Base!X162</f>
        <v>0.036838711107118595</v>
      </c>
      <c r="S186" s="8">
        <f>Base!K162</f>
        <v>0.0</v>
      </c>
      <c r="T186" s="7" t="str">
        <f>Base!M162</f>
        <v>Saldo libre menor a S/ 10,000</v>
      </c>
    </row>
    <row r="187" spans="1:20">
      <c r="A187" s="28">
        <f>SUBTOTAL(103,$B$6:B187)</f>
        <v>159</v>
      </c>
      <c r="B187" s="28">
        <v>342</v>
      </c>
      <c r="C187" s="7" t="s">
        <v>700</v>
      </c>
      <c r="D187" s="8">
        <f>Base!N163</f>
        <v>654463.0</v>
      </c>
      <c r="E187" s="8">
        <f>Base!O163</f>
        <v>639329.5</v>
      </c>
      <c r="F187" s="8">
        <f>D187-E187</f>
        <v>15133.5</v>
      </c>
      <c r="G187" s="8">
        <f>Base!Q163</f>
        <v>548829.6900000001</v>
      </c>
      <c r="H187" s="8">
        <f>D187-G187</f>
        <v>105633.30999999994</v>
      </c>
      <c r="I187" s="29">
        <f>IF(D187=0,0,G187/D187)</f>
        <v>0.83859544389828</v>
      </c>
      <c r="J187" s="7" t="str">
        <f>Base!AH163</f>
        <v>Expediente técnico</v>
      </c>
      <c r="K187" s="28" t="str">
        <f>Base!I163</f>
        <v>Proyecto de inversión</v>
      </c>
      <c r="L187" s="8">
        <f>Base!AA163</f>
        <v>380000.0</v>
      </c>
      <c r="M187" s="8">
        <f>Base!AB163</f>
        <v>1421799.0</v>
      </c>
      <c r="N187" s="8">
        <f>Base!AC163</f>
        <v>0</v>
      </c>
      <c r="O187" s="8">
        <f>Base!AD163</f>
        <v>1000000.0</v>
      </c>
      <c r="P187" s="7">
        <f>IF(Base!AI163="","",Base!AI163)</f>
        <v/>
      </c>
      <c r="Q187" s="28" t="str">
        <f>Base!J163</f>
        <v>Sin saldo útil</v>
      </c>
      <c r="R187" s="29">
        <f>Base!X163</f>
        <v>0.011770849529058505</v>
      </c>
      <c r="S187" s="8">
        <f>Base!K163</f>
        <v>0.0</v>
      </c>
      <c r="T187" s="7" t="str">
        <f>Base!M163</f>
        <v>Saldo libre menor a S/ 10,000</v>
      </c>
    </row>
    <row r="188" spans="1:20">
      <c r="A188" s="28">
        <f>SUBTOTAL(103,$B$6:B188)</f>
        <v>160</v>
      </c>
      <c r="B188" s="28">
        <v>347</v>
      </c>
      <c r="C188" s="7" t="s">
        <v>258</v>
      </c>
      <c r="D188" s="8">
        <f>Base!N164</f>
        <v>100000.0</v>
      </c>
      <c r="E188" s="8">
        <f>Base!O164</f>
        <v>0.0</v>
      </c>
      <c r="F188" s="8">
        <f>D188-E188</f>
        <v>100000.0</v>
      </c>
      <c r="G188" s="8">
        <f>Base!Q164</f>
        <v>0.0</v>
      </c>
      <c r="H188" s="8">
        <f>D188-G188</f>
        <v>100000.0</v>
      </c>
      <c r="I188" s="29">
        <f>IF(D188=0,0,G188/D188)</f>
        <v>0.0</v>
      </c>
      <c r="J188" s="7" t="str">
        <f>Base!AH164</f>
        <v>Expediente técnico</v>
      </c>
      <c r="K188" s="28" t="str">
        <f>Base!I164</f>
        <v>Proyecto de inversión</v>
      </c>
      <c r="L188" s="8">
        <f>Base!AA164</f>
        <v>4800690.0</v>
      </c>
      <c r="M188" s="8">
        <f>Base!AB164</f>
        <v>4000000.0</v>
      </c>
      <c r="N188" s="8">
        <f>Base!AC164</f>
        <v>14883202.0</v>
      </c>
      <c r="O188" s="8">
        <f>Base!AD164</f>
        <v>19038629.0</v>
      </c>
      <c r="P188" s="7">
        <f>IF(Base!AI164="","",Base!AI164)</f>
        <v/>
      </c>
      <c r="Q188" s="28" t="str">
        <f>Base!J164</f>
        <v>Sin saldo útil</v>
      </c>
      <c r="R188" s="29">
        <f>Base!X164</f>
        <v>0.7574851915794794</v>
      </c>
      <c r="S188" s="8">
        <f>Base!K164</f>
        <v>0.0</v>
      </c>
      <c r="T188" s="7" t="str">
        <f>Base!M164</f>
        <v>Saldo libre menor a S/ 10,000</v>
      </c>
    </row>
    <row r="189" spans="1:20">
      <c r="A189" s="28">
        <f>SUBTOTAL(103,$B$6:B189)</f>
        <v>161</v>
      </c>
      <c r="B189" s="28">
        <v>521</v>
      </c>
      <c r="C189" s="7" t="s">
        <v>704</v>
      </c>
      <c r="D189" s="8">
        <f>Base!N165</f>
        <v>40572.0</v>
      </c>
      <c r="E189" s="8">
        <f>Base!O165</f>
        <v>0.0</v>
      </c>
      <c r="F189" s="8">
        <f>D189-E189</f>
        <v>40572.0</v>
      </c>
      <c r="G189" s="8">
        <f>Base!Q165</f>
        <v>0.0</v>
      </c>
      <c r="H189" s="8">
        <f>D189-G189</f>
        <v>40572.0</v>
      </c>
      <c r="I189" s="29">
        <f>IF(D189=0,0,G189/D189)</f>
        <v>0.0</v>
      </c>
      <c r="J189" s="7" t="str">
        <f>Base!AH165</f>
        <v>Expediente técnico</v>
      </c>
      <c r="K189" s="28" t="str">
        <f>Base!I165</f>
        <v>IOARR</v>
      </c>
      <c r="L189" s="8" t="str">
        <f>Base!AA165</f>
        <v>No registrado en cartera</v>
      </c>
      <c r="M189" s="8" t="str">
        <f>Base!AB165</f>
        <v>No registrado en cartera</v>
      </c>
      <c r="N189" s="8" t="str">
        <f>Base!AC165</f>
        <v>No registrado en cartera</v>
      </c>
      <c r="O189" s="8" t="str">
        <f>Base!AD165</f>
        <v>No registrado en cartera</v>
      </c>
      <c r="P189" s="7">
        <f>IF(Base!AI165="","",Base!AI165)</f>
        <v/>
      </c>
      <c r="Q189" s="28" t="str">
        <f>Base!J165</f>
        <v>Con condiciones</v>
      </c>
      <c r="R189" s="29">
        <f>Base!X165</f>
        <v>0.0</v>
      </c>
      <c r="S189" s="8">
        <f>Base!K165</f>
        <v>40572.0</v>
      </c>
      <c r="T189" s="7" t="str">
        <f>Base!M165</f>
        <v>12-B sin programación vigente: validar con la OPMI</v>
      </c>
    </row>
    <row r="190" spans="1:20">
      <c r="A190" s="28">
        <f>SUBTOTAL(103,$B$6:B190)</f>
        <v>162</v>
      </c>
      <c r="B190" s="28">
        <v>522</v>
      </c>
      <c r="C190" s="7" t="s">
        <v>708</v>
      </c>
      <c r="D190" s="8">
        <f>Base!N166</f>
        <v>75291.0</v>
      </c>
      <c r="E190" s="8">
        <f>Base!O166</f>
        <v>0.0</v>
      </c>
      <c r="F190" s="8">
        <f>D190-E190</f>
        <v>75291.0</v>
      </c>
      <c r="G190" s="8">
        <f>Base!Q166</f>
        <v>0.0</v>
      </c>
      <c r="H190" s="8">
        <f>D190-G190</f>
        <v>75291.0</v>
      </c>
      <c r="I190" s="29">
        <f>IF(D190=0,0,G190/D190)</f>
        <v>0.0</v>
      </c>
      <c r="J190" s="7" t="str">
        <f>Base!AH166</f>
        <v>Expediente técnico</v>
      </c>
      <c r="K190" s="28" t="str">
        <f>Base!I166</f>
        <v>IOARR</v>
      </c>
      <c r="L190" s="8" t="str">
        <f>Base!AA166</f>
        <v>No registrado en cartera</v>
      </c>
      <c r="M190" s="8" t="str">
        <f>Base!AB166</f>
        <v>No registrado en cartera</v>
      </c>
      <c r="N190" s="8" t="str">
        <f>Base!AC166</f>
        <v>No registrado en cartera</v>
      </c>
      <c r="O190" s="8" t="str">
        <f>Base!AD166</f>
        <v>No registrado en cartera</v>
      </c>
      <c r="P190" s="7">
        <f>IF(Base!AI166="","",Base!AI166)</f>
        <v/>
      </c>
      <c r="Q190" s="28" t="str">
        <f>Base!J166</f>
        <v>Con condiciones</v>
      </c>
      <c r="R190" s="29">
        <f>Base!X166</f>
        <v>0.0</v>
      </c>
      <c r="S190" s="8">
        <f>Base!K166</f>
        <v>75291.0</v>
      </c>
      <c r="T190" s="7" t="str">
        <f>Base!M166</f>
        <v>Sin Formato 12-B: validar con la OPMI</v>
      </c>
    </row>
    <row r="191" spans="1:20">
      <c r="A191" s="25" t="s">
        <v>319</v>
      </c>
      <c r="B191" s="25"/>
      <c r="C191" s="25"/>
      <c r="D191" s="26">
        <f>SUM(D192:D193)</f>
        <v>425742.0</v>
      </c>
      <c r="E191" s="26">
        <f>SUM(E192:E193)</f>
        <v>425742.0</v>
      </c>
      <c r="F191" s="26">
        <f>D191-E191</f>
        <v>0.0</v>
      </c>
      <c r="G191" s="26">
        <f>SUM(G192:G193)</f>
        <v>207394.57</v>
      </c>
      <c r="H191" s="26">
        <f>D191-G191</f>
        <v>218347.43</v>
      </c>
      <c r="I191" s="27">
        <f>IF(D191=0,0,G191/D191)</f>
        <v>0.4871367400914169</v>
      </c>
      <c r="J191" s="25"/>
      <c r="K191" s="25"/>
      <c r="L191" s="25"/>
      <c r="M191" s="25"/>
      <c r="N191" s="25"/>
      <c r="O191" s="25"/>
      <c r="P191" s="25"/>
      <c r="Q191" s="25"/>
      <c r="R191" s="25"/>
      <c r="S191" s="26">
        <f>SUM(S192:S193)</f>
        <v>0.0</v>
      </c>
      <c r="T191" s="25"/>
    </row>
    <row r="192" spans="1:20">
      <c r="A192" s="28">
        <f>SUBTOTAL(103,$B$6:B192)</f>
        <v>163</v>
      </c>
      <c r="B192" s="28">
        <v>321</v>
      </c>
      <c r="C192" s="7" t="s">
        <v>331</v>
      </c>
      <c r="D192" s="8">
        <f>Base!N167</f>
        <v>325721.0</v>
      </c>
      <c r="E192" s="8">
        <f>Base!O167</f>
        <v>325721.0</v>
      </c>
      <c r="F192" s="8">
        <f>D192-E192</f>
        <v>0.0</v>
      </c>
      <c r="G192" s="8">
        <f>Base!Q167</f>
        <v>159147.06</v>
      </c>
      <c r="H192" s="8">
        <f>D192-G192</f>
        <v>166573.94</v>
      </c>
      <c r="I192" s="29">
        <f>IF(D192=0,0,G192/D192)</f>
        <v>0.48859932273325946</v>
      </c>
      <c r="J192" s="7" t="str">
        <f>Base!AH167</f>
        <v>Expediente técnico</v>
      </c>
      <c r="K192" s="28" t="str">
        <f>Base!I167</f>
        <v>Proyecto de inversión</v>
      </c>
      <c r="L192" s="8">
        <f>Base!AA167</f>
        <v>11675669.0</v>
      </c>
      <c r="M192" s="8">
        <f>Base!AB167</f>
        <v>6000000.0</v>
      </c>
      <c r="N192" s="8">
        <f>Base!AC167</f>
        <v>6503691.0</v>
      </c>
      <c r="O192" s="8">
        <f>Base!AD167</f>
        <v>7526858.0</v>
      </c>
      <c r="P192" s="7">
        <f>IF(Base!AI167="","",Base!AI167)</f>
        <v/>
      </c>
      <c r="Q192" s="28" t="str">
        <f>Base!J167</f>
        <v>Sin saldo útil</v>
      </c>
      <c r="R192" s="29">
        <f>Base!X167</f>
        <v>0.48417508026498685</v>
      </c>
      <c r="S192" s="8">
        <f>Base!K167</f>
        <v>0.0</v>
      </c>
      <c r="T192" s="7" t="str">
        <f>Base!M167</f>
        <v>Saldo libre menor a S/ 10,000</v>
      </c>
    </row>
    <row r="193" spans="1:20">
      <c r="A193" s="28">
        <f>SUBTOTAL(103,$B$6:B193)</f>
        <v>164</v>
      </c>
      <c r="B193" s="28">
        <v>491</v>
      </c>
      <c r="C193" s="7" t="s">
        <v>713</v>
      </c>
      <c r="D193" s="8">
        <f>Base!N168</f>
        <v>100021.0</v>
      </c>
      <c r="E193" s="8">
        <f>Base!O168</f>
        <v>100021.0</v>
      </c>
      <c r="F193" s="8">
        <f>D193-E193</f>
        <v>0.0</v>
      </c>
      <c r="G193" s="8">
        <f>Base!Q168</f>
        <v>48247.51</v>
      </c>
      <c r="H193" s="8">
        <f>D193-G193</f>
        <v>51773.49</v>
      </c>
      <c r="I193" s="29">
        <f>IF(D193=0,0,G193/D193)</f>
        <v>0.4823738015016847</v>
      </c>
      <c r="J193" s="7" t="str">
        <f>Base!AH168</f>
        <v>Expediente técnico</v>
      </c>
      <c r="K193" s="28" t="str">
        <f>Base!I168</f>
        <v>IOARR</v>
      </c>
      <c r="L193" s="8">
        <f>Base!AA168</f>
        <v>50000.0</v>
      </c>
      <c r="M193" s="8">
        <f>Base!AB168</f>
        <v>0</v>
      </c>
      <c r="N193" s="8">
        <f>Base!AC168</f>
        <v>0</v>
      </c>
      <c r="O193" s="8">
        <f>Base!AD168</f>
        <v>1500000.0</v>
      </c>
      <c r="P193" s="7">
        <f>IF(Base!AI168="","",Base!AI168)</f>
        <v/>
      </c>
      <c r="Q193" s="28" t="str">
        <f>Base!J168</f>
        <v>Rebajando certificación</v>
      </c>
      <c r="R193" s="29">
        <f>Base!X168</f>
        <v>0.013629045032849771</v>
      </c>
      <c r="S193" s="8">
        <f>Base!K168</f>
        <v>0.0</v>
      </c>
      <c r="T193" s="7" t="str">
        <f>Base!M168</f>
        <v>Sin saldo libre; hay S/ 40,369 certificados sin comprometer ni programar en el 12-B (requiere rebajar la certificación)</v>
      </c>
    </row>
    <row r="194" spans="1:20">
      <c r="A194" s="25" t="s">
        <v>715</v>
      </c>
      <c r="B194" s="25"/>
      <c r="C194" s="25"/>
      <c r="D194" s="26">
        <f>SUM(D195:D195)</f>
        <v>500000.0</v>
      </c>
      <c r="E194" s="26">
        <f>SUM(E195:E195)</f>
        <v>0.0</v>
      </c>
      <c r="F194" s="26">
        <f>D194-E194</f>
        <v>500000.0</v>
      </c>
      <c r="G194" s="26">
        <f>SUM(G195:G195)</f>
        <v>0.0</v>
      </c>
      <c r="H194" s="26">
        <f>D194-G194</f>
        <v>500000.0</v>
      </c>
      <c r="I194" s="27">
        <f>IF(D194=0,0,G194/D194)</f>
        <v>0.0</v>
      </c>
      <c r="J194" s="25"/>
      <c r="K194" s="25"/>
      <c r="L194" s="25"/>
      <c r="M194" s="25"/>
      <c r="N194" s="25"/>
      <c r="O194" s="25"/>
      <c r="P194" s="25"/>
      <c r="Q194" s="25"/>
      <c r="R194" s="25"/>
      <c r="S194" s="26">
        <f>SUM(S195:S195)</f>
        <v>0.0</v>
      </c>
      <c r="T194" s="25"/>
    </row>
    <row r="195" spans="1:20">
      <c r="A195" s="28">
        <f>SUBTOTAL(103,$B$6:B195)</f>
        <v>165</v>
      </c>
      <c r="B195" s="28">
        <v>337</v>
      </c>
      <c r="C195" s="7" t="s">
        <v>718</v>
      </c>
      <c r="D195" s="8">
        <f>Base!N169</f>
        <v>500000.0</v>
      </c>
      <c r="E195" s="8">
        <f>Base!O169</f>
        <v>0.0</v>
      </c>
      <c r="F195" s="8">
        <f>D195-E195</f>
        <v>500000.0</v>
      </c>
      <c r="G195" s="8">
        <f>Base!Q169</f>
        <v>0.0</v>
      </c>
      <c r="H195" s="8">
        <f>D195-G195</f>
        <v>500000.0</v>
      </c>
      <c r="I195" s="29">
        <f>IF(D195=0,0,G195/D195)</f>
        <v>0.0</v>
      </c>
      <c r="J195" s="7" t="str">
        <f>Base!AH169</f>
        <v>Expediente técnico</v>
      </c>
      <c r="K195" s="28" t="str">
        <f>Base!I169</f>
        <v>Proyecto de inversión</v>
      </c>
      <c r="L195" s="8" t="str">
        <f>Base!AA169</f>
        <v>No registrado en cartera</v>
      </c>
      <c r="M195" s="8" t="str">
        <f>Base!AB169</f>
        <v>No registrado en cartera</v>
      </c>
      <c r="N195" s="8" t="str">
        <f>Base!AC169</f>
        <v>No registrado en cartera</v>
      </c>
      <c r="O195" s="8" t="str">
        <f>Base!AD169</f>
        <v>No registrado en cartera</v>
      </c>
      <c r="P195" s="7">
        <f>IF(Base!AI169="","",Base!AI169)</f>
        <v/>
      </c>
      <c r="Q195" s="28" t="str">
        <f>Base!J169</f>
        <v>Sin saldo útil</v>
      </c>
      <c r="R195" s="29">
        <f>Base!X169</f>
        <v>0.0</v>
      </c>
      <c r="S195" s="8">
        <f>Base!K169</f>
        <v>0.0</v>
      </c>
      <c r="T195" s="7" t="str">
        <f>Base!M169</f>
        <v>Saldo libre menor a S/ 10,000</v>
      </c>
    </row>
    <row r="196" spans="1:20">
      <c r="A196" s="9" t="s">
        <v>720</v>
      </c>
      <c r="B196" s="9"/>
      <c r="C196" s="9"/>
      <c r="D196" s="10">
        <f>D197+D223+D268+D306+D311+D315+D317+D319+D321</f>
        <v>48675269.0</v>
      </c>
      <c r="E196" s="10">
        <f>E197+E223+E268+E306+E311+E315+E317+E319+E321</f>
        <v>39523668.33</v>
      </c>
      <c r="F196" s="10">
        <f>D196-E196</f>
        <v>9151600.670000002</v>
      </c>
      <c r="G196" s="10">
        <f>G197+G223+G268+G306+G311+G315+G317+G319+G321</f>
        <v>16968776.07</v>
      </c>
      <c r="H196" s="10">
        <f>D196-G196</f>
        <v>31706492.93</v>
      </c>
      <c r="I196" s="24">
        <f>IF(D196=0,0,G196/D196)</f>
        <v>0.34861186016249857</v>
      </c>
      <c r="J196" s="9"/>
      <c r="K196" s="9"/>
      <c r="L196" s="9"/>
      <c r="M196" s="9"/>
      <c r="N196" s="9"/>
      <c r="O196" s="9"/>
      <c r="P196" s="9"/>
      <c r="Q196" s="9"/>
      <c r="R196" s="9"/>
      <c r="S196" s="10">
        <f>S197+S223+S268+S306+S311+S315+S317+S319+S321</f>
        <v>2782764.9799999995</v>
      </c>
      <c r="T196" s="9"/>
    </row>
    <row r="197" spans="1:20">
      <c r="A197" s="25" t="s">
        <v>78</v>
      </c>
      <c r="B197" s="25"/>
      <c r="C197" s="25"/>
      <c r="D197" s="26">
        <f>SUM(D198:D222)</f>
        <v>15640880.0</v>
      </c>
      <c r="E197" s="26">
        <f>SUM(E198:E222)</f>
        <v>14762847.889999999</v>
      </c>
      <c r="F197" s="26">
        <f>D197-E197</f>
        <v>878032.1100000013</v>
      </c>
      <c r="G197" s="26">
        <f>SUM(G198:G222)</f>
        <v>5181283.069999999</v>
      </c>
      <c r="H197" s="26">
        <f>D197-G197</f>
        <v>10459596.93</v>
      </c>
      <c r="I197" s="27">
        <f>IF(D197=0,0,G197/D197)</f>
        <v>0.33126544478315795</v>
      </c>
      <c r="J197" s="25"/>
      <c r="K197" s="25"/>
      <c r="L197" s="25"/>
      <c r="M197" s="25"/>
      <c r="N197" s="25"/>
      <c r="O197" s="25"/>
      <c r="P197" s="25"/>
      <c r="Q197" s="25"/>
      <c r="R197" s="25"/>
      <c r="S197" s="26">
        <f>SUM(S198:S222)</f>
        <v>789314.47</v>
      </c>
      <c r="T197" s="25"/>
    </row>
    <row r="198" spans="1:20">
      <c r="A198" s="28">
        <f>SUBTOTAL(103,$B$6:B198)</f>
        <v>166</v>
      </c>
      <c r="B198" s="28">
        <v>227</v>
      </c>
      <c r="C198" s="7" t="s">
        <v>723</v>
      </c>
      <c r="D198" s="8">
        <f>Base!N170</f>
        <v>10399190.0</v>
      </c>
      <c r="E198" s="8">
        <f>Base!O170</f>
        <v>9609876.0</v>
      </c>
      <c r="F198" s="8">
        <f>D198-E198</f>
        <v>789314.0</v>
      </c>
      <c r="G198" s="8">
        <f>Base!Q170</f>
        <v>4159675.65</v>
      </c>
      <c r="H198" s="8">
        <f>D198-G198</f>
        <v>6239514.35</v>
      </c>
      <c r="I198" s="29">
        <f>IF(D198=0,0,G198/D198)</f>
        <v>0.3999999663435325</v>
      </c>
      <c r="J198" s="7" t="str">
        <f>Base!AH170</f>
        <v>Contrata</v>
      </c>
      <c r="K198" s="28" t="str">
        <f>Base!I170</f>
        <v>Proyecto de inversión</v>
      </c>
      <c r="L198" s="8">
        <f>Base!AA170</f>
        <v>8282615.0</v>
      </c>
      <c r="M198" s="8">
        <f>Base!AB170</f>
        <v>10255200.0</v>
      </c>
      <c r="N198" s="8">
        <f>Base!AC170</f>
        <v>10389972.0</v>
      </c>
      <c r="O198" s="8">
        <f>Base!AD170</f>
        <v>10574977.0</v>
      </c>
      <c r="P198" s="7">
        <f>IF(Base!AI170="","",Base!AI170)</f>
        <v/>
      </c>
      <c r="Q198" s="28" t="str">
        <f>Base!J170</f>
        <v>Con condiciones</v>
      </c>
      <c r="R198" s="29">
        <f>Base!X170</f>
        <v>0.0892204823669216</v>
      </c>
      <c r="S198" s="8">
        <f>Base!K170</f>
        <v>789314.0</v>
      </c>
      <c r="T198" s="7" t="str">
        <f>Base!M170</f>
        <v>Está programado en el PMI 2026 · Tiene monto en el PMI 2027 (S/ 10,255,200)</v>
      </c>
    </row>
    <row r="199" spans="1:20">
      <c r="A199" s="28">
        <f>SUBTOTAL(103,$B$6:B199)</f>
        <v>167</v>
      </c>
      <c r="B199" s="28">
        <v>230</v>
      </c>
      <c r="C199" s="7" t="s">
        <v>727</v>
      </c>
      <c r="D199" s="8">
        <f>Base!N171</f>
        <v>0.0</v>
      </c>
      <c r="E199" s="8">
        <f>Base!O171</f>
        <v>0.0</v>
      </c>
      <c r="F199" s="8">
        <f>D199-E199</f>
        <v>0.0</v>
      </c>
      <c r="G199" s="8">
        <f>Base!Q171</f>
        <v>0.0</v>
      </c>
      <c r="H199" s="8">
        <f>D199-G199</f>
        <v>0.0</v>
      </c>
      <c r="I199" s="29">
        <f>IF(D199=0,0,G199/D199)</f>
        <v>0</v>
      </c>
      <c r="J199" s="7" t="str">
        <f>Base!AH171</f>
        <v>Contrata</v>
      </c>
      <c r="K199" s="28" t="str">
        <f>Base!I171</f>
        <v>Proyecto de inversión</v>
      </c>
      <c r="L199" s="8">
        <f>Base!AA171</f>
        <v>1950000.0</v>
      </c>
      <c r="M199" s="8">
        <f>Base!AB171</f>
        <v>0</v>
      </c>
      <c r="N199" s="8">
        <f>Base!AC171</f>
        <v>1500000.0</v>
      </c>
      <c r="O199" s="8">
        <f>Base!AD171</f>
        <v>2450000.0</v>
      </c>
      <c r="P199" s="7">
        <f>IF(Base!AI171="","",Base!AI171)</f>
        <v/>
      </c>
      <c r="Q199" s="28" t="str">
        <f>Base!J171</f>
        <v>Sin PIM</v>
      </c>
      <c r="R199" s="29">
        <f>Base!X171</f>
        <v>0.006980088604187125</v>
      </c>
      <c r="S199" s="8">
        <f>Base!K171</f>
        <v>0.0</v>
      </c>
      <c r="T199" s="7" t="str">
        <f>Base!M171</f>
        <v>PIM igual a 0</v>
      </c>
    </row>
    <row r="200" spans="1:20">
      <c r="A200" s="28">
        <f>SUBTOTAL(103,$B$6:B200)</f>
        <v>168</v>
      </c>
      <c r="B200" s="28">
        <v>238</v>
      </c>
      <c r="C200" s="7" t="s">
        <v>730</v>
      </c>
      <c r="D200" s="8">
        <f>Base!N172</f>
        <v>184669.0</v>
      </c>
      <c r="E200" s="8">
        <f>Base!O172</f>
        <v>184669.0</v>
      </c>
      <c r="F200" s="8">
        <f>D200-E200</f>
        <v>0.0</v>
      </c>
      <c r="G200" s="8">
        <f>Base!Q172</f>
        <v>0.0</v>
      </c>
      <c r="H200" s="8">
        <f>D200-G200</f>
        <v>184669.0</v>
      </c>
      <c r="I200" s="29">
        <f>IF(D200=0,0,G200/D200)</f>
        <v>0.0</v>
      </c>
      <c r="J200" s="7" t="str">
        <f>Base!AH172</f>
        <v>Contrata</v>
      </c>
      <c r="K200" s="28" t="str">
        <f>Base!I172</f>
        <v>Proyecto de inversión</v>
      </c>
      <c r="L200" s="8">
        <f>Base!AA172</f>
        <v>5319000.0</v>
      </c>
      <c r="M200" s="8">
        <f>Base!AB172</f>
        <v>8587485.0</v>
      </c>
      <c r="N200" s="8">
        <f>Base!AC172</f>
        <v>0</v>
      </c>
      <c r="O200" s="8">
        <f>Base!AD172</f>
        <v>1000000.0</v>
      </c>
      <c r="P200" s="7">
        <f>IF(Base!AI172="","",Base!AI172)</f>
        <v/>
      </c>
      <c r="Q200" s="28" t="str">
        <f>Base!J172</f>
        <v>Sin saldo útil</v>
      </c>
      <c r="R200" s="29">
        <f>Base!X172</f>
        <v>0.024090138748991144</v>
      </c>
      <c r="S200" s="8">
        <f>Base!K172</f>
        <v>0.0</v>
      </c>
      <c r="T200" s="7" t="str">
        <f>Base!M172</f>
        <v>Saldo libre menor a S/ 10,000</v>
      </c>
    </row>
    <row r="201" spans="1:20">
      <c r="A201" s="28">
        <f>SUBTOTAL(103,$B$6:B201)</f>
        <v>169</v>
      </c>
      <c r="B201" s="28">
        <v>244</v>
      </c>
      <c r="C201" s="7" t="s">
        <v>734</v>
      </c>
      <c r="D201" s="8">
        <f>Base!N173</f>
        <v>83062.0</v>
      </c>
      <c r="E201" s="8">
        <f>Base!O173</f>
        <v>50000.0</v>
      </c>
      <c r="F201" s="8">
        <f>D201-E201</f>
        <v>33062.0</v>
      </c>
      <c r="G201" s="8">
        <f>Base!Q173</f>
        <v>0.0</v>
      </c>
      <c r="H201" s="8">
        <f>D201-G201</f>
        <v>83062.0</v>
      </c>
      <c r="I201" s="29">
        <f>IF(D201=0,0,G201/D201)</f>
        <v>0.0</v>
      </c>
      <c r="J201" s="7" t="str">
        <f>Base!AH173</f>
        <v>Expediente técnico / Contrata</v>
      </c>
      <c r="K201" s="28" t="str">
        <f>Base!I173</f>
        <v>Proyecto de inversión</v>
      </c>
      <c r="L201" s="8">
        <f>Base!AA173</f>
        <v>200000.0</v>
      </c>
      <c r="M201" s="8">
        <f>Base!AB173</f>
        <v>1474000.0</v>
      </c>
      <c r="N201" s="8">
        <f>Base!AC173</f>
        <v>0</v>
      </c>
      <c r="O201" s="8">
        <f>Base!AD173</f>
        <v>0</v>
      </c>
      <c r="P201" s="7">
        <f>IF(Base!AI173="","",Base!AI173)</f>
        <v/>
      </c>
      <c r="Q201" s="28" t="str">
        <f>Base!J173</f>
        <v>Sin saldo útil</v>
      </c>
      <c r="R201" s="29">
        <f>Base!X173</f>
        <v>0.0355861317007596</v>
      </c>
      <c r="S201" s="8">
        <f>Base!K173</f>
        <v>0.0</v>
      </c>
      <c r="T201" s="7" t="str">
        <f>Base!M173</f>
        <v>Saldo libre menor a S/ 10,000</v>
      </c>
    </row>
    <row r="202" spans="1:20">
      <c r="A202" s="28">
        <f>SUBTOTAL(103,$B$6:B202)</f>
        <v>170</v>
      </c>
      <c r="B202" s="28">
        <v>251</v>
      </c>
      <c r="C202" s="7" t="s">
        <v>737</v>
      </c>
      <c r="D202" s="8">
        <f>Base!N174</f>
        <v>654662.0</v>
      </c>
      <c r="E202" s="8">
        <f>Base!O174</f>
        <v>654662.0</v>
      </c>
      <c r="F202" s="8">
        <f>D202-E202</f>
        <v>0.0</v>
      </c>
      <c r="G202" s="8">
        <f>Base!Q174</f>
        <v>0.0</v>
      </c>
      <c r="H202" s="8">
        <f>D202-G202</f>
        <v>654662.0</v>
      </c>
      <c r="I202" s="29">
        <f>IF(D202=0,0,G202/D202)</f>
        <v>0.0</v>
      </c>
      <c r="J202" s="7" t="str">
        <f>Base!AH174</f>
        <v>Expediente técnico</v>
      </c>
      <c r="K202" s="28" t="str">
        <f>Base!I174</f>
        <v>Proyecto de inversión</v>
      </c>
      <c r="L202" s="8" t="str">
        <f>Base!AA174</f>
        <v>No registrado en cartera</v>
      </c>
      <c r="M202" s="8" t="str">
        <f>Base!AB174</f>
        <v>No registrado en cartera</v>
      </c>
      <c r="N202" s="8" t="str">
        <f>Base!AC174</f>
        <v>No registrado en cartera</v>
      </c>
      <c r="O202" s="8" t="str">
        <f>Base!AD174</f>
        <v>No registrado en cartera</v>
      </c>
      <c r="P202" s="7">
        <f>IF(Base!AI174="","",Base!AI174)</f>
        <v/>
      </c>
      <c r="Q202" s="28" t="str">
        <f>Base!J174</f>
        <v>Sin saldo útil</v>
      </c>
      <c r="R202" s="29">
        <f>Base!X174</f>
        <v>0.0</v>
      </c>
      <c r="S202" s="8">
        <f>Base!K174</f>
        <v>0.0</v>
      </c>
      <c r="T202" s="7" t="str">
        <f>Base!M174</f>
        <v>Saldo libre menor a S/ 10,000</v>
      </c>
    </row>
    <row r="203" spans="1:20">
      <c r="A203" s="28">
        <f>SUBTOTAL(103,$B$6:B203)</f>
        <v>171</v>
      </c>
      <c r="B203" s="28">
        <v>256</v>
      </c>
      <c r="C203" s="7" t="s">
        <v>740</v>
      </c>
      <c r="D203" s="8">
        <f>Base!N175</f>
        <v>82568.0</v>
      </c>
      <c r="E203" s="8">
        <f>Base!O175</f>
        <v>82568.0</v>
      </c>
      <c r="F203" s="8">
        <f>D203-E203</f>
        <v>0.0</v>
      </c>
      <c r="G203" s="8">
        <f>Base!Q175</f>
        <v>57743.81</v>
      </c>
      <c r="H203" s="8">
        <f>D203-G203</f>
        <v>24824.190000000002</v>
      </c>
      <c r="I203" s="29">
        <f>IF(D203=0,0,G203/D203)</f>
        <v>0.6993485369634725</v>
      </c>
      <c r="J203" s="7" t="str">
        <f>Base!AH175</f>
        <v>Expediente técnico</v>
      </c>
      <c r="K203" s="28" t="str">
        <f>Base!I175</f>
        <v>Proyecto de inversión</v>
      </c>
      <c r="L203" s="8">
        <f>Base!AA175</f>
        <v>4190000.0</v>
      </c>
      <c r="M203" s="8">
        <f>Base!AB175</f>
        <v>7462800.0</v>
      </c>
      <c r="N203" s="8">
        <f>Base!AC175</f>
        <v>7500000.0</v>
      </c>
      <c r="O203" s="8">
        <f>Base!AD175</f>
        <v>12829438.0</v>
      </c>
      <c r="P203" s="7">
        <f>IF(Base!AI175="","",Base!AI175)</f>
        <v/>
      </c>
      <c r="Q203" s="28" t="str">
        <f>Base!J175</f>
        <v>Sin saldo útil</v>
      </c>
      <c r="R203" s="29">
        <f>Base!X175</f>
        <v>0.03527081136752424</v>
      </c>
      <c r="S203" s="8">
        <f>Base!K175</f>
        <v>0.0</v>
      </c>
      <c r="T203" s="7" t="str">
        <f>Base!M175</f>
        <v>Saldo libre menor a S/ 10,000</v>
      </c>
    </row>
    <row r="204" spans="1:20">
      <c r="A204" s="28">
        <f>SUBTOTAL(103,$B$6:B204)</f>
        <v>172</v>
      </c>
      <c r="B204" s="28">
        <v>257</v>
      </c>
      <c r="C204" s="7" t="s">
        <v>743</v>
      </c>
      <c r="D204" s="8">
        <f>Base!N176</f>
        <v>100000.0</v>
      </c>
      <c r="E204" s="8">
        <f>Base!O176</f>
        <v>100000.0</v>
      </c>
      <c r="F204" s="8">
        <f>D204-E204</f>
        <v>0.0</v>
      </c>
      <c r="G204" s="8">
        <f>Base!Q176</f>
        <v>85262.53</v>
      </c>
      <c r="H204" s="8">
        <f>D204-G204</f>
        <v>14737.470000000001</v>
      </c>
      <c r="I204" s="29">
        <f>IF(D204=0,0,G204/D204)</f>
        <v>0.8526253</v>
      </c>
      <c r="J204" s="7" t="str">
        <f>Base!AH176</f>
        <v>Expediente técnico</v>
      </c>
      <c r="K204" s="28" t="str">
        <f>Base!I176</f>
        <v>Proyecto de inversión</v>
      </c>
      <c r="L204" s="8">
        <f>Base!AA176</f>
        <v>100000.0</v>
      </c>
      <c r="M204" s="8">
        <f>Base!AB176</f>
        <v>7898542.0</v>
      </c>
      <c r="N204" s="8">
        <f>Base!AC176</f>
        <v>0</v>
      </c>
      <c r="O204" s="8">
        <f>Base!AD176</f>
        <v>1000000.0</v>
      </c>
      <c r="P204" s="7">
        <f>IF(Base!AI176="","",Base!AI176)</f>
        <v/>
      </c>
      <c r="Q204" s="28" t="str">
        <f>Base!J176</f>
        <v>Sin saldo útil</v>
      </c>
      <c r="R204" s="29">
        <f>Base!X176</f>
        <v>0.0020733483625975345</v>
      </c>
      <c r="S204" s="8">
        <f>Base!K176</f>
        <v>0.0</v>
      </c>
      <c r="T204" s="7" t="str">
        <f>Base!M176</f>
        <v>Saldo libre menor a S/ 10,000</v>
      </c>
    </row>
    <row r="205" spans="1:20">
      <c r="A205" s="28">
        <f>SUBTOTAL(103,$B$6:B205)</f>
        <v>173</v>
      </c>
      <c r="B205" s="28">
        <v>258</v>
      </c>
      <c r="C205" s="7" t="s">
        <v>746</v>
      </c>
      <c r="D205" s="8">
        <f>Base!N177</f>
        <v>0.0</v>
      </c>
      <c r="E205" s="8">
        <f>Base!O177</f>
        <v>0.0</v>
      </c>
      <c r="F205" s="8">
        <f>D205-E205</f>
        <v>0.0</v>
      </c>
      <c r="G205" s="8">
        <f>Base!Q177</f>
        <v>0.0</v>
      </c>
      <c r="H205" s="8">
        <f>D205-G205</f>
        <v>0.0</v>
      </c>
      <c r="I205" s="29">
        <f>IF(D205=0,0,G205/D205)</f>
        <v>0</v>
      </c>
      <c r="J205" s="7" t="str">
        <f>Base!AH177</f>
        <v>Contrata</v>
      </c>
      <c r="K205" s="28" t="str">
        <f>Base!I177</f>
        <v>Proyecto de inversión</v>
      </c>
      <c r="L205" s="8">
        <f>Base!AA177</f>
        <v>100000.0</v>
      </c>
      <c r="M205" s="8">
        <f>Base!AB177</f>
        <v>0</v>
      </c>
      <c r="N205" s="8">
        <f>Base!AC177</f>
        <v>0</v>
      </c>
      <c r="O205" s="8">
        <f>Base!AD177</f>
        <v>0</v>
      </c>
      <c r="P205" s="7">
        <f>IF(Base!AI177="","",Base!AI177)</f>
        <v/>
      </c>
      <c r="Q205" s="28" t="str">
        <f>Base!J177</f>
        <v>Sin PIM</v>
      </c>
      <c r="R205" s="29">
        <f>Base!X177</f>
        <v>0.0</v>
      </c>
      <c r="S205" s="8">
        <f>Base!K177</f>
        <v>0.0</v>
      </c>
      <c r="T205" s="7" t="str">
        <f>Base!M177</f>
        <v>PIM igual a 0</v>
      </c>
    </row>
    <row r="206" spans="1:20">
      <c r="A206" s="28">
        <f>SUBTOTAL(103,$B$6:B206)</f>
        <v>174</v>
      </c>
      <c r="B206" s="28">
        <v>261</v>
      </c>
      <c r="C206" s="7" t="s">
        <v>749</v>
      </c>
      <c r="D206" s="8">
        <f>Base!N178</f>
        <v>154665.0</v>
      </c>
      <c r="E206" s="8">
        <f>Base!O178</f>
        <v>154665.0</v>
      </c>
      <c r="F206" s="8">
        <f>D206-E206</f>
        <v>0.0</v>
      </c>
      <c r="G206" s="8">
        <f>Base!Q178</f>
        <v>154066.77</v>
      </c>
      <c r="H206" s="8">
        <f>D206-G206</f>
        <v>598.2300000000105</v>
      </c>
      <c r="I206" s="29">
        <f>IF(D206=0,0,G206/D206)</f>
        <v>0.9961320919406459</v>
      </c>
      <c r="J206" s="7" t="str">
        <f>Base!AH178</f>
        <v>Expediente técnico</v>
      </c>
      <c r="K206" s="28" t="str">
        <f>Base!I178</f>
        <v>Proyecto de inversión</v>
      </c>
      <c r="L206" s="8">
        <f>Base!AA178</f>
        <v>200000.0</v>
      </c>
      <c r="M206" s="8">
        <f>Base!AB178</f>
        <v>8562546.0</v>
      </c>
      <c r="N206" s="8">
        <f>Base!AC178</f>
        <v>5000000.0</v>
      </c>
      <c r="O206" s="8">
        <f>Base!AD178</f>
        <v>5168291.0</v>
      </c>
      <c r="P206" s="7">
        <f>IF(Base!AI178="","",Base!AI178)</f>
        <v/>
      </c>
      <c r="Q206" s="28" t="str">
        <f>Base!J178</f>
        <v>No mover</v>
      </c>
      <c r="R206" s="29">
        <f>Base!X178</f>
        <v>0.016513171098723172</v>
      </c>
      <c r="S206" s="8">
        <f>Base!K178</f>
        <v>0.0</v>
      </c>
      <c r="T206" s="7" t="str">
        <f>Base!M178</f>
        <v>Devengado 2026 ≥ 90% del PIM</v>
      </c>
    </row>
    <row r="207" spans="1:20">
      <c r="A207" s="28">
        <f>SUBTOTAL(103,$B$6:B207)</f>
        <v>175</v>
      </c>
      <c r="B207" s="28">
        <v>262</v>
      </c>
      <c r="C207" s="7" t="s">
        <v>752</v>
      </c>
      <c r="D207" s="8">
        <f>Base!N179</f>
        <v>1750696.0</v>
      </c>
      <c r="E207" s="8">
        <f>Base!O179</f>
        <v>1750696.0</v>
      </c>
      <c r="F207" s="8">
        <f>D207-E207</f>
        <v>0.0</v>
      </c>
      <c r="G207" s="8">
        <f>Base!Q179</f>
        <v>0.0</v>
      </c>
      <c r="H207" s="8">
        <f>D207-G207</f>
        <v>1750696.0</v>
      </c>
      <c r="I207" s="29">
        <f>IF(D207=0,0,G207/D207)</f>
        <v>0.0</v>
      </c>
      <c r="J207" s="7" t="str">
        <f>Base!AH179</f>
        <v>Contrata</v>
      </c>
      <c r="K207" s="28" t="str">
        <f>Base!I179</f>
        <v>IOARR</v>
      </c>
      <c r="L207" s="8">
        <f>Base!AA179</f>
        <v>4083424.0</v>
      </c>
      <c r="M207" s="8">
        <f>Base!AB179</f>
        <v>8803099.0</v>
      </c>
      <c r="N207" s="8">
        <f>Base!AC179</f>
        <v>5321398.0</v>
      </c>
      <c r="O207" s="8">
        <f>Base!AD179</f>
        <v>0</v>
      </c>
      <c r="P207" s="7">
        <f>IF(Base!AI179="","",Base!AI179)</f>
        <v/>
      </c>
      <c r="Q207" s="28" t="str">
        <f>Base!J179</f>
        <v>Sin saldo útil</v>
      </c>
      <c r="R207" s="29">
        <f>Base!X179</f>
        <v>0.019395960131868437</v>
      </c>
      <c r="S207" s="8">
        <f>Base!K179</f>
        <v>0.0</v>
      </c>
      <c r="T207" s="7" t="str">
        <f>Base!M179</f>
        <v>Saldo libre menor a S/ 10,000</v>
      </c>
    </row>
    <row r="208" spans="1:20">
      <c r="A208" s="28">
        <f>SUBTOTAL(103,$B$6:B208)</f>
        <v>176</v>
      </c>
      <c r="B208" s="28">
        <v>265</v>
      </c>
      <c r="C208" s="7" t="s">
        <v>756</v>
      </c>
      <c r="D208" s="8">
        <f>Base!N180</f>
        <v>0.0</v>
      </c>
      <c r="E208" s="8">
        <f>Base!O180</f>
        <v>0.0</v>
      </c>
      <c r="F208" s="8">
        <f>D208-E208</f>
        <v>0.0</v>
      </c>
      <c r="G208" s="8">
        <f>Base!Q180</f>
        <v>0.0</v>
      </c>
      <c r="H208" s="8">
        <f>D208-G208</f>
        <v>0.0</v>
      </c>
      <c r="I208" s="29">
        <f>IF(D208=0,0,G208/D208)</f>
        <v>0</v>
      </c>
      <c r="J208" s="7" t="str">
        <f>Base!AH180</f>
        <v>Contrata</v>
      </c>
      <c r="K208" s="28" t="str">
        <f>Base!I180</f>
        <v>Proyecto de inversión</v>
      </c>
      <c r="L208" s="8">
        <f>Base!AA180</f>
        <v>100000.0</v>
      </c>
      <c r="M208" s="8">
        <f>Base!AB180</f>
        <v>0</v>
      </c>
      <c r="N208" s="8">
        <f>Base!AC180</f>
        <v>0</v>
      </c>
      <c r="O208" s="8">
        <f>Base!AD180</f>
        <v>500000.0</v>
      </c>
      <c r="P208" s="7">
        <f>IF(Base!AI180="","",Base!AI180)</f>
        <v/>
      </c>
      <c r="Q208" s="28" t="str">
        <f>Base!J180</f>
        <v>Sin PIM</v>
      </c>
      <c r="R208" s="29">
        <f>Base!X180</f>
        <v>0.0</v>
      </c>
      <c r="S208" s="8">
        <f>Base!K180</f>
        <v>0.0</v>
      </c>
      <c r="T208" s="7" t="str">
        <f>Base!M180</f>
        <v>PIM igual a 0</v>
      </c>
    </row>
    <row r="209" spans="1:20">
      <c r="A209" s="28">
        <f>SUBTOTAL(103,$B$6:B209)</f>
        <v>177</v>
      </c>
      <c r="B209" s="28">
        <v>267</v>
      </c>
      <c r="C209" s="7" t="s">
        <v>759</v>
      </c>
      <c r="D209" s="8">
        <f>Base!N181</f>
        <v>656461.0</v>
      </c>
      <c r="E209" s="8">
        <f>Base!O181</f>
        <v>656461.0</v>
      </c>
      <c r="F209" s="8">
        <f>D209-E209</f>
        <v>0.0</v>
      </c>
      <c r="G209" s="8">
        <f>Base!Q181</f>
        <v>0.0</v>
      </c>
      <c r="H209" s="8">
        <f>D209-G209</f>
        <v>656461.0</v>
      </c>
      <c r="I209" s="29">
        <f>IF(D209=0,0,G209/D209)</f>
        <v>0.0</v>
      </c>
      <c r="J209" s="7" t="str">
        <f>Base!AH181</f>
        <v>Expediente técnico</v>
      </c>
      <c r="K209" s="28" t="str">
        <f>Base!I181</f>
        <v>Proyecto de inversión</v>
      </c>
      <c r="L209" s="8">
        <f>Base!AA181</f>
        <v>50000.0</v>
      </c>
      <c r="M209" s="8">
        <f>Base!AB181</f>
        <v>7005844.0</v>
      </c>
      <c r="N209" s="8">
        <f>Base!AC181</f>
        <v>0</v>
      </c>
      <c r="O209" s="8">
        <f>Base!AD181</f>
        <v>3544143.0</v>
      </c>
      <c r="P209" s="7">
        <f>IF(Base!AI181="","",Base!AI181)</f>
        <v/>
      </c>
      <c r="Q209" s="28" t="str">
        <f>Base!J181</f>
        <v>Rebajando certificación</v>
      </c>
      <c r="R209" s="29">
        <f>Base!X181</f>
        <v>0.0</v>
      </c>
      <c r="S209" s="8">
        <f>Base!K181</f>
        <v>0.0</v>
      </c>
      <c r="T209" s="7" t="str">
        <f>Base!M181</f>
        <v>Sin saldo libre; hay S/ 606,460 certificados sin comprometer ni programar en el 12-B (requiere rebajar la certificación)</v>
      </c>
    </row>
    <row r="210" spans="1:20">
      <c r="A210" s="28">
        <f>SUBTOTAL(103,$B$6:B210)</f>
        <v>178</v>
      </c>
      <c r="B210" s="28">
        <v>268</v>
      </c>
      <c r="C210" s="7" t="s">
        <v>763</v>
      </c>
      <c r="D210" s="8">
        <f>Base!N182</f>
        <v>606461.0</v>
      </c>
      <c r="E210" s="8">
        <f>Base!O182</f>
        <v>606460.53</v>
      </c>
      <c r="F210" s="8">
        <f>D210-E210</f>
        <v>0.4699999999720603</v>
      </c>
      <c r="G210" s="8">
        <f>Base!Q182</f>
        <v>0.0</v>
      </c>
      <c r="H210" s="8">
        <f>D210-G210</f>
        <v>606461.0</v>
      </c>
      <c r="I210" s="29">
        <f>IF(D210=0,0,G210/D210)</f>
        <v>0.0</v>
      </c>
      <c r="J210" s="7" t="str">
        <f>Base!AH182</f>
        <v>Expediente técnico</v>
      </c>
      <c r="K210" s="28" t="str">
        <f>Base!I182</f>
        <v>Proyecto de inversión</v>
      </c>
      <c r="L210" s="8">
        <f>Base!AA182</f>
        <v>706461.0</v>
      </c>
      <c r="M210" s="8">
        <f>Base!AB182</f>
        <v>7021584.0</v>
      </c>
      <c r="N210" s="8">
        <f>Base!AC182</f>
        <v>0</v>
      </c>
      <c r="O210" s="8">
        <f>Base!AD182</f>
        <v>1000000.0</v>
      </c>
      <c r="P210" s="7">
        <f>IF(Base!AI182="","",Base!AI182)</f>
        <v/>
      </c>
      <c r="Q210" s="28" t="str">
        <f>Base!J182</f>
        <v>Rebajando certificación</v>
      </c>
      <c r="R210" s="29">
        <f>Base!X182</f>
        <v>0.0</v>
      </c>
      <c r="S210" s="8">
        <f>Base!K182</f>
        <v>0.4699999999720603</v>
      </c>
      <c r="T210" s="7" t="str">
        <f>Base!M182</f>
        <v>Sin saldo libre; hay S/ 606,460 certificados sin comprometer ni programar en el 12-B (requiere rebajar la certificación)</v>
      </c>
    </row>
    <row r="211" spans="1:20">
      <c r="A211" s="28">
        <f>SUBTOTAL(103,$B$6:B211)</f>
        <v>179</v>
      </c>
      <c r="B211" s="28">
        <v>269</v>
      </c>
      <c r="C211" s="7" t="s">
        <v>766</v>
      </c>
      <c r="D211" s="8">
        <f>Base!N183</f>
        <v>0.0</v>
      </c>
      <c r="E211" s="8">
        <f>Base!O183</f>
        <v>0.0</v>
      </c>
      <c r="F211" s="8">
        <f>D211-E211</f>
        <v>0.0</v>
      </c>
      <c r="G211" s="8">
        <f>Base!Q183</f>
        <v>0.0</v>
      </c>
      <c r="H211" s="8">
        <f>D211-G211</f>
        <v>0.0</v>
      </c>
      <c r="I211" s="29">
        <f>IF(D211=0,0,G211/D211)</f>
        <v>0</v>
      </c>
      <c r="J211" s="7" t="str">
        <f>Base!AH183</f>
        <v>Contrata</v>
      </c>
      <c r="K211" s="28" t="str">
        <f>Base!I183</f>
        <v>Proyecto de inversión</v>
      </c>
      <c r="L211" s="8">
        <f>Base!AA183</f>
        <v>100000.0</v>
      </c>
      <c r="M211" s="8">
        <f>Base!AB183</f>
        <v>0</v>
      </c>
      <c r="N211" s="8">
        <f>Base!AC183</f>
        <v>0</v>
      </c>
      <c r="O211" s="8">
        <f>Base!AD183</f>
        <v>1000000.0</v>
      </c>
      <c r="P211" s="7">
        <f>IF(Base!AI183="","",Base!AI183)</f>
        <v/>
      </c>
      <c r="Q211" s="28" t="str">
        <f>Base!J183</f>
        <v>Sin PIM</v>
      </c>
      <c r="R211" s="29">
        <f>Base!X183</f>
        <v>0.0</v>
      </c>
      <c r="S211" s="8">
        <f>Base!K183</f>
        <v>0.0</v>
      </c>
      <c r="T211" s="7" t="str">
        <f>Base!M183</f>
        <v>PIM igual a 0</v>
      </c>
    </row>
    <row r="212" spans="1:20">
      <c r="A212" s="28">
        <f>SUBTOTAL(103,$B$6:B212)</f>
        <v>180</v>
      </c>
      <c r="B212" s="28">
        <v>271</v>
      </c>
      <c r="C212" s="7" t="s">
        <v>769</v>
      </c>
      <c r="D212" s="8">
        <f>Base!N184</f>
        <v>50000.0</v>
      </c>
      <c r="E212" s="8">
        <f>Base!O184</f>
        <v>50000.0</v>
      </c>
      <c r="F212" s="8">
        <f>D212-E212</f>
        <v>0.0</v>
      </c>
      <c r="G212" s="8">
        <f>Base!Q184</f>
        <v>47929.329999999994</v>
      </c>
      <c r="H212" s="8">
        <f>D212-G212</f>
        <v>2070.6700000000055</v>
      </c>
      <c r="I212" s="29">
        <f>IF(D212=0,0,G212/D212)</f>
        <v>0.9585865999999998</v>
      </c>
      <c r="J212" s="7" t="str">
        <f>Base!AH184</f>
        <v>Expediente técnico</v>
      </c>
      <c r="K212" s="28" t="str">
        <f>Base!I184</f>
        <v>Proyecto de inversión</v>
      </c>
      <c r="L212" s="8">
        <f>Base!AA184</f>
        <v>50000.0</v>
      </c>
      <c r="M212" s="8">
        <f>Base!AB184</f>
        <v>1543234.0</v>
      </c>
      <c r="N212" s="8">
        <f>Base!AC184</f>
        <v>0</v>
      </c>
      <c r="O212" s="8">
        <f>Base!AD184</f>
        <v>1008002.0</v>
      </c>
      <c r="P212" s="7">
        <f>IF(Base!AI184="","",Base!AI184)</f>
        <v/>
      </c>
      <c r="Q212" s="28" t="str">
        <f>Base!J184</f>
        <v>No mover</v>
      </c>
      <c r="R212" s="29">
        <f>Base!X184</f>
        <v>0.08213591246567041</v>
      </c>
      <c r="S212" s="8">
        <f>Base!K184</f>
        <v>0.0</v>
      </c>
      <c r="T212" s="7" t="str">
        <f>Base!M184</f>
        <v>Devengado 2026 ≥ 90% del PIM</v>
      </c>
    </row>
    <row r="213" spans="1:20">
      <c r="A213" s="28">
        <f>SUBTOTAL(103,$B$6:B213)</f>
        <v>181</v>
      </c>
      <c r="B213" s="28">
        <v>272</v>
      </c>
      <c r="C213" s="7" t="s">
        <v>772</v>
      </c>
      <c r="D213" s="8">
        <f>Base!N185</f>
        <v>0.0</v>
      </c>
      <c r="E213" s="8">
        <f>Base!O185</f>
        <v>0.0</v>
      </c>
      <c r="F213" s="8">
        <f>D213-E213</f>
        <v>0.0</v>
      </c>
      <c r="G213" s="8">
        <f>Base!Q185</f>
        <v>0.0</v>
      </c>
      <c r="H213" s="8">
        <f>D213-G213</f>
        <v>0.0</v>
      </c>
      <c r="I213" s="29">
        <f>IF(D213=0,0,G213/D213)</f>
        <v>0</v>
      </c>
      <c r="J213" s="7" t="str">
        <f>Base!AH185</f>
        <v>Contrata</v>
      </c>
      <c r="K213" s="28" t="str">
        <f>Base!I185</f>
        <v>Proyecto de inversión</v>
      </c>
      <c r="L213" s="8">
        <f>Base!AA185</f>
        <v>50000.0</v>
      </c>
      <c r="M213" s="8">
        <f>Base!AB185</f>
        <v>0</v>
      </c>
      <c r="N213" s="8">
        <f>Base!AC185</f>
        <v>300000.0</v>
      </c>
      <c r="O213" s="8">
        <f>Base!AD185</f>
        <v>2629159.0</v>
      </c>
      <c r="P213" s="7">
        <f>IF(Base!AI185="","",Base!AI185)</f>
        <v/>
      </c>
      <c r="Q213" s="28" t="str">
        <f>Base!J185</f>
        <v>Sin PIM</v>
      </c>
      <c r="R213" s="29">
        <f>Base!X185</f>
        <v>0.0</v>
      </c>
      <c r="S213" s="8">
        <f>Base!K185</f>
        <v>0.0</v>
      </c>
      <c r="T213" s="7" t="str">
        <f>Base!M185</f>
        <v>PIM igual a 0</v>
      </c>
    </row>
    <row r="214" spans="1:20">
      <c r="A214" s="28">
        <f>SUBTOTAL(103,$B$6:B214)</f>
        <v>182</v>
      </c>
      <c r="B214" s="28">
        <v>273</v>
      </c>
      <c r="C214" s="7" t="s">
        <v>775</v>
      </c>
      <c r="D214" s="8">
        <f>Base!N186</f>
        <v>82042.0</v>
      </c>
      <c r="E214" s="8">
        <f>Base!O186</f>
        <v>73137.01999999999</v>
      </c>
      <c r="F214" s="8">
        <f>D214-E214</f>
        <v>8904.98000000001</v>
      </c>
      <c r="G214" s="8">
        <f>Base!Q186</f>
        <v>48346.770000000004</v>
      </c>
      <c r="H214" s="8">
        <f>D214-G214</f>
        <v>33695.229999999996</v>
      </c>
      <c r="I214" s="29">
        <f>IF(D214=0,0,G214/D214)</f>
        <v>0.5892929231369299</v>
      </c>
      <c r="J214" s="7" t="str">
        <f>Base!AH186</f>
        <v>Expediente técnico</v>
      </c>
      <c r="K214" s="28" t="str">
        <f>Base!I186</f>
        <v>Proyecto de inversión</v>
      </c>
      <c r="L214" s="8">
        <f>Base!AA186</f>
        <v>50000.0</v>
      </c>
      <c r="M214" s="8">
        <f>Base!AB186</f>
        <v>254525.0</v>
      </c>
      <c r="N214" s="8">
        <f>Base!AC186</f>
        <v>0</v>
      </c>
      <c r="O214" s="8">
        <f>Base!AD186</f>
        <v>1345475.0</v>
      </c>
      <c r="P214" s="7">
        <f>IF(Base!AI186="","",Base!AI186)</f>
        <v/>
      </c>
      <c r="Q214" s="28" t="str">
        <f>Base!J186</f>
        <v>Sin saldo útil</v>
      </c>
      <c r="R214" s="29">
        <f>Base!X186</f>
        <v>0.08104364981628016</v>
      </c>
      <c r="S214" s="8">
        <f>Base!K186</f>
        <v>0.0</v>
      </c>
      <c r="T214" s="7" t="str">
        <f>Base!M186</f>
        <v>Saldo libre menor a S/ 10,000</v>
      </c>
    </row>
    <row r="215" spans="1:20">
      <c r="A215" s="28">
        <f>SUBTOTAL(103,$B$6:B215)</f>
        <v>183</v>
      </c>
      <c r="B215" s="28">
        <v>274</v>
      </c>
      <c r="C215" s="7" t="s">
        <v>778</v>
      </c>
      <c r="D215" s="8">
        <f>Base!N187</f>
        <v>0.0</v>
      </c>
      <c r="E215" s="8">
        <f>Base!O187</f>
        <v>0.0</v>
      </c>
      <c r="F215" s="8">
        <f>D215-E215</f>
        <v>0.0</v>
      </c>
      <c r="G215" s="8">
        <f>Base!Q187</f>
        <v>0.0</v>
      </c>
      <c r="H215" s="8">
        <f>D215-G215</f>
        <v>0.0</v>
      </c>
      <c r="I215" s="29">
        <f>IF(D215=0,0,G215/D215)</f>
        <v>0</v>
      </c>
      <c r="J215" s="7" t="str">
        <f>Base!AH187</f>
        <v>Contrata</v>
      </c>
      <c r="K215" s="28" t="str">
        <f>Base!I187</f>
        <v>Proyecto de inversión</v>
      </c>
      <c r="L215" s="8">
        <f>Base!AA187</f>
        <v>50000.0</v>
      </c>
      <c r="M215" s="8">
        <f>Base!AB187</f>
        <v>0</v>
      </c>
      <c r="N215" s="8">
        <f>Base!AC187</f>
        <v>0</v>
      </c>
      <c r="O215" s="8">
        <f>Base!AD187</f>
        <v>150000.0</v>
      </c>
      <c r="P215" s="7">
        <f>IF(Base!AI187="","",Base!AI187)</f>
        <v/>
      </c>
      <c r="Q215" s="28" t="str">
        <f>Base!J187</f>
        <v>Sin PIM</v>
      </c>
      <c r="R215" s="29">
        <f>Base!X187</f>
        <v>0.0</v>
      </c>
      <c r="S215" s="8">
        <f>Base!K187</f>
        <v>0.0</v>
      </c>
      <c r="T215" s="7" t="str">
        <f>Base!M187</f>
        <v>PIM igual a 0</v>
      </c>
    </row>
    <row r="216" spans="1:20">
      <c r="A216" s="28">
        <f>SUBTOTAL(103,$B$6:B216)</f>
        <v>184</v>
      </c>
      <c r="B216" s="28">
        <v>275</v>
      </c>
      <c r="C216" s="7" t="s">
        <v>781</v>
      </c>
      <c r="D216" s="8">
        <f>Base!N188</f>
        <v>72190.0</v>
      </c>
      <c r="E216" s="8">
        <f>Base!O188</f>
        <v>62384.34</v>
      </c>
      <c r="F216" s="8">
        <f>D216-E216</f>
        <v>9805.660000000003</v>
      </c>
      <c r="G216" s="8">
        <f>Base!Q188</f>
        <v>59404.06</v>
      </c>
      <c r="H216" s="8">
        <f>D216-G216</f>
        <v>12785.940000000002</v>
      </c>
      <c r="I216" s="29">
        <f>IF(D216=0,0,G216/D216)</f>
        <v>0.822884887103477</v>
      </c>
      <c r="J216" s="7" t="str">
        <f>Base!AH188</f>
        <v>Expediente técnico</v>
      </c>
      <c r="K216" s="28" t="str">
        <f>Base!I188</f>
        <v>Proyecto de inversión</v>
      </c>
      <c r="L216" s="8">
        <f>Base!AA188</f>
        <v>50000.0</v>
      </c>
      <c r="M216" s="8">
        <f>Base!AB188</f>
        <v>0</v>
      </c>
      <c r="N216" s="8">
        <f>Base!AC188</f>
        <v>0</v>
      </c>
      <c r="O216" s="8">
        <f>Base!AD188</f>
        <v>2707132.0</v>
      </c>
      <c r="P216" s="7">
        <f>IF(Base!AI188="","",Base!AI188)</f>
        <v/>
      </c>
      <c r="Q216" s="28" t="str">
        <f>Base!J188</f>
        <v>Sin saldo útil</v>
      </c>
      <c r="R216" s="29">
        <f>Base!X188</f>
        <v>0.07848190603614832</v>
      </c>
      <c r="S216" s="8">
        <f>Base!K188</f>
        <v>0.0</v>
      </c>
      <c r="T216" s="7" t="str">
        <f>Base!M188</f>
        <v>Saldo libre menor a S/ 10,000</v>
      </c>
    </row>
    <row r="217" spans="1:20">
      <c r="A217" s="28">
        <f>SUBTOTAL(103,$B$6:B217)</f>
        <v>185</v>
      </c>
      <c r="B217" s="28">
        <v>276</v>
      </c>
      <c r="C217" s="7" t="s">
        <v>784</v>
      </c>
      <c r="D217" s="8">
        <f>Base!N189</f>
        <v>69837.0</v>
      </c>
      <c r="E217" s="8">
        <f>Base!O189</f>
        <v>50000.0</v>
      </c>
      <c r="F217" s="8">
        <f>D217-E217</f>
        <v>19837.0</v>
      </c>
      <c r="G217" s="8">
        <f>Base!Q189</f>
        <v>24166.33</v>
      </c>
      <c r="H217" s="8">
        <f>D217-G217</f>
        <v>45670.67</v>
      </c>
      <c r="I217" s="29">
        <f>IF(D217=0,0,G217/D217)</f>
        <v>0.34603906238813237</v>
      </c>
      <c r="J217" s="7" t="str">
        <f>Base!AH189</f>
        <v>Expediente técnico</v>
      </c>
      <c r="K217" s="28" t="str">
        <f>Base!I189</f>
        <v>Proyecto de inversión</v>
      </c>
      <c r="L217" s="8">
        <f>Base!AA189</f>
        <v>50000.0</v>
      </c>
      <c r="M217" s="8">
        <f>Base!AB189</f>
        <v>1543466.0</v>
      </c>
      <c r="N217" s="8">
        <f>Base!AC189</f>
        <v>0</v>
      </c>
      <c r="O217" s="8">
        <f>Base!AD189</f>
        <v>500000.0</v>
      </c>
      <c r="P217" s="7">
        <f>IF(Base!AI189="","",Base!AI189)</f>
        <v/>
      </c>
      <c r="Q217" s="28" t="str">
        <f>Base!J189</f>
        <v>Sin saldo útil</v>
      </c>
      <c r="R217" s="29">
        <f>Base!X189</f>
        <v>0.07997145230156845</v>
      </c>
      <c r="S217" s="8">
        <f>Base!K189</f>
        <v>0.0</v>
      </c>
      <c r="T217" s="7" t="str">
        <f>Base!M189</f>
        <v>Saldo libre menor a S/ 10,000</v>
      </c>
    </row>
    <row r="218" spans="1:20">
      <c r="A218" s="28">
        <f>SUBTOTAL(103,$B$6:B218)</f>
        <v>186</v>
      </c>
      <c r="B218" s="28">
        <v>277</v>
      </c>
      <c r="C218" s="7" t="s">
        <v>787</v>
      </c>
      <c r="D218" s="8">
        <f>Base!N190</f>
        <v>50000.0</v>
      </c>
      <c r="E218" s="8">
        <f>Base!O190</f>
        <v>50000.0</v>
      </c>
      <c r="F218" s="8">
        <f>D218-E218</f>
        <v>0.0</v>
      </c>
      <c r="G218" s="8">
        <f>Base!Q190</f>
        <v>48541.71</v>
      </c>
      <c r="H218" s="8">
        <f>D218-G218</f>
        <v>1458.2900000000009</v>
      </c>
      <c r="I218" s="29">
        <f>IF(D218=0,0,G218/D218)</f>
        <v>0.9708342</v>
      </c>
      <c r="J218" s="7" t="str">
        <f>Base!AH190</f>
        <v>Expediente técnico</v>
      </c>
      <c r="K218" s="28" t="str">
        <f>Base!I190</f>
        <v>Proyecto de inversión</v>
      </c>
      <c r="L218" s="8">
        <f>Base!AA190</f>
        <v>50000.0</v>
      </c>
      <c r="M218" s="8">
        <f>Base!AB190</f>
        <v>1525657.0</v>
      </c>
      <c r="N218" s="8">
        <f>Base!AC190</f>
        <v>0</v>
      </c>
      <c r="O218" s="8">
        <f>Base!AD190</f>
        <v>1145070.0</v>
      </c>
      <c r="P218" s="7">
        <f>IF(Base!AI190="","",Base!AI190)</f>
        <v/>
      </c>
      <c r="Q218" s="28" t="str">
        <f>Base!J190</f>
        <v>No mover</v>
      </c>
      <c r="R218" s="29">
        <f>Base!X190</f>
        <v>0.0906071685400893</v>
      </c>
      <c r="S218" s="8">
        <f>Base!K190</f>
        <v>0.0</v>
      </c>
      <c r="T218" s="7" t="str">
        <f>Base!M190</f>
        <v>Devengado 2026 ≥ 90% del PIM</v>
      </c>
    </row>
    <row r="219" spans="1:20">
      <c r="A219" s="28">
        <f>SUBTOTAL(103,$B$6:B219)</f>
        <v>187</v>
      </c>
      <c r="B219" s="28">
        <v>278</v>
      </c>
      <c r="C219" s="7" t="s">
        <v>790</v>
      </c>
      <c r="D219" s="8">
        <f>Base!N191</f>
        <v>304060.0</v>
      </c>
      <c r="E219" s="8">
        <f>Base!O191</f>
        <v>291997.5</v>
      </c>
      <c r="F219" s="8">
        <f>D219-E219</f>
        <v>12062.5</v>
      </c>
      <c r="G219" s="8">
        <f>Base!Q191</f>
        <v>267446.91</v>
      </c>
      <c r="H219" s="8">
        <f>D219-G219</f>
        <v>36613.090000000026</v>
      </c>
      <c r="I219" s="29">
        <f>IF(D219=0,0,G219/D219)</f>
        <v>0.8795859698743668</v>
      </c>
      <c r="J219" s="7" t="str">
        <f>Base!AH191</f>
        <v>Expediente técnico</v>
      </c>
      <c r="K219" s="28" t="str">
        <f>Base!I191</f>
        <v>Proyecto de inversión</v>
      </c>
      <c r="L219" s="8">
        <f>Base!AA191</f>
        <v>50000.0</v>
      </c>
      <c r="M219" s="8">
        <f>Base!AB191</f>
        <v>0</v>
      </c>
      <c r="N219" s="8">
        <f>Base!AC191</f>
        <v>0</v>
      </c>
      <c r="O219" s="8">
        <f>Base!AD191</f>
        <v>1809535.0</v>
      </c>
      <c r="P219" s="7">
        <f>IF(Base!AI191="","",Base!AI191)</f>
        <v/>
      </c>
      <c r="Q219" s="28" t="str">
        <f>Base!J191</f>
        <v>Sin saldo útil</v>
      </c>
      <c r="R219" s="29">
        <f>Base!X191</f>
        <v>0.10098437630233703</v>
      </c>
      <c r="S219" s="8">
        <f>Base!K191</f>
        <v>0.0</v>
      </c>
      <c r="T219" s="7" t="str">
        <f>Base!M191</f>
        <v>Saldo libre menor a S/ 10,000</v>
      </c>
    </row>
    <row r="220" spans="1:20">
      <c r="A220" s="28">
        <f>SUBTOTAL(103,$B$6:B220)</f>
        <v>188</v>
      </c>
      <c r="B220" s="28">
        <v>279</v>
      </c>
      <c r="C220" s="7" t="s">
        <v>793</v>
      </c>
      <c r="D220" s="8">
        <f>Base!N192</f>
        <v>0.0</v>
      </c>
      <c r="E220" s="8">
        <f>Base!O192</f>
        <v>0.0</v>
      </c>
      <c r="F220" s="8">
        <f>D220-E220</f>
        <v>0.0</v>
      </c>
      <c r="G220" s="8">
        <f>Base!Q192</f>
        <v>0.0</v>
      </c>
      <c r="H220" s="8">
        <f>D220-G220</f>
        <v>0.0</v>
      </c>
      <c r="I220" s="29">
        <f>IF(D220=0,0,G220/D220)</f>
        <v>0</v>
      </c>
      <c r="J220" s="7" t="str">
        <f>Base!AH192</f>
        <v>Contrata</v>
      </c>
      <c r="K220" s="28" t="str">
        <f>Base!I192</f>
        <v>Proyecto de inversión</v>
      </c>
      <c r="L220" s="8">
        <f>Base!AA192</f>
        <v>50000.0</v>
      </c>
      <c r="M220" s="8">
        <f>Base!AB192</f>
        <v>0</v>
      </c>
      <c r="N220" s="8">
        <f>Base!AC192</f>
        <v>0</v>
      </c>
      <c r="O220" s="8">
        <f>Base!AD192</f>
        <v>600000.0</v>
      </c>
      <c r="P220" s="7">
        <f>IF(Base!AI192="","",Base!AI192)</f>
        <v/>
      </c>
      <c r="Q220" s="28" t="str">
        <f>Base!J192</f>
        <v>Sin PIM</v>
      </c>
      <c r="R220" s="29">
        <f>Base!X192</f>
        <v>0.0</v>
      </c>
      <c r="S220" s="8">
        <f>Base!K192</f>
        <v>0.0</v>
      </c>
      <c r="T220" s="7" t="str">
        <f>Base!M192</f>
        <v>PIM igual a 0</v>
      </c>
    </row>
    <row r="221" spans="1:20">
      <c r="A221" s="28">
        <f>SUBTOTAL(103,$B$6:B221)</f>
        <v>189</v>
      </c>
      <c r="B221" s="28">
        <v>280</v>
      </c>
      <c r="C221" s="7" t="s">
        <v>796</v>
      </c>
      <c r="D221" s="8">
        <f>Base!N193</f>
        <v>0.0</v>
      </c>
      <c r="E221" s="8">
        <f>Base!O193</f>
        <v>0.0</v>
      </c>
      <c r="F221" s="8">
        <f>D221-E221</f>
        <v>0.0</v>
      </c>
      <c r="G221" s="8">
        <f>Base!Q193</f>
        <v>0.0</v>
      </c>
      <c r="H221" s="8">
        <f>D221-G221</f>
        <v>0.0</v>
      </c>
      <c r="I221" s="29">
        <f>IF(D221=0,0,G221/D221)</f>
        <v>0</v>
      </c>
      <c r="J221" s="7" t="str">
        <f>Base!AH193</f>
        <v>Contrata</v>
      </c>
      <c r="K221" s="28" t="str">
        <f>Base!I193</f>
        <v>Proyecto de inversión</v>
      </c>
      <c r="L221" s="8">
        <f>Base!AA193</f>
        <v>50000.0</v>
      </c>
      <c r="M221" s="8">
        <f>Base!AB193</f>
        <v>0</v>
      </c>
      <c r="N221" s="8">
        <f>Base!AC193</f>
        <v>0</v>
      </c>
      <c r="O221" s="8">
        <f>Base!AD193</f>
        <v>120000.0</v>
      </c>
      <c r="P221" s="7">
        <f>IF(Base!AI193="","",Base!AI193)</f>
        <v/>
      </c>
      <c r="Q221" s="28" t="str">
        <f>Base!J193</f>
        <v>Sin PIM</v>
      </c>
      <c r="R221" s="29">
        <f>Base!X193</f>
        <v>0.0</v>
      </c>
      <c r="S221" s="8">
        <f>Base!K193</f>
        <v>0.0</v>
      </c>
      <c r="T221" s="7" t="str">
        <f>Base!M193</f>
        <v>PIM igual a 0</v>
      </c>
    </row>
    <row r="222" spans="1:20">
      <c r="A222" s="28">
        <f>SUBTOTAL(103,$B$6:B222)</f>
        <v>190</v>
      </c>
      <c r="B222" s="28">
        <v>283</v>
      </c>
      <c r="C222" s="7" t="s">
        <v>799</v>
      </c>
      <c r="D222" s="8">
        <f>Base!N194</f>
        <v>340317.0</v>
      </c>
      <c r="E222" s="8">
        <f>Base!O194</f>
        <v>335271.5</v>
      </c>
      <c r="F222" s="8">
        <f>D222-E222</f>
        <v>5045.5</v>
      </c>
      <c r="G222" s="8">
        <f>Base!Q194</f>
        <v>228699.2</v>
      </c>
      <c r="H222" s="8">
        <f>D222-G222</f>
        <v>111617.79999999999</v>
      </c>
      <c r="I222" s="29">
        <f>IF(D222=0,0,G222/D222)</f>
        <v>0.672018147785741</v>
      </c>
      <c r="J222" s="7" t="str">
        <f>Base!AH194</f>
        <v>Expediente técnico</v>
      </c>
      <c r="K222" s="28" t="str">
        <f>Base!I194</f>
        <v>Proyecto de inversión</v>
      </c>
      <c r="L222" s="8">
        <f>Base!AA194</f>
        <v>50000.0</v>
      </c>
      <c r="M222" s="8">
        <f>Base!AB194</f>
        <v>0</v>
      </c>
      <c r="N222" s="8">
        <f>Base!AC194</f>
        <v>0</v>
      </c>
      <c r="O222" s="8">
        <f>Base!AD194</f>
        <v>1523839.0</v>
      </c>
      <c r="P222" s="7">
        <f>IF(Base!AI194="","",Base!AI194)</f>
        <v/>
      </c>
      <c r="Q222" s="28" t="str">
        <f>Base!J194</f>
        <v>Sin saldo útil</v>
      </c>
      <c r="R222" s="29">
        <f>Base!X194</f>
        <v>0.05889708988632233</v>
      </c>
      <c r="S222" s="8">
        <f>Base!K194</f>
        <v>0.0</v>
      </c>
      <c r="T222" s="7" t="str">
        <f>Base!M194</f>
        <v>Saldo libre menor a S/ 10,000</v>
      </c>
    </row>
    <row r="223" spans="1:20">
      <c r="A223" s="25" t="s">
        <v>102</v>
      </c>
      <c r="B223" s="25"/>
      <c r="C223" s="25"/>
      <c r="D223" s="26">
        <f>SUM(D224:D267)</f>
        <v>18648303.0</v>
      </c>
      <c r="E223" s="26">
        <f>SUM(E224:E267)</f>
        <v>14876628.92</v>
      </c>
      <c r="F223" s="26">
        <f>D223-E223</f>
        <v>3771674.08</v>
      </c>
      <c r="G223" s="26">
        <f>SUM(G224:G267)</f>
        <v>6088424.73</v>
      </c>
      <c r="H223" s="26">
        <f>D223-G223</f>
        <v>12559878.27</v>
      </c>
      <c r="I223" s="27">
        <f>IF(D223=0,0,G223/D223)</f>
        <v>0.32648679775312534</v>
      </c>
      <c r="J223" s="25"/>
      <c r="K223" s="25"/>
      <c r="L223" s="25"/>
      <c r="M223" s="25"/>
      <c r="N223" s="25"/>
      <c r="O223" s="25"/>
      <c r="P223" s="25"/>
      <c r="Q223" s="25"/>
      <c r="R223" s="25"/>
      <c r="S223" s="26">
        <f>SUM(S224:S267)</f>
        <v>270568.0</v>
      </c>
      <c r="T223" s="25"/>
    </row>
    <row r="224" spans="1:20">
      <c r="A224" s="28">
        <f>SUBTOTAL(103,$B$6:B224)</f>
        <v>191</v>
      </c>
      <c r="B224" s="28">
        <v>21</v>
      </c>
      <c r="C224" s="7" t="s">
        <v>802</v>
      </c>
      <c r="D224" s="8">
        <f>Base!N195</f>
        <v>0.0</v>
      </c>
      <c r="E224" s="8">
        <f>Base!O195</f>
        <v>0.0</v>
      </c>
      <c r="F224" s="8">
        <f>D224-E224</f>
        <v>0.0</v>
      </c>
      <c r="G224" s="8">
        <f>Base!Q195</f>
        <v>0.0</v>
      </c>
      <c r="H224" s="8">
        <f>D224-G224</f>
        <v>0.0</v>
      </c>
      <c r="I224" s="29">
        <f>IF(D224=0,0,G224/D224)</f>
        <v>0</v>
      </c>
      <c r="J224" s="7" t="str">
        <f>Base!AH195</f>
        <v>Contrata</v>
      </c>
      <c r="K224" s="28" t="str">
        <f>Base!I195</f>
        <v>Proyecto de inversión</v>
      </c>
      <c r="L224" s="8">
        <f>Base!AA195</f>
        <v>1792000.0</v>
      </c>
      <c r="M224" s="8">
        <f>Base!AB195</f>
        <v>0</v>
      </c>
      <c r="N224" s="8">
        <f>Base!AC195</f>
        <v>0</v>
      </c>
      <c r="O224" s="8">
        <f>Base!AD195</f>
        <v>0</v>
      </c>
      <c r="P224" s="7">
        <f>IF(Base!AI195="","",Base!AI195)</f>
        <v/>
      </c>
      <c r="Q224" s="28" t="str">
        <f>Base!J195</f>
        <v>Sin PIM</v>
      </c>
      <c r="R224" s="29">
        <f>Base!X195</f>
        <v>0.06088529642109729</v>
      </c>
      <c r="S224" s="8">
        <f>Base!K195</f>
        <v>0.0</v>
      </c>
      <c r="T224" s="7" t="str">
        <f>Base!M195</f>
        <v>PIM igual a 0</v>
      </c>
    </row>
    <row r="225" spans="1:20">
      <c r="A225" s="28">
        <f>SUBTOTAL(103,$B$6:B225)</f>
        <v>192</v>
      </c>
      <c r="B225" s="28">
        <v>31</v>
      </c>
      <c r="C225" s="7" t="s">
        <v>806</v>
      </c>
      <c r="D225" s="8">
        <f>Base!N196</f>
        <v>100000.0</v>
      </c>
      <c r="E225" s="8">
        <f>Base!O196</f>
        <v>85000.0</v>
      </c>
      <c r="F225" s="8">
        <f>D225-E225</f>
        <v>15000.0</v>
      </c>
      <c r="G225" s="8">
        <f>Base!Q196</f>
        <v>58662.71000000001</v>
      </c>
      <c r="H225" s="8">
        <f>D225-G225</f>
        <v>41337.28999999999</v>
      </c>
      <c r="I225" s="29">
        <f>IF(D225=0,0,G225/D225)</f>
        <v>0.5866271000000001</v>
      </c>
      <c r="J225" s="7" t="str">
        <f>Base!AH196</f>
        <v>Expediente técnico</v>
      </c>
      <c r="K225" s="28" t="str">
        <f>Base!I196</f>
        <v>Proyecto de inversión</v>
      </c>
      <c r="L225" s="8">
        <f>Base!AA196</f>
        <v>100000.0</v>
      </c>
      <c r="M225" s="8">
        <f>Base!AB196</f>
        <v>1000000.0</v>
      </c>
      <c r="N225" s="8">
        <f>Base!AC196</f>
        <v>0</v>
      </c>
      <c r="O225" s="8">
        <f>Base!AD196</f>
        <v>0</v>
      </c>
      <c r="P225" s="7">
        <f>IF(Base!AI196="","",Base!AI196)</f>
        <v/>
      </c>
      <c r="Q225" s="28" t="str">
        <f>Base!J196</f>
        <v>Sin saldo útil</v>
      </c>
      <c r="R225" s="29">
        <f>Base!X196</f>
        <v>0.04144560488944818</v>
      </c>
      <c r="S225" s="8">
        <f>Base!K196</f>
        <v>0.0</v>
      </c>
      <c r="T225" s="7" t="str">
        <f>Base!M196</f>
        <v>Saldo libre menor a S/ 10,000</v>
      </c>
    </row>
    <row r="226" spans="1:20">
      <c r="A226" s="28">
        <f>SUBTOTAL(103,$B$6:B226)</f>
        <v>193</v>
      </c>
      <c r="B226" s="28">
        <v>38</v>
      </c>
      <c r="C226" s="7" t="s">
        <v>809</v>
      </c>
      <c r="D226" s="8">
        <f>Base!N197</f>
        <v>0.0</v>
      </c>
      <c r="E226" s="8">
        <f>Base!O197</f>
        <v>0.0</v>
      </c>
      <c r="F226" s="8">
        <f>D226-E226</f>
        <v>0.0</v>
      </c>
      <c r="G226" s="8">
        <f>Base!Q197</f>
        <v>0.0</v>
      </c>
      <c r="H226" s="8">
        <f>D226-G226</f>
        <v>0.0</v>
      </c>
      <c r="I226" s="29">
        <f>IF(D226=0,0,G226/D226)</f>
        <v>0</v>
      </c>
      <c r="J226" s="7" t="str">
        <f>Base!AH197</f>
        <v>Contrata</v>
      </c>
      <c r="K226" s="28" t="str">
        <f>Base!I197</f>
        <v>Proyecto de inversión</v>
      </c>
      <c r="L226" s="8">
        <f>Base!AA197</f>
        <v>500000.0</v>
      </c>
      <c r="M226" s="8">
        <f>Base!AB197</f>
        <v>0</v>
      </c>
      <c r="N226" s="8">
        <f>Base!AC197</f>
        <v>0</v>
      </c>
      <c r="O226" s="8">
        <f>Base!AD197</f>
        <v>0</v>
      </c>
      <c r="P226" s="7">
        <f>IF(Base!AI197="","",Base!AI197)</f>
        <v/>
      </c>
      <c r="Q226" s="28" t="str">
        <f>Base!J197</f>
        <v>Sin PIM</v>
      </c>
      <c r="R226" s="29">
        <f>Base!X197</f>
        <v>0.033424343235612476</v>
      </c>
      <c r="S226" s="8">
        <f>Base!K197</f>
        <v>0.0</v>
      </c>
      <c r="T226" s="7" t="str">
        <f>Base!M197</f>
        <v>PIM igual a 0</v>
      </c>
    </row>
    <row r="227" spans="1:20">
      <c r="A227" s="28">
        <f>SUBTOTAL(103,$B$6:B227)</f>
        <v>194</v>
      </c>
      <c r="B227" s="28">
        <v>40</v>
      </c>
      <c r="C227" s="7" t="s">
        <v>813</v>
      </c>
      <c r="D227" s="8">
        <f>Base!N198</f>
        <v>58259.0</v>
      </c>
      <c r="E227" s="8">
        <f>Base!O198</f>
        <v>58259.0</v>
      </c>
      <c r="F227" s="8">
        <f>D227-E227</f>
        <v>0.0</v>
      </c>
      <c r="G227" s="8">
        <f>Base!Q198</f>
        <v>50730.47</v>
      </c>
      <c r="H227" s="8">
        <f>D227-G227</f>
        <v>7528.529999999999</v>
      </c>
      <c r="I227" s="29">
        <f>IF(D227=0,0,G227/D227)</f>
        <v>0.8707748159082717</v>
      </c>
      <c r="J227" s="7" t="str">
        <f>Base!AH198</f>
        <v>Expediente técnico</v>
      </c>
      <c r="K227" s="28" t="str">
        <f>Base!I198</f>
        <v>Proyecto de inversión</v>
      </c>
      <c r="L227" s="8">
        <f>Base!AA198</f>
        <v>3860273.0</v>
      </c>
      <c r="M227" s="8">
        <f>Base!AB198</f>
        <v>7764202.0</v>
      </c>
      <c r="N227" s="8">
        <f>Base!AC198</f>
        <v>0</v>
      </c>
      <c r="O227" s="8">
        <f>Base!AD198</f>
        <v>500000.0</v>
      </c>
      <c r="P227" s="7">
        <f>IF(Base!AI198="","",Base!AI198)</f>
        <v/>
      </c>
      <c r="Q227" s="28" t="str">
        <f>Base!J198</f>
        <v>Sin saldo útil</v>
      </c>
      <c r="R227" s="29">
        <f>Base!X198</f>
        <v>0.02458465813620681</v>
      </c>
      <c r="S227" s="8">
        <f>Base!K198</f>
        <v>0.0</v>
      </c>
      <c r="T227" s="7" t="str">
        <f>Base!M198</f>
        <v>Saldo libre menor a S/ 10,000</v>
      </c>
    </row>
    <row r="228" spans="1:20">
      <c r="A228" s="28">
        <f>SUBTOTAL(103,$B$6:B228)</f>
        <v>195</v>
      </c>
      <c r="B228" s="28">
        <v>42</v>
      </c>
      <c r="C228" s="7" t="s">
        <v>816</v>
      </c>
      <c r="D228" s="8">
        <f>Base!N199</f>
        <v>100000.0</v>
      </c>
      <c r="E228" s="8">
        <f>Base!O199</f>
        <v>100000.0</v>
      </c>
      <c r="F228" s="8">
        <f>D228-E228</f>
        <v>0.0</v>
      </c>
      <c r="G228" s="8">
        <f>Base!Q199</f>
        <v>45460.229999999996</v>
      </c>
      <c r="H228" s="8">
        <f>D228-G228</f>
        <v>54539.770000000004</v>
      </c>
      <c r="I228" s="29">
        <f>IF(D228=0,0,G228/D228)</f>
        <v>0.45460229999999996</v>
      </c>
      <c r="J228" s="7" t="str">
        <f>Base!AH199</f>
        <v>Expediente técnico</v>
      </c>
      <c r="K228" s="28" t="str">
        <f>Base!I199</f>
        <v>Proyecto de inversión</v>
      </c>
      <c r="L228" s="8">
        <f>Base!AA199</f>
        <v>1800000.0</v>
      </c>
      <c r="M228" s="8">
        <f>Base!AB199</f>
        <v>1234564.0</v>
      </c>
      <c r="N228" s="8">
        <f>Base!AC199</f>
        <v>0</v>
      </c>
      <c r="O228" s="8">
        <f>Base!AD199</f>
        <v>680854.0</v>
      </c>
      <c r="P228" s="7">
        <f>IF(Base!AI199="","",Base!AI199)</f>
        <v/>
      </c>
      <c r="Q228" s="28" t="str">
        <f>Base!J199</f>
        <v>Sin saldo útil</v>
      </c>
      <c r="R228" s="29">
        <f>Base!X199</f>
        <v>0.033861533237039096</v>
      </c>
      <c r="S228" s="8">
        <f>Base!K199</f>
        <v>0.0</v>
      </c>
      <c r="T228" s="7" t="str">
        <f>Base!M199</f>
        <v>Saldo libre menor a S/ 10,000</v>
      </c>
    </row>
    <row r="229" spans="1:20">
      <c r="A229" s="28">
        <f>SUBTOTAL(103,$B$6:B229)</f>
        <v>196</v>
      </c>
      <c r="B229" s="28">
        <v>43</v>
      </c>
      <c r="C229" s="7" t="s">
        <v>819</v>
      </c>
      <c r="D229" s="8">
        <f>Base!N200</f>
        <v>100000.0</v>
      </c>
      <c r="E229" s="8">
        <f>Base!O200</f>
        <v>98580.0</v>
      </c>
      <c r="F229" s="8">
        <f>D229-E229</f>
        <v>1420.0</v>
      </c>
      <c r="G229" s="8">
        <f>Base!Q200</f>
        <v>83195.4</v>
      </c>
      <c r="H229" s="8">
        <f>D229-G229</f>
        <v>16804.600000000006</v>
      </c>
      <c r="I229" s="29">
        <f>IF(D229=0,0,G229/D229)</f>
        <v>0.831954</v>
      </c>
      <c r="J229" s="7" t="str">
        <f>Base!AH200</f>
        <v>Expediente técnico / Contrata</v>
      </c>
      <c r="K229" s="28" t="str">
        <f>Base!I200</f>
        <v>Proyecto de inversión</v>
      </c>
      <c r="L229" s="8">
        <f>Base!AA200</f>
        <v>100000.0</v>
      </c>
      <c r="M229" s="8">
        <f>Base!AB200</f>
        <v>2565482.0</v>
      </c>
      <c r="N229" s="8">
        <f>Base!AC200</f>
        <v>0</v>
      </c>
      <c r="O229" s="8">
        <f>Base!AD200</f>
        <v>534518.0</v>
      </c>
      <c r="P229" s="7">
        <f>IF(Base!AI200="","",Base!AI200)</f>
        <v/>
      </c>
      <c r="Q229" s="28" t="str">
        <f>Base!J200</f>
        <v>Sin saldo útil</v>
      </c>
      <c r="R229" s="29">
        <f>Base!X200</f>
        <v>0.03946099290780142</v>
      </c>
      <c r="S229" s="8">
        <f>Base!K200</f>
        <v>0.0</v>
      </c>
      <c r="T229" s="7" t="str">
        <f>Base!M200</f>
        <v>Saldo libre menor a S/ 10,000</v>
      </c>
    </row>
    <row r="230" spans="1:20">
      <c r="A230" s="28">
        <f>SUBTOTAL(103,$B$6:B230)</f>
        <v>197</v>
      </c>
      <c r="B230" s="28">
        <v>47</v>
      </c>
      <c r="C230" s="7" t="s">
        <v>822</v>
      </c>
      <c r="D230" s="8">
        <f>Base!N201</f>
        <v>500172.0</v>
      </c>
      <c r="E230" s="8">
        <f>Base!O201</f>
        <v>0.0</v>
      </c>
      <c r="F230" s="8">
        <f>D230-E230</f>
        <v>500172.0</v>
      </c>
      <c r="G230" s="8">
        <f>Base!Q201</f>
        <v>0.0</v>
      </c>
      <c r="H230" s="8">
        <f>D230-G230</f>
        <v>500172.0</v>
      </c>
      <c r="I230" s="29">
        <f>IF(D230=0,0,G230/D230)</f>
        <v>0.0</v>
      </c>
      <c r="J230" s="7" t="str">
        <f>Base!AH201</f>
        <v>Contrata</v>
      </c>
      <c r="K230" s="28" t="str">
        <f>Base!I201</f>
        <v>Proyecto de inversión</v>
      </c>
      <c r="L230" s="8">
        <f>Base!AA201</f>
        <v>700000.0</v>
      </c>
      <c r="M230" s="8">
        <f>Base!AB201</f>
        <v>1243456.0</v>
      </c>
      <c r="N230" s="8">
        <f>Base!AC201</f>
        <v>0</v>
      </c>
      <c r="O230" s="8">
        <f>Base!AD201</f>
        <v>2984900.0</v>
      </c>
      <c r="P230" s="7">
        <f>IF(Base!AI201="","",Base!AI201)</f>
        <v/>
      </c>
      <c r="Q230" s="28" t="str">
        <f>Base!J201</f>
        <v>Sin saldo útil</v>
      </c>
      <c r="R230" s="29">
        <f>Base!X201</f>
        <v>0.0445427466523119</v>
      </c>
      <c r="S230" s="8">
        <f>Base!K201</f>
        <v>0.0</v>
      </c>
      <c r="T230" s="7" t="str">
        <f>Base!M201</f>
        <v>Saldo libre menor a S/ 10,000</v>
      </c>
    </row>
    <row r="231" spans="1:20">
      <c r="A231" s="28">
        <f>SUBTOTAL(103,$B$6:B231)</f>
        <v>198</v>
      </c>
      <c r="B231" s="28">
        <v>48</v>
      </c>
      <c r="C231" s="7" t="s">
        <v>825</v>
      </c>
      <c r="D231" s="8">
        <f>Base!N202</f>
        <v>310000.0</v>
      </c>
      <c r="E231" s="8">
        <f>Base!O202</f>
        <v>310000.0</v>
      </c>
      <c r="F231" s="8">
        <f>D231-E231</f>
        <v>0.0</v>
      </c>
      <c r="G231" s="8">
        <f>Base!Q202</f>
        <v>240998.16000000003</v>
      </c>
      <c r="H231" s="8">
        <f>D231-G231</f>
        <v>69001.83999999997</v>
      </c>
      <c r="I231" s="29">
        <f>IF(D231=0,0,G231/D231)</f>
        <v>0.7774134193548388</v>
      </c>
      <c r="J231" s="7" t="str">
        <f>Base!AH202</f>
        <v>Expediente técnico</v>
      </c>
      <c r="K231" s="28" t="str">
        <f>Base!I202</f>
        <v>Proyecto de inversión</v>
      </c>
      <c r="L231" s="8">
        <f>Base!AA202</f>
        <v>50000.0</v>
      </c>
      <c r="M231" s="8">
        <f>Base!AB202</f>
        <v>0</v>
      </c>
      <c r="N231" s="8">
        <f>Base!AC202</f>
        <v>0</v>
      </c>
      <c r="O231" s="8">
        <f>Base!AD202</f>
        <v>1000000.0</v>
      </c>
      <c r="P231" s="7">
        <f>IF(Base!AI202="","",Base!AI202)</f>
        <v/>
      </c>
      <c r="Q231" s="28" t="str">
        <f>Base!J202</f>
        <v>Sin saldo útil</v>
      </c>
      <c r="R231" s="29">
        <f>Base!X202</f>
        <v>0.08452962578185899</v>
      </c>
      <c r="S231" s="8">
        <f>Base!K202</f>
        <v>0.0</v>
      </c>
      <c r="T231" s="7" t="str">
        <f>Base!M202</f>
        <v>Saldo libre menor a S/ 10,000</v>
      </c>
    </row>
    <row r="232" spans="1:20">
      <c r="A232" s="28">
        <f>SUBTOTAL(103,$B$6:B232)</f>
        <v>199</v>
      </c>
      <c r="B232" s="28">
        <v>49</v>
      </c>
      <c r="C232" s="7" t="s">
        <v>828</v>
      </c>
      <c r="D232" s="8">
        <f>Base!N203</f>
        <v>100000.0</v>
      </c>
      <c r="E232" s="8">
        <f>Base!O203</f>
        <v>98287.0</v>
      </c>
      <c r="F232" s="8">
        <f>D232-E232</f>
        <v>1713.0</v>
      </c>
      <c r="G232" s="8">
        <f>Base!Q203</f>
        <v>19750.31</v>
      </c>
      <c r="H232" s="8">
        <f>D232-G232</f>
        <v>80249.69</v>
      </c>
      <c r="I232" s="29">
        <f>IF(D232=0,0,G232/D232)</f>
        <v>0.19750310000000001</v>
      </c>
      <c r="J232" s="7" t="str">
        <f>Base!AH203</f>
        <v>Expediente técnico</v>
      </c>
      <c r="K232" s="28" t="str">
        <f>Base!I203</f>
        <v>Proyecto de inversión</v>
      </c>
      <c r="L232" s="8">
        <f>Base!AA203</f>
        <v>100000.0</v>
      </c>
      <c r="M232" s="8">
        <f>Base!AB203</f>
        <v>254875.0</v>
      </c>
      <c r="N232" s="8">
        <f>Base!AC203</f>
        <v>0</v>
      </c>
      <c r="O232" s="8">
        <f>Base!AD203</f>
        <v>500000.0</v>
      </c>
      <c r="P232" s="7">
        <f>IF(Base!AI203="","",Base!AI203)</f>
        <v/>
      </c>
      <c r="Q232" s="28" t="str">
        <f>Base!J203</f>
        <v>Sin saldo útil</v>
      </c>
      <c r="R232" s="29">
        <f>Base!X203</f>
        <v>0.048436171605351755</v>
      </c>
      <c r="S232" s="8">
        <f>Base!K203</f>
        <v>0.0</v>
      </c>
      <c r="T232" s="7" t="str">
        <f>Base!M203</f>
        <v>Saldo libre menor a S/ 10,000</v>
      </c>
    </row>
    <row r="233" spans="1:20">
      <c r="A233" s="28">
        <f>SUBTOTAL(103,$B$6:B233)</f>
        <v>200</v>
      </c>
      <c r="B233" s="28">
        <v>50</v>
      </c>
      <c r="C233" s="7" t="s">
        <v>831</v>
      </c>
      <c r="D233" s="8">
        <f>Base!N204</f>
        <v>400214.0</v>
      </c>
      <c r="E233" s="8">
        <f>Base!O204</f>
        <v>400214.0</v>
      </c>
      <c r="F233" s="8">
        <f>D233-E233</f>
        <v>0.0</v>
      </c>
      <c r="G233" s="8">
        <f>Base!Q204</f>
        <v>330372.18</v>
      </c>
      <c r="H233" s="8">
        <f>D233-G233</f>
        <v>69841.82</v>
      </c>
      <c r="I233" s="29">
        <f>IF(D233=0,0,G233/D233)</f>
        <v>0.8254888134847856</v>
      </c>
      <c r="J233" s="7" t="str">
        <f>Base!AH204</f>
        <v>Expediente técnico</v>
      </c>
      <c r="K233" s="28" t="str">
        <f>Base!I204</f>
        <v>Proyecto de inversión</v>
      </c>
      <c r="L233" s="8">
        <f>Base!AA204</f>
        <v>50000.0</v>
      </c>
      <c r="M233" s="8">
        <f>Base!AB204</f>
        <v>0</v>
      </c>
      <c r="N233" s="8">
        <f>Base!AC204</f>
        <v>0</v>
      </c>
      <c r="O233" s="8">
        <f>Base!AD204</f>
        <v>1299636.0</v>
      </c>
      <c r="P233" s="7">
        <f>IF(Base!AI204="","",Base!AI204)</f>
        <v/>
      </c>
      <c r="Q233" s="28" t="str">
        <f>Base!J204</f>
        <v>Sin saldo útil</v>
      </c>
      <c r="R233" s="29">
        <f>Base!X204</f>
        <v>0.08745012554014396</v>
      </c>
      <c r="S233" s="8">
        <f>Base!K204</f>
        <v>0.0</v>
      </c>
      <c r="T233" s="7" t="str">
        <f>Base!M204</f>
        <v>Saldo libre menor a S/ 10,000</v>
      </c>
    </row>
    <row r="234" spans="1:20">
      <c r="A234" s="28">
        <f>SUBTOTAL(103,$B$6:B234)</f>
        <v>201</v>
      </c>
      <c r="B234" s="28">
        <v>51</v>
      </c>
      <c r="C234" s="7" t="s">
        <v>834</v>
      </c>
      <c r="D234" s="8">
        <f>Base!N205</f>
        <v>0.0</v>
      </c>
      <c r="E234" s="8">
        <f>Base!O205</f>
        <v>0.0</v>
      </c>
      <c r="F234" s="8">
        <f>D234-E234</f>
        <v>0.0</v>
      </c>
      <c r="G234" s="8">
        <f>Base!Q205</f>
        <v>0.0</v>
      </c>
      <c r="H234" s="8">
        <f>D234-G234</f>
        <v>0.0</v>
      </c>
      <c r="I234" s="29">
        <f>IF(D234=0,0,G234/D234)</f>
        <v>0</v>
      </c>
      <c r="J234" s="7" t="str">
        <f>Base!AH205</f>
        <v>Contrata</v>
      </c>
      <c r="K234" s="28" t="str">
        <f>Base!I205</f>
        <v>Proyecto de inversión</v>
      </c>
      <c r="L234" s="8">
        <f>Base!AA205</f>
        <v>50000.0</v>
      </c>
      <c r="M234" s="8">
        <f>Base!AB205</f>
        <v>0</v>
      </c>
      <c r="N234" s="8">
        <f>Base!AC205</f>
        <v>0</v>
      </c>
      <c r="O234" s="8">
        <f>Base!AD205</f>
        <v>300000.0</v>
      </c>
      <c r="P234" s="7">
        <f>IF(Base!AI205="","",Base!AI205)</f>
        <v/>
      </c>
      <c r="Q234" s="28" t="str">
        <f>Base!J205</f>
        <v>Sin PIM</v>
      </c>
      <c r="R234" s="29">
        <f>Base!X205</f>
        <v>0.0</v>
      </c>
      <c r="S234" s="8">
        <f>Base!K205</f>
        <v>0.0</v>
      </c>
      <c r="T234" s="7" t="str">
        <f>Base!M205</f>
        <v>PIM igual a 0</v>
      </c>
    </row>
    <row r="235" spans="1:20">
      <c r="A235" s="28">
        <f>SUBTOTAL(103,$B$6:B235)</f>
        <v>202</v>
      </c>
      <c r="B235" s="28">
        <v>52</v>
      </c>
      <c r="C235" s="7" t="s">
        <v>837</v>
      </c>
      <c r="D235" s="8">
        <f>Base!N206</f>
        <v>126982.0</v>
      </c>
      <c r="E235" s="8">
        <f>Base!O206</f>
        <v>126982.0</v>
      </c>
      <c r="F235" s="8">
        <f>D235-E235</f>
        <v>0.0</v>
      </c>
      <c r="G235" s="8">
        <f>Base!Q206</f>
        <v>120317.20999999999</v>
      </c>
      <c r="H235" s="8">
        <f>D235-G235</f>
        <v>6664.790000000008</v>
      </c>
      <c r="I235" s="29">
        <f>IF(D235=0,0,G235/D235)</f>
        <v>0.9475138996078184</v>
      </c>
      <c r="J235" s="7" t="str">
        <f>Base!AH206</f>
        <v>Expediente técnico</v>
      </c>
      <c r="K235" s="28" t="str">
        <f>Base!I206</f>
        <v>Proyecto de inversión</v>
      </c>
      <c r="L235" s="8">
        <f>Base!AA206</f>
        <v>50000.0</v>
      </c>
      <c r="M235" s="8">
        <f>Base!AB206</f>
        <v>251478.0</v>
      </c>
      <c r="N235" s="8">
        <f>Base!AC206</f>
        <v>0</v>
      </c>
      <c r="O235" s="8">
        <f>Base!AD206</f>
        <v>300000.0</v>
      </c>
      <c r="P235" s="7">
        <f>IF(Base!AI206="","",Base!AI206)</f>
        <v/>
      </c>
      <c r="Q235" s="28" t="str">
        <f>Base!J206</f>
        <v>No mover</v>
      </c>
      <c r="R235" s="29">
        <f>Base!X206</f>
        <v>0.06784583103560023</v>
      </c>
      <c r="S235" s="8">
        <f>Base!K206</f>
        <v>0.0</v>
      </c>
      <c r="T235" s="7" t="str">
        <f>Base!M206</f>
        <v>Devengado 2026 ≥ 90% del PIM</v>
      </c>
    </row>
    <row r="236" spans="1:20">
      <c r="A236" s="28">
        <f>SUBTOTAL(103,$B$6:B236)</f>
        <v>203</v>
      </c>
      <c r="B236" s="28">
        <v>53</v>
      </c>
      <c r="C236" s="7" t="s">
        <v>840</v>
      </c>
      <c r="D236" s="8">
        <f>Base!N207</f>
        <v>0.0</v>
      </c>
      <c r="E236" s="8">
        <f>Base!O207</f>
        <v>0.0</v>
      </c>
      <c r="F236" s="8">
        <f>D236-E236</f>
        <v>0.0</v>
      </c>
      <c r="G236" s="8">
        <f>Base!Q207</f>
        <v>0.0</v>
      </c>
      <c r="H236" s="8">
        <f>D236-G236</f>
        <v>0.0</v>
      </c>
      <c r="I236" s="29">
        <f>IF(D236=0,0,G236/D236)</f>
        <v>0</v>
      </c>
      <c r="J236" s="7" t="str">
        <f>Base!AH207</f>
        <v>Contrata</v>
      </c>
      <c r="K236" s="28" t="str">
        <f>Base!I207</f>
        <v>Proyecto de inversión</v>
      </c>
      <c r="L236" s="8">
        <f>Base!AA207</f>
        <v>50000.0</v>
      </c>
      <c r="M236" s="8">
        <f>Base!AB207</f>
        <v>0</v>
      </c>
      <c r="N236" s="8">
        <f>Base!AC207</f>
        <v>0</v>
      </c>
      <c r="O236" s="8">
        <f>Base!AD207</f>
        <v>150000.0</v>
      </c>
      <c r="P236" s="7">
        <f>IF(Base!AI207="","",Base!AI207)</f>
        <v/>
      </c>
      <c r="Q236" s="28" t="str">
        <f>Base!J207</f>
        <v>Sin PIM</v>
      </c>
      <c r="R236" s="29">
        <f>Base!X207</f>
        <v>0.0</v>
      </c>
      <c r="S236" s="8">
        <f>Base!K207</f>
        <v>0.0</v>
      </c>
      <c r="T236" s="7" t="str">
        <f>Base!M207</f>
        <v>PIM igual a 0</v>
      </c>
    </row>
    <row r="237" spans="1:20">
      <c r="A237" s="28">
        <f>SUBTOTAL(103,$B$6:B237)</f>
        <v>204</v>
      </c>
      <c r="B237" s="28">
        <v>54</v>
      </c>
      <c r="C237" s="7" t="s">
        <v>843</v>
      </c>
      <c r="D237" s="8">
        <f>Base!N208</f>
        <v>112244.0</v>
      </c>
      <c r="E237" s="8">
        <f>Base!O208</f>
        <v>112243.56</v>
      </c>
      <c r="F237" s="8">
        <f>D237-E237</f>
        <v>0.4400000000023283</v>
      </c>
      <c r="G237" s="8">
        <f>Base!Q208</f>
        <v>78030.97</v>
      </c>
      <c r="H237" s="8">
        <f>D237-G237</f>
        <v>34213.03</v>
      </c>
      <c r="I237" s="29">
        <f>IF(D237=0,0,G237/D237)</f>
        <v>0.6951905669790813</v>
      </c>
      <c r="J237" s="7" t="str">
        <f>Base!AH208</f>
        <v>Expediente técnico</v>
      </c>
      <c r="K237" s="28" t="str">
        <f>Base!I208</f>
        <v>Proyecto de inversión</v>
      </c>
      <c r="L237" s="8">
        <f>Base!AA208</f>
        <v>50000.0</v>
      </c>
      <c r="M237" s="8">
        <f>Base!AB208</f>
        <v>3985654.0</v>
      </c>
      <c r="N237" s="8">
        <f>Base!AC208</f>
        <v>0</v>
      </c>
      <c r="O237" s="8">
        <f>Base!AD208</f>
        <v>500000.0</v>
      </c>
      <c r="P237" s="7">
        <f>IF(Base!AI208="","",Base!AI208)</f>
        <v/>
      </c>
      <c r="Q237" s="28" t="str">
        <f>Base!J208</f>
        <v>Sin saldo útil</v>
      </c>
      <c r="R237" s="29">
        <f>Base!X208</f>
        <v>0.046741221424644194</v>
      </c>
      <c r="S237" s="8">
        <f>Base!K208</f>
        <v>0.0</v>
      </c>
      <c r="T237" s="7" t="str">
        <f>Base!M208</f>
        <v>Saldo libre menor a S/ 10,000</v>
      </c>
    </row>
    <row r="238" spans="1:20">
      <c r="A238" s="28">
        <f>SUBTOTAL(103,$B$6:B238)</f>
        <v>205</v>
      </c>
      <c r="B238" s="28">
        <v>55</v>
      </c>
      <c r="C238" s="7" t="s">
        <v>846</v>
      </c>
      <c r="D238" s="8">
        <f>Base!N209</f>
        <v>164979.0</v>
      </c>
      <c r="E238" s="8">
        <f>Base!O209</f>
        <v>164976.5</v>
      </c>
      <c r="F238" s="8">
        <f>D238-E238</f>
        <v>2.5</v>
      </c>
      <c r="G238" s="8">
        <f>Base!Q209</f>
        <v>152477.04</v>
      </c>
      <c r="H238" s="8">
        <f>D238-G238</f>
        <v>12501.959999999992</v>
      </c>
      <c r="I238" s="29">
        <f>IF(D238=0,0,G238/D238)</f>
        <v>0.9242209008419254</v>
      </c>
      <c r="J238" s="7" t="str">
        <f>Base!AH209</f>
        <v>Expediente técnico</v>
      </c>
      <c r="K238" s="28" t="str">
        <f>Base!I209</f>
        <v>Proyecto de inversión</v>
      </c>
      <c r="L238" s="8">
        <f>Base!AA209</f>
        <v>50000.0</v>
      </c>
      <c r="M238" s="8">
        <f>Base!AB209</f>
        <v>2375675.0</v>
      </c>
      <c r="N238" s="8">
        <f>Base!AC209</f>
        <v>0</v>
      </c>
      <c r="O238" s="8">
        <f>Base!AD209</f>
        <v>0</v>
      </c>
      <c r="P238" s="7">
        <f>IF(Base!AI209="","",Base!AI209)</f>
        <v/>
      </c>
      <c r="Q238" s="28" t="str">
        <f>Base!J209</f>
        <v>No mover</v>
      </c>
      <c r="R238" s="29">
        <f>Base!X209</f>
        <v>0.12601006931959471</v>
      </c>
      <c r="S238" s="8">
        <f>Base!K209</f>
        <v>0.0</v>
      </c>
      <c r="T238" s="7" t="str">
        <f>Base!M209</f>
        <v>Devengado 2026 ≥ 90% del PIM</v>
      </c>
    </row>
    <row r="239" spans="1:20">
      <c r="A239" s="28">
        <f>SUBTOTAL(103,$B$6:B239)</f>
        <v>206</v>
      </c>
      <c r="B239" s="28">
        <v>56</v>
      </c>
      <c r="C239" s="7" t="s">
        <v>849</v>
      </c>
      <c r="D239" s="8">
        <f>Base!N210</f>
        <v>99897.0</v>
      </c>
      <c r="E239" s="8">
        <f>Base!O210</f>
        <v>99879.63</v>
      </c>
      <c r="F239" s="8">
        <f>D239-E239</f>
        <v>17.369999999995343</v>
      </c>
      <c r="G239" s="8">
        <f>Base!Q210</f>
        <v>91645.05</v>
      </c>
      <c r="H239" s="8">
        <f>D239-G239</f>
        <v>8251.949999999997</v>
      </c>
      <c r="I239" s="29">
        <f>IF(D239=0,0,G239/D239)</f>
        <v>0.9173954172797982</v>
      </c>
      <c r="J239" s="7" t="str">
        <f>Base!AH210</f>
        <v>Expediente técnico</v>
      </c>
      <c r="K239" s="28" t="str">
        <f>Base!I210</f>
        <v>Proyecto de inversión</v>
      </c>
      <c r="L239" s="8">
        <f>Base!AA210</f>
        <v>50000.0</v>
      </c>
      <c r="M239" s="8">
        <f>Base!AB210</f>
        <v>1278678.0</v>
      </c>
      <c r="N239" s="8">
        <f>Base!AC210</f>
        <v>0</v>
      </c>
      <c r="O239" s="8">
        <f>Base!AD210</f>
        <v>1000000.0</v>
      </c>
      <c r="P239" s="7">
        <f>IF(Base!AI210="","",Base!AI210)</f>
        <v/>
      </c>
      <c r="Q239" s="28" t="str">
        <f>Base!J210</f>
        <v>No mover</v>
      </c>
      <c r="R239" s="29">
        <f>Base!X210</f>
        <v>0.09113678464937451</v>
      </c>
      <c r="S239" s="8">
        <f>Base!K210</f>
        <v>0.0</v>
      </c>
      <c r="T239" s="7" t="str">
        <f>Base!M210</f>
        <v>Devengado 2026 ≥ 90% del PIM</v>
      </c>
    </row>
    <row r="240" spans="1:20">
      <c r="A240" s="28">
        <f>SUBTOTAL(103,$B$6:B240)</f>
        <v>207</v>
      </c>
      <c r="B240" s="28">
        <v>57</v>
      </c>
      <c r="C240" s="7" t="s">
        <v>852</v>
      </c>
      <c r="D240" s="8">
        <f>Base!N211</f>
        <v>332000.0</v>
      </c>
      <c r="E240" s="8">
        <f>Base!O211</f>
        <v>332000.0</v>
      </c>
      <c r="F240" s="8">
        <f>D240-E240</f>
        <v>0.0</v>
      </c>
      <c r="G240" s="8">
        <f>Base!Q211</f>
        <v>165235.16999999998</v>
      </c>
      <c r="H240" s="8">
        <f>D240-G240</f>
        <v>166764.83000000002</v>
      </c>
      <c r="I240" s="29">
        <f>IF(D240=0,0,G240/D240)</f>
        <v>0.49769629518072284</v>
      </c>
      <c r="J240" s="7" t="str">
        <f>Base!AH211</f>
        <v>Expediente técnico</v>
      </c>
      <c r="K240" s="28" t="str">
        <f>Base!I211</f>
        <v>Proyecto de inversión</v>
      </c>
      <c r="L240" s="8">
        <f>Base!AA211</f>
        <v>50000.0</v>
      </c>
      <c r="M240" s="8">
        <f>Base!AB211</f>
        <v>0</v>
      </c>
      <c r="N240" s="8">
        <f>Base!AC211</f>
        <v>0</v>
      </c>
      <c r="O240" s="8">
        <f>Base!AD211</f>
        <v>50000.0</v>
      </c>
      <c r="P240" s="7">
        <f>IF(Base!AI211="","",Base!AI211)</f>
        <v/>
      </c>
      <c r="Q240" s="28" t="str">
        <f>Base!J211</f>
        <v>Sin saldo útil</v>
      </c>
      <c r="R240" s="29">
        <f>Base!X211</f>
        <v>0.028500330159172377</v>
      </c>
      <c r="S240" s="8">
        <f>Base!K211</f>
        <v>0.0</v>
      </c>
      <c r="T240" s="7" t="str">
        <f>Base!M211</f>
        <v>Saldo libre menor a S/ 10,000</v>
      </c>
    </row>
    <row r="241" spans="1:20">
      <c r="A241" s="28">
        <f>SUBTOTAL(103,$B$6:B241)</f>
        <v>208</v>
      </c>
      <c r="B241" s="28">
        <v>58</v>
      </c>
      <c r="C241" s="7" t="s">
        <v>855</v>
      </c>
      <c r="D241" s="8">
        <f>Base!N212</f>
        <v>0.0</v>
      </c>
      <c r="E241" s="8">
        <f>Base!O212</f>
        <v>0.0</v>
      </c>
      <c r="F241" s="8">
        <f>D241-E241</f>
        <v>0.0</v>
      </c>
      <c r="G241" s="8">
        <f>Base!Q212</f>
        <v>0.0</v>
      </c>
      <c r="H241" s="8">
        <f>D241-G241</f>
        <v>0.0</v>
      </c>
      <c r="I241" s="29">
        <f>IF(D241=0,0,G241/D241)</f>
        <v>0</v>
      </c>
      <c r="J241" s="7" t="str">
        <f>Base!AH212</f>
        <v>Contrata</v>
      </c>
      <c r="K241" s="28" t="str">
        <f>Base!I212</f>
        <v>Proyecto de inversión</v>
      </c>
      <c r="L241" s="8">
        <f>Base!AA212</f>
        <v>50000.0</v>
      </c>
      <c r="M241" s="8">
        <f>Base!AB212</f>
        <v>0</v>
      </c>
      <c r="N241" s="8">
        <f>Base!AC212</f>
        <v>0</v>
      </c>
      <c r="O241" s="8">
        <f>Base!AD212</f>
        <v>2500000.0</v>
      </c>
      <c r="P241" s="7">
        <f>IF(Base!AI212="","",Base!AI212)</f>
        <v/>
      </c>
      <c r="Q241" s="28" t="str">
        <f>Base!J212</f>
        <v>Sin PIM</v>
      </c>
      <c r="R241" s="29">
        <f>Base!X212</f>
        <v>0.0</v>
      </c>
      <c r="S241" s="8">
        <f>Base!K212</f>
        <v>0.0</v>
      </c>
      <c r="T241" s="7" t="str">
        <f>Base!M212</f>
        <v>PIM igual a 0</v>
      </c>
    </row>
    <row r="242" spans="1:20">
      <c r="A242" s="28">
        <f>SUBTOTAL(103,$B$6:B242)</f>
        <v>209</v>
      </c>
      <c r="B242" s="28">
        <v>81</v>
      </c>
      <c r="C242" s="7" t="s">
        <v>858</v>
      </c>
      <c r="D242" s="8">
        <f>Base!N213</f>
        <v>100000.0</v>
      </c>
      <c r="E242" s="8">
        <f>Base!O213</f>
        <v>50000.0</v>
      </c>
      <c r="F242" s="8">
        <f>D242-E242</f>
        <v>50000.0</v>
      </c>
      <c r="G242" s="8">
        <f>Base!Q213</f>
        <v>0.0</v>
      </c>
      <c r="H242" s="8">
        <f>D242-G242</f>
        <v>100000.0</v>
      </c>
      <c r="I242" s="29">
        <f>IF(D242=0,0,G242/D242)</f>
        <v>0.0</v>
      </c>
      <c r="J242" s="7" t="str">
        <f>Base!AH213</f>
        <v>Expediente técnico</v>
      </c>
      <c r="K242" s="28" t="str">
        <f>Base!I213</f>
        <v>Proyecto de inversión</v>
      </c>
      <c r="L242" s="8">
        <f>Base!AA213</f>
        <v>100000.0</v>
      </c>
      <c r="M242" s="8">
        <f>Base!AB213</f>
        <v>567456.0</v>
      </c>
      <c r="N242" s="8">
        <f>Base!AC213</f>
        <v>15577911.0</v>
      </c>
      <c r="O242" s="8">
        <f>Base!AD213</f>
        <v>23141649.0</v>
      </c>
      <c r="P242" s="7">
        <f>IF(Base!AI213="","",Base!AI213)</f>
        <v/>
      </c>
      <c r="Q242" s="28" t="str">
        <f>Base!J213</f>
        <v>Sin saldo útil</v>
      </c>
      <c r="R242" s="29">
        <f>Base!X213</f>
        <v>0.014460475089162927</v>
      </c>
      <c r="S242" s="8">
        <f>Base!K213</f>
        <v>0.0</v>
      </c>
      <c r="T242" s="7" t="str">
        <f>Base!M213</f>
        <v>Saldo libre menor a S/ 10,000</v>
      </c>
    </row>
    <row r="243" spans="1:20">
      <c r="A243" s="28">
        <f>SUBTOTAL(103,$B$6:B243)</f>
        <v>210</v>
      </c>
      <c r="B243" s="28">
        <v>82</v>
      </c>
      <c r="C243" s="7" t="s">
        <v>861</v>
      </c>
      <c r="D243" s="8">
        <f>Base!N214</f>
        <v>408761.0</v>
      </c>
      <c r="E243" s="8">
        <f>Base!O214</f>
        <v>356083.0</v>
      </c>
      <c r="F243" s="8">
        <f>D243-E243</f>
        <v>52678.0</v>
      </c>
      <c r="G243" s="8">
        <f>Base!Q214</f>
        <v>242446.25999999998</v>
      </c>
      <c r="H243" s="8">
        <f>D243-G243</f>
        <v>166314.74000000002</v>
      </c>
      <c r="I243" s="29">
        <f>IF(D243=0,0,G243/D243)</f>
        <v>0.5931247354811247</v>
      </c>
      <c r="J243" s="7" t="str">
        <f>Base!AH214</f>
        <v>Expediente técnico</v>
      </c>
      <c r="K243" s="28" t="str">
        <f>Base!I214</f>
        <v>Proyecto de inversión</v>
      </c>
      <c r="L243" s="8">
        <f>Base!AA214</f>
        <v>2981000.0</v>
      </c>
      <c r="M243" s="8">
        <f>Base!AB214</f>
        <v>2654845.0</v>
      </c>
      <c r="N243" s="8">
        <f>Base!AC214</f>
        <v>0</v>
      </c>
      <c r="O243" s="8">
        <f>Base!AD214</f>
        <v>1000000.0</v>
      </c>
      <c r="P243" s="7">
        <f>IF(Base!AI214="","",Base!AI214)</f>
        <v/>
      </c>
      <c r="Q243" s="28" t="str">
        <f>Base!J214</f>
        <v>Sin saldo útil</v>
      </c>
      <c r="R243" s="29">
        <f>Base!X214</f>
        <v>0.061767020667207594</v>
      </c>
      <c r="S243" s="8">
        <f>Base!K214</f>
        <v>0.0</v>
      </c>
      <c r="T243" s="7" t="str">
        <f>Base!M214</f>
        <v>Saldo libre menor a S/ 10,000</v>
      </c>
    </row>
    <row r="244" spans="1:20">
      <c r="A244" s="28">
        <f>SUBTOTAL(103,$B$6:B244)</f>
        <v>211</v>
      </c>
      <c r="B244" s="28">
        <v>155</v>
      </c>
      <c r="C244" s="7" t="s">
        <v>864</v>
      </c>
      <c r="D244" s="8">
        <f>Base!N215</f>
        <v>261704.0</v>
      </c>
      <c r="E244" s="8">
        <f>Base!O215</f>
        <v>261704.0</v>
      </c>
      <c r="F244" s="8">
        <f>D244-E244</f>
        <v>0.0</v>
      </c>
      <c r="G244" s="8">
        <f>Base!Q215</f>
        <v>134683.18999999997</v>
      </c>
      <c r="H244" s="8">
        <f>D244-G244</f>
        <v>127020.81000000003</v>
      </c>
      <c r="I244" s="29">
        <f>IF(D244=0,0,G244/D244)</f>
        <v>0.5146394017668816</v>
      </c>
      <c r="J244" s="7" t="str">
        <f>Base!AH215</f>
        <v>Expediente técnico</v>
      </c>
      <c r="K244" s="28" t="str">
        <f>Base!I215</f>
        <v>Proyecto de inversión</v>
      </c>
      <c r="L244" s="8">
        <f>Base!AA215</f>
        <v>3500504.0</v>
      </c>
      <c r="M244" s="8">
        <f>Base!AB215</f>
        <v>587541.0</v>
      </c>
      <c r="N244" s="8">
        <f>Base!AC215</f>
        <v>0</v>
      </c>
      <c r="O244" s="8">
        <f>Base!AD215</f>
        <v>1000000.0</v>
      </c>
      <c r="P244" s="7">
        <f>IF(Base!AI215="","",Base!AI215)</f>
        <v/>
      </c>
      <c r="Q244" s="28" t="str">
        <f>Base!J215</f>
        <v>Sin saldo útil</v>
      </c>
      <c r="R244" s="29">
        <f>Base!X215</f>
        <v>0.03335261764842654</v>
      </c>
      <c r="S244" s="8">
        <f>Base!K215</f>
        <v>0.0</v>
      </c>
      <c r="T244" s="7" t="str">
        <f>Base!M215</f>
        <v>Saldo libre menor a S/ 10,000</v>
      </c>
    </row>
    <row r="245" spans="1:20">
      <c r="A245" s="28">
        <f>SUBTOTAL(103,$B$6:B245)</f>
        <v>212</v>
      </c>
      <c r="B245" s="28">
        <v>157</v>
      </c>
      <c r="C245" s="7" t="s">
        <v>867</v>
      </c>
      <c r="D245" s="8">
        <f>Base!N216</f>
        <v>5089845.0</v>
      </c>
      <c r="E245" s="8">
        <f>Base!O216</f>
        <v>5089845.0</v>
      </c>
      <c r="F245" s="8">
        <f>D245-E245</f>
        <v>0.0</v>
      </c>
      <c r="G245" s="8">
        <f>Base!Q216</f>
        <v>1952934.61</v>
      </c>
      <c r="H245" s="8">
        <f>D245-G245</f>
        <v>3136910.3899999997</v>
      </c>
      <c r="I245" s="29">
        <f>IF(D245=0,0,G245/D245)</f>
        <v>0.38369235408936814</v>
      </c>
      <c r="J245" s="7" t="str">
        <f>Base!AH216</f>
        <v>Contrata</v>
      </c>
      <c r="K245" s="28" t="str">
        <f>Base!I216</f>
        <v>Proyecto de inversión</v>
      </c>
      <c r="L245" s="8">
        <f>Base!AA216</f>
        <v>6239845.0</v>
      </c>
      <c r="M245" s="8">
        <f>Base!AB216</f>
        <v>8796121.0</v>
      </c>
      <c r="N245" s="8">
        <f>Base!AC216</f>
        <v>0</v>
      </c>
      <c r="O245" s="8">
        <f>Base!AD216</f>
        <v>7055000.0</v>
      </c>
      <c r="P245" s="7">
        <f>IF(Base!AI216="","",Base!AI216)</f>
        <v/>
      </c>
      <c r="Q245" s="28" t="str">
        <f>Base!J216</f>
        <v>Sin saldo útil</v>
      </c>
      <c r="R245" s="29">
        <f>Base!X216</f>
        <v>0.11016693546180294</v>
      </c>
      <c r="S245" s="8">
        <f>Base!K216</f>
        <v>0.0</v>
      </c>
      <c r="T245" s="7" t="str">
        <f>Base!M216</f>
        <v>Saldo libre menor a S/ 10,000</v>
      </c>
    </row>
    <row r="246" spans="1:20">
      <c r="A246" s="28">
        <f>SUBTOTAL(103,$B$6:B246)</f>
        <v>213</v>
      </c>
      <c r="B246" s="28">
        <v>158</v>
      </c>
      <c r="C246" s="7" t="s">
        <v>870</v>
      </c>
      <c r="D246" s="8">
        <f>Base!N217</f>
        <v>4863.0</v>
      </c>
      <c r="E246" s="8">
        <f>Base!O217</f>
        <v>4863.0</v>
      </c>
      <c r="F246" s="8">
        <f>D246-E246</f>
        <v>0.0</v>
      </c>
      <c r="G246" s="8">
        <f>Base!Q217</f>
        <v>0.0</v>
      </c>
      <c r="H246" s="8">
        <f>D246-G246</f>
        <v>4863.0</v>
      </c>
      <c r="I246" s="29">
        <f>IF(D246=0,0,G246/D246)</f>
        <v>0.0</v>
      </c>
      <c r="J246" s="7" t="str">
        <f>Base!AH217</f>
        <v>Expediente técnico</v>
      </c>
      <c r="K246" s="28" t="str">
        <f>Base!I217</f>
        <v>Proyecto de inversión</v>
      </c>
      <c r="L246" s="8">
        <f>Base!AA217</f>
        <v>3832600.0</v>
      </c>
      <c r="M246" s="8">
        <f>Base!AB217</f>
        <v>5698456.0</v>
      </c>
      <c r="N246" s="8">
        <f>Base!AC217</f>
        <v>6500000.0</v>
      </c>
      <c r="O246" s="8">
        <f>Base!AD217</f>
        <v>7136543.0</v>
      </c>
      <c r="P246" s="7">
        <f>IF(Base!AI217="","",Base!AI217)</f>
        <v/>
      </c>
      <c r="Q246" s="28" t="str">
        <f>Base!J217</f>
        <v>Sin saldo útil</v>
      </c>
      <c r="R246" s="29">
        <f>Base!X217</f>
        <v>0.02723024237479967</v>
      </c>
      <c r="S246" s="8">
        <f>Base!K217</f>
        <v>0.0</v>
      </c>
      <c r="T246" s="7" t="str">
        <f>Base!M217</f>
        <v>Saldo libre menor a S/ 10,000</v>
      </c>
    </row>
    <row r="247" spans="1:20">
      <c r="A247" s="28">
        <f>SUBTOTAL(103,$B$6:B247)</f>
        <v>214</v>
      </c>
      <c r="B247" s="28">
        <v>159</v>
      </c>
      <c r="C247" s="7" t="s">
        <v>873</v>
      </c>
      <c r="D247" s="8">
        <f>Base!N218</f>
        <v>5931027.0</v>
      </c>
      <c r="E247" s="8">
        <f>Base!O218</f>
        <v>5660459.0</v>
      </c>
      <c r="F247" s="8">
        <f>D247-E247</f>
        <v>270568.0</v>
      </c>
      <c r="G247" s="8">
        <f>Base!Q218</f>
        <v>1327663.78</v>
      </c>
      <c r="H247" s="8">
        <f>D247-G247</f>
        <v>4603363.22</v>
      </c>
      <c r="I247" s="29">
        <f>IF(D247=0,0,G247/D247)</f>
        <v>0.22385057090449934</v>
      </c>
      <c r="J247" s="7" t="str">
        <f>Base!AH218</f>
        <v>Contrata</v>
      </c>
      <c r="K247" s="28" t="str">
        <f>Base!I218</f>
        <v>Proyecto de inversión</v>
      </c>
      <c r="L247" s="8">
        <f>Base!AA218</f>
        <v>2769903.0</v>
      </c>
      <c r="M247" s="8">
        <f>Base!AB218</f>
        <v>8258956.0</v>
      </c>
      <c r="N247" s="8">
        <f>Base!AC218</f>
        <v>6230701.0</v>
      </c>
      <c r="O247" s="8">
        <f>Base!AD218</f>
        <v>366030.0</v>
      </c>
      <c r="P247" s="7">
        <f>IF(Base!AI218="","",Base!AI218)</f>
        <v/>
      </c>
      <c r="Q247" s="28" t="str">
        <f>Base!J218</f>
        <v>Con condiciones</v>
      </c>
      <c r="R247" s="29">
        <f>Base!X218</f>
        <v>0.13022155859254014</v>
      </c>
      <c r="S247" s="8">
        <f>Base!K218</f>
        <v>270568.0</v>
      </c>
      <c r="T247" s="7" t="str">
        <f>Base!M218</f>
        <v>Está programado en el PMI 2026 · Tiene monto en el PMI 2027 (S/ 8,258,956)</v>
      </c>
    </row>
    <row r="248" spans="1:20">
      <c r="A248" s="28">
        <f>SUBTOTAL(103,$B$6:B248)</f>
        <v>215</v>
      </c>
      <c r="B248" s="28">
        <v>163</v>
      </c>
      <c r="C248" s="7" t="s">
        <v>877</v>
      </c>
      <c r="D248" s="8">
        <f>Base!N219</f>
        <v>178134.0</v>
      </c>
      <c r="E248" s="8">
        <f>Base!O219</f>
        <v>178134.0</v>
      </c>
      <c r="F248" s="8">
        <f>D248-E248</f>
        <v>0.0</v>
      </c>
      <c r="G248" s="8">
        <f>Base!Q219</f>
        <v>122423.54000000001</v>
      </c>
      <c r="H248" s="8">
        <f>D248-G248</f>
        <v>55710.45999999999</v>
      </c>
      <c r="I248" s="29">
        <f>IF(D248=0,0,G248/D248)</f>
        <v>0.6872553246432461</v>
      </c>
      <c r="J248" s="7" t="str">
        <f>Base!AH219</f>
        <v>Expediente técnico</v>
      </c>
      <c r="K248" s="28" t="str">
        <f>Base!I219</f>
        <v>Proyecto de inversión</v>
      </c>
      <c r="L248" s="8">
        <f>Base!AA219</f>
        <v>2805112.0</v>
      </c>
      <c r="M248" s="8">
        <f>Base!AB219</f>
        <v>4556857.0</v>
      </c>
      <c r="N248" s="8">
        <f>Base!AC219</f>
        <v>0</v>
      </c>
      <c r="O248" s="8">
        <f>Base!AD219</f>
        <v>0</v>
      </c>
      <c r="P248" s="7">
        <f>IF(Base!AI219="","",Base!AI219)</f>
        <v/>
      </c>
      <c r="Q248" s="28" t="str">
        <f>Base!J219</f>
        <v>Sin saldo útil</v>
      </c>
      <c r="R248" s="29">
        <f>Base!X219</f>
        <v>0.04667406360590558</v>
      </c>
      <c r="S248" s="8">
        <f>Base!K219</f>
        <v>0.0</v>
      </c>
      <c r="T248" s="7" t="str">
        <f>Base!M219</f>
        <v>Saldo libre menor a S/ 10,000</v>
      </c>
    </row>
    <row r="249" spans="1:20">
      <c r="A249" s="28">
        <f>SUBTOTAL(103,$B$6:B249)</f>
        <v>216</v>
      </c>
      <c r="B249" s="28">
        <v>164</v>
      </c>
      <c r="C249" s="7" t="s">
        <v>880</v>
      </c>
      <c r="D249" s="8">
        <f>Base!N220</f>
        <v>220481.0</v>
      </c>
      <c r="E249" s="8">
        <f>Base!O220</f>
        <v>194522.0</v>
      </c>
      <c r="F249" s="8">
        <f>D249-E249</f>
        <v>25959.0</v>
      </c>
      <c r="G249" s="8">
        <f>Base!Q220</f>
        <v>80473.12</v>
      </c>
      <c r="H249" s="8">
        <f>D249-G249</f>
        <v>140007.88</v>
      </c>
      <c r="I249" s="29">
        <f>IF(D249=0,0,G249/D249)</f>
        <v>0.3649889106090774</v>
      </c>
      <c r="J249" s="7" t="str">
        <f>Base!AH220</f>
        <v>Expediente técnico</v>
      </c>
      <c r="K249" s="28" t="str">
        <f>Base!I220</f>
        <v>Proyecto de inversión</v>
      </c>
      <c r="L249" s="8">
        <f>Base!AA220</f>
        <v>2000000.0</v>
      </c>
      <c r="M249" s="8">
        <f>Base!AB220</f>
        <v>5654259.0</v>
      </c>
      <c r="N249" s="8">
        <f>Base!AC220</f>
        <v>0</v>
      </c>
      <c r="O249" s="8">
        <f>Base!AD220</f>
        <v>500000.0</v>
      </c>
      <c r="P249" s="7">
        <f>IF(Base!AI220="","",Base!AI220)</f>
        <v/>
      </c>
      <c r="Q249" s="28" t="str">
        <f>Base!J220</f>
        <v>Sin saldo útil</v>
      </c>
      <c r="R249" s="29">
        <f>Base!X220</f>
        <v>0.032242156887746246</v>
      </c>
      <c r="S249" s="8">
        <f>Base!K220</f>
        <v>0.0</v>
      </c>
      <c r="T249" s="7" t="str">
        <f>Base!M220</f>
        <v>Saldo libre menor a S/ 10,000</v>
      </c>
    </row>
    <row r="250" spans="1:20">
      <c r="A250" s="28">
        <f>SUBTOTAL(103,$B$6:B250)</f>
        <v>217</v>
      </c>
      <c r="B250" s="28">
        <v>171</v>
      </c>
      <c r="C250" s="7" t="s">
        <v>883</v>
      </c>
      <c r="D250" s="8">
        <f>Base!N221</f>
        <v>0.0</v>
      </c>
      <c r="E250" s="8">
        <f>Base!O221</f>
        <v>0.0</v>
      </c>
      <c r="F250" s="8">
        <f>D250-E250</f>
        <v>0.0</v>
      </c>
      <c r="G250" s="8">
        <f>Base!Q221</f>
        <v>0.0</v>
      </c>
      <c r="H250" s="8">
        <f>D250-G250</f>
        <v>0.0</v>
      </c>
      <c r="I250" s="29">
        <f>IF(D250=0,0,G250/D250)</f>
        <v>0</v>
      </c>
      <c r="J250" s="7" t="str">
        <f>Base!AH221</f>
        <v>Contrata</v>
      </c>
      <c r="K250" s="28" t="str">
        <f>Base!I221</f>
        <v>Proyecto de inversión</v>
      </c>
      <c r="L250" s="8">
        <f>Base!AA221</f>
        <v>100000.0</v>
      </c>
      <c r="M250" s="8">
        <f>Base!AB221</f>
        <v>0</v>
      </c>
      <c r="N250" s="8">
        <f>Base!AC221</f>
        <v>0</v>
      </c>
      <c r="O250" s="8">
        <f>Base!AD221</f>
        <v>0</v>
      </c>
      <c r="P250" s="7">
        <f>IF(Base!AI221="","",Base!AI221)</f>
        <v/>
      </c>
      <c r="Q250" s="28" t="str">
        <f>Base!J221</f>
        <v>Sin PIM</v>
      </c>
      <c r="R250" s="29">
        <f>Base!X221</f>
        <v>0.18839986990521665</v>
      </c>
      <c r="S250" s="8">
        <f>Base!K221</f>
        <v>0.0</v>
      </c>
      <c r="T250" s="7" t="str">
        <f>Base!M221</f>
        <v>PIM igual a 0</v>
      </c>
    </row>
    <row r="251" spans="1:20">
      <c r="A251" s="28">
        <f>SUBTOTAL(103,$B$6:B251)</f>
        <v>218</v>
      </c>
      <c r="B251" s="28">
        <v>174</v>
      </c>
      <c r="C251" s="7" t="s">
        <v>887</v>
      </c>
      <c r="D251" s="8">
        <f>Base!N222</f>
        <v>0.0</v>
      </c>
      <c r="E251" s="8">
        <f>Base!O222</f>
        <v>0.0</v>
      </c>
      <c r="F251" s="8">
        <f>D251-E251</f>
        <v>0.0</v>
      </c>
      <c r="G251" s="8">
        <f>Base!Q222</f>
        <v>0.0</v>
      </c>
      <c r="H251" s="8">
        <f>D251-G251</f>
        <v>0.0</v>
      </c>
      <c r="I251" s="29">
        <f>IF(D251=0,0,G251/D251)</f>
        <v>0</v>
      </c>
      <c r="J251" s="7" t="str">
        <f>Base!AH222</f>
        <v>Contrata</v>
      </c>
      <c r="K251" s="28" t="str">
        <f>Base!I222</f>
        <v>Proyecto de inversión</v>
      </c>
      <c r="L251" s="8">
        <f>Base!AA222</f>
        <v>60000.0</v>
      </c>
      <c r="M251" s="8">
        <f>Base!AB222</f>
        <v>0</v>
      </c>
      <c r="N251" s="8">
        <f>Base!AC222</f>
        <v>0</v>
      </c>
      <c r="O251" s="8">
        <f>Base!AD222</f>
        <v>0</v>
      </c>
      <c r="P251" s="7">
        <f>IF(Base!AI222="","",Base!AI222)</f>
        <v/>
      </c>
      <c r="Q251" s="28" t="str">
        <f>Base!J222</f>
        <v>Sin PIM</v>
      </c>
      <c r="R251" s="29">
        <f>Base!X222</f>
        <v>0.14977013610831566</v>
      </c>
      <c r="S251" s="8">
        <f>Base!K222</f>
        <v>0.0</v>
      </c>
      <c r="T251" s="7" t="str">
        <f>Base!M222</f>
        <v>PIM igual a 0</v>
      </c>
    </row>
    <row r="252" spans="1:20">
      <c r="A252" s="28">
        <f>SUBTOTAL(103,$B$6:B252)</f>
        <v>219</v>
      </c>
      <c r="B252" s="28">
        <v>175</v>
      </c>
      <c r="C252" s="7" t="s">
        <v>890</v>
      </c>
      <c r="D252" s="8">
        <f>Base!N223</f>
        <v>29298.0</v>
      </c>
      <c r="E252" s="8">
        <f>Base!O223</f>
        <v>29298.0</v>
      </c>
      <c r="F252" s="8">
        <f>D252-E252</f>
        <v>0.0</v>
      </c>
      <c r="G252" s="8">
        <f>Base!Q223</f>
        <v>0.0</v>
      </c>
      <c r="H252" s="8">
        <f>D252-G252</f>
        <v>29298.0</v>
      </c>
      <c r="I252" s="29">
        <f>IF(D252=0,0,G252/D252)</f>
        <v>0.0</v>
      </c>
      <c r="J252" s="7" t="str">
        <f>Base!AH223</f>
        <v>Expediente técnico</v>
      </c>
      <c r="K252" s="28" t="str">
        <f>Base!I223</f>
        <v>Proyecto de inversión</v>
      </c>
      <c r="L252" s="8">
        <f>Base!AA223</f>
        <v>100000.0</v>
      </c>
      <c r="M252" s="8">
        <f>Base!AB223</f>
        <v>0</v>
      </c>
      <c r="N252" s="8">
        <f>Base!AC223</f>
        <v>0</v>
      </c>
      <c r="O252" s="8">
        <f>Base!AD223</f>
        <v>2483946.0</v>
      </c>
      <c r="P252" s="7">
        <f>IF(Base!AI223="","",Base!AI223)</f>
        <v/>
      </c>
      <c r="Q252" s="28" t="str">
        <f>Base!J223</f>
        <v>Sin saldo útil</v>
      </c>
      <c r="R252" s="29">
        <f>Base!X223</f>
        <v>0.03337465060773824</v>
      </c>
      <c r="S252" s="8">
        <f>Base!K223</f>
        <v>0.0</v>
      </c>
      <c r="T252" s="7" t="str">
        <f>Base!M223</f>
        <v>Saldo libre menor a S/ 10,000</v>
      </c>
    </row>
    <row r="253" spans="1:20">
      <c r="A253" s="28">
        <f>SUBTOTAL(103,$B$6:B253)</f>
        <v>220</v>
      </c>
      <c r="B253" s="28">
        <v>176</v>
      </c>
      <c r="C253" s="7" t="s">
        <v>893</v>
      </c>
      <c r="D253" s="8">
        <f>Base!N224</f>
        <v>80000.0</v>
      </c>
      <c r="E253" s="8">
        <f>Base!O224</f>
        <v>55480.0</v>
      </c>
      <c r="F253" s="8">
        <f>D253-E253</f>
        <v>24520.0</v>
      </c>
      <c r="G253" s="8">
        <f>Base!Q224</f>
        <v>33156.76</v>
      </c>
      <c r="H253" s="8">
        <f>D253-G253</f>
        <v>46843.24</v>
      </c>
      <c r="I253" s="29">
        <f>IF(D253=0,0,G253/D253)</f>
        <v>0.41445950000000004</v>
      </c>
      <c r="J253" s="7" t="str">
        <f>Base!AH224</f>
        <v>Expediente técnico / Contrata</v>
      </c>
      <c r="K253" s="28" t="str">
        <f>Base!I224</f>
        <v>Proyecto de inversión</v>
      </c>
      <c r="L253" s="8">
        <f>Base!AA224</f>
        <v>80000.0</v>
      </c>
      <c r="M253" s="8">
        <f>Base!AB224</f>
        <v>0</v>
      </c>
      <c r="N253" s="8">
        <f>Base!AC224</f>
        <v>0</v>
      </c>
      <c r="O253" s="8">
        <f>Base!AD224</f>
        <v>500000.0</v>
      </c>
      <c r="P253" s="7">
        <f>IF(Base!AI224="","",Base!AI224)</f>
        <v/>
      </c>
      <c r="Q253" s="28" t="str">
        <f>Base!J224</f>
        <v>Sin saldo útil</v>
      </c>
      <c r="R253" s="29">
        <f>Base!X224</f>
        <v>0.07368627299092655</v>
      </c>
      <c r="S253" s="8">
        <f>Base!K224</f>
        <v>0.0</v>
      </c>
      <c r="T253" s="7" t="str">
        <f>Base!M224</f>
        <v>Saldo libre menor a S/ 10,000</v>
      </c>
    </row>
    <row r="254" spans="1:20">
      <c r="A254" s="28">
        <f>SUBTOTAL(103,$B$6:B254)</f>
        <v>221</v>
      </c>
      <c r="B254" s="28">
        <v>177</v>
      </c>
      <c r="C254" s="7" t="s">
        <v>896</v>
      </c>
      <c r="D254" s="8">
        <f>Base!N225</f>
        <v>0.0</v>
      </c>
      <c r="E254" s="8">
        <f>Base!O225</f>
        <v>0.0</v>
      </c>
      <c r="F254" s="8">
        <f>D254-E254</f>
        <v>0.0</v>
      </c>
      <c r="G254" s="8">
        <f>Base!Q225</f>
        <v>0.0</v>
      </c>
      <c r="H254" s="8">
        <f>D254-G254</f>
        <v>0.0</v>
      </c>
      <c r="I254" s="29">
        <f>IF(D254=0,0,G254/D254)</f>
        <v>0</v>
      </c>
      <c r="J254" s="7" t="str">
        <f>Base!AH225</f>
        <v>Contrata</v>
      </c>
      <c r="K254" s="28" t="str">
        <f>Base!I225</f>
        <v>Proyecto de inversión</v>
      </c>
      <c r="L254" s="8">
        <f>Base!AA225</f>
        <v>50000.0</v>
      </c>
      <c r="M254" s="8">
        <f>Base!AB225</f>
        <v>0</v>
      </c>
      <c r="N254" s="8">
        <f>Base!AC225</f>
        <v>0</v>
      </c>
      <c r="O254" s="8">
        <f>Base!AD225</f>
        <v>150000.0</v>
      </c>
      <c r="P254" s="7">
        <f>IF(Base!AI225="","",Base!AI225)</f>
        <v/>
      </c>
      <c r="Q254" s="28" t="str">
        <f>Base!J225</f>
        <v>Sin PIM</v>
      </c>
      <c r="R254" s="29">
        <f>Base!X225</f>
        <v>0.0</v>
      </c>
      <c r="S254" s="8">
        <f>Base!K225</f>
        <v>0.0</v>
      </c>
      <c r="T254" s="7" t="str">
        <f>Base!M225</f>
        <v>PIM igual a 0</v>
      </c>
    </row>
    <row r="255" spans="1:20">
      <c r="A255" s="28">
        <f>SUBTOTAL(103,$B$6:B255)</f>
        <v>222</v>
      </c>
      <c r="B255" s="28">
        <v>178</v>
      </c>
      <c r="C255" s="7" t="s">
        <v>899</v>
      </c>
      <c r="D255" s="8">
        <f>Base!N226</f>
        <v>209495.0</v>
      </c>
      <c r="E255" s="8">
        <f>Base!O226</f>
        <v>209495.0</v>
      </c>
      <c r="F255" s="8">
        <f>D255-E255</f>
        <v>0.0</v>
      </c>
      <c r="G255" s="8">
        <f>Base!Q226</f>
        <v>98043.32</v>
      </c>
      <c r="H255" s="8">
        <f>D255-G255</f>
        <v>111451.68</v>
      </c>
      <c r="I255" s="29">
        <f>IF(D255=0,0,G255/D255)</f>
        <v>0.46799837704957165</v>
      </c>
      <c r="J255" s="7" t="str">
        <f>Base!AH226</f>
        <v>Expediente técnico</v>
      </c>
      <c r="K255" s="28" t="str">
        <f>Base!I226</f>
        <v>Proyecto de inversión</v>
      </c>
      <c r="L255" s="8">
        <f>Base!AA226</f>
        <v>50000.0</v>
      </c>
      <c r="M255" s="8">
        <f>Base!AB226</f>
        <v>0</v>
      </c>
      <c r="N255" s="8">
        <f>Base!AC226</f>
        <v>0</v>
      </c>
      <c r="O255" s="8">
        <f>Base!AD226</f>
        <v>500000.0</v>
      </c>
      <c r="P255" s="7">
        <f>IF(Base!AI226="","",Base!AI226)</f>
        <v/>
      </c>
      <c r="Q255" s="28" t="str">
        <f>Base!J226</f>
        <v>Sin saldo útil</v>
      </c>
      <c r="R255" s="29">
        <f>Base!X226</f>
        <v>0.07741539377770602</v>
      </c>
      <c r="S255" s="8">
        <f>Base!K226</f>
        <v>0.0</v>
      </c>
      <c r="T255" s="7" t="str">
        <f>Base!M226</f>
        <v>Saldo libre menor a S/ 10,000</v>
      </c>
    </row>
    <row r="256" spans="1:20">
      <c r="A256" s="28">
        <f>SUBTOTAL(103,$B$6:B256)</f>
        <v>223</v>
      </c>
      <c r="B256" s="28">
        <v>179</v>
      </c>
      <c r="C256" s="7" t="s">
        <v>902</v>
      </c>
      <c r="D256" s="8">
        <f>Base!N227</f>
        <v>400000.0</v>
      </c>
      <c r="E256" s="8">
        <f>Base!O227</f>
        <v>0.0</v>
      </c>
      <c r="F256" s="8">
        <f>D256-E256</f>
        <v>400000.0</v>
      </c>
      <c r="G256" s="8">
        <f>Base!Q227</f>
        <v>0.0</v>
      </c>
      <c r="H256" s="8">
        <f>D256-G256</f>
        <v>400000.0</v>
      </c>
      <c r="I256" s="29">
        <f>IF(D256=0,0,G256/D256)</f>
        <v>0.0</v>
      </c>
      <c r="J256" s="7" t="str">
        <f>Base!AH227</f>
        <v>Contrata</v>
      </c>
      <c r="K256" s="28" t="str">
        <f>Base!I227</f>
        <v>Proyecto de inversión</v>
      </c>
      <c r="L256" s="8">
        <f>Base!AA227</f>
        <v>100000.0</v>
      </c>
      <c r="M256" s="8">
        <f>Base!AB227</f>
        <v>1246345.0</v>
      </c>
      <c r="N256" s="8">
        <f>Base!AC227</f>
        <v>0</v>
      </c>
      <c r="O256" s="8">
        <f>Base!AD227</f>
        <v>464365.0</v>
      </c>
      <c r="P256" s="7">
        <f>IF(Base!AI227="","",Base!AI227)</f>
        <v/>
      </c>
      <c r="Q256" s="28" t="str">
        <f>Base!J227</f>
        <v>Sin saldo útil</v>
      </c>
      <c r="R256" s="29">
        <f>Base!X227</f>
        <v>0.055079720473105005</v>
      </c>
      <c r="S256" s="8">
        <f>Base!K227</f>
        <v>0.0</v>
      </c>
      <c r="T256" s="7" t="str">
        <f>Base!M227</f>
        <v>Saldo libre menor a S/ 10,000</v>
      </c>
    </row>
    <row r="257" spans="1:20">
      <c r="A257" s="28">
        <f>SUBTOTAL(103,$B$6:B257)</f>
        <v>224</v>
      </c>
      <c r="B257" s="28">
        <v>182</v>
      </c>
      <c r="C257" s="7" t="s">
        <v>905</v>
      </c>
      <c r="D257" s="8">
        <f>Base!N228</f>
        <v>179528.0</v>
      </c>
      <c r="E257" s="8">
        <f>Base!O228</f>
        <v>178381.0</v>
      </c>
      <c r="F257" s="8">
        <f>D257-E257</f>
        <v>1147.0</v>
      </c>
      <c r="G257" s="8">
        <f>Base!Q228</f>
        <v>136766.03</v>
      </c>
      <c r="H257" s="8">
        <f>D257-G257</f>
        <v>42761.97</v>
      </c>
      <c r="I257" s="29">
        <f>IF(D257=0,0,G257/D257)</f>
        <v>0.7618089100307472</v>
      </c>
      <c r="J257" s="7" t="str">
        <f>Base!AH228</f>
        <v>Expediente técnico</v>
      </c>
      <c r="K257" s="28" t="str">
        <f>Base!I228</f>
        <v>Proyecto de inversión</v>
      </c>
      <c r="L257" s="8">
        <f>Base!AA228</f>
        <v>50000.0</v>
      </c>
      <c r="M257" s="8">
        <f>Base!AB228</f>
        <v>0</v>
      </c>
      <c r="N257" s="8">
        <f>Base!AC228</f>
        <v>201078.0</v>
      </c>
      <c r="O257" s="8">
        <f>Base!AD228</f>
        <v>201078.0</v>
      </c>
      <c r="P257" s="7">
        <f>IF(Base!AI228="","",Base!AI228)</f>
        <v/>
      </c>
      <c r="Q257" s="28" t="str">
        <f>Base!J228</f>
        <v>Sin saldo útil</v>
      </c>
      <c r="R257" s="29">
        <f>Base!X228</f>
        <v>0.138724793565693</v>
      </c>
      <c r="S257" s="8">
        <f>Base!K228</f>
        <v>0.0</v>
      </c>
      <c r="T257" s="7" t="str">
        <f>Base!M228</f>
        <v>Saldo libre menor a S/ 10,000</v>
      </c>
    </row>
    <row r="258" spans="1:20">
      <c r="A258" s="28">
        <f>SUBTOTAL(103,$B$6:B258)</f>
        <v>225</v>
      </c>
      <c r="B258" s="28">
        <v>183</v>
      </c>
      <c r="C258" s="7" t="s">
        <v>908</v>
      </c>
      <c r="D258" s="8">
        <f>Base!N229</f>
        <v>0.0</v>
      </c>
      <c r="E258" s="8">
        <f>Base!O229</f>
        <v>0.0</v>
      </c>
      <c r="F258" s="8">
        <f>D258-E258</f>
        <v>0.0</v>
      </c>
      <c r="G258" s="8">
        <f>Base!Q229</f>
        <v>0.0</v>
      </c>
      <c r="H258" s="8">
        <f>D258-G258</f>
        <v>0.0</v>
      </c>
      <c r="I258" s="29">
        <f>IF(D258=0,0,G258/D258)</f>
        <v>0</v>
      </c>
      <c r="J258" s="7" t="str">
        <f>Base!AH229</f>
        <v>Contrata</v>
      </c>
      <c r="K258" s="28" t="str">
        <f>Base!I229</f>
        <v>Proyecto de inversión</v>
      </c>
      <c r="L258" s="8">
        <f>Base!AA229</f>
        <v>100000.0</v>
      </c>
      <c r="M258" s="8">
        <f>Base!AB229</f>
        <v>1243456.0</v>
      </c>
      <c r="N258" s="8">
        <f>Base!AC229</f>
        <v>0</v>
      </c>
      <c r="O258" s="8">
        <f>Base!AD229</f>
        <v>575449.0</v>
      </c>
      <c r="P258" s="7">
        <f>IF(Base!AI229="","",Base!AI229)</f>
        <v/>
      </c>
      <c r="Q258" s="28" t="str">
        <f>Base!J229</f>
        <v>Sin PIM</v>
      </c>
      <c r="R258" s="29">
        <f>Base!X229</f>
        <v>0.06274099899787403</v>
      </c>
      <c r="S258" s="8">
        <f>Base!K229</f>
        <v>0.0</v>
      </c>
      <c r="T258" s="7" t="str">
        <f>Base!M229</f>
        <v>PIM igual a 0</v>
      </c>
    </row>
    <row r="259" spans="1:20">
      <c r="A259" s="28">
        <f>SUBTOTAL(103,$B$6:B259)</f>
        <v>226</v>
      </c>
      <c r="B259" s="28">
        <v>184</v>
      </c>
      <c r="C259" s="7" t="s">
        <v>911</v>
      </c>
      <c r="D259" s="8">
        <f>Base!N230</f>
        <v>33556.0</v>
      </c>
      <c r="E259" s="8">
        <f>Base!O230</f>
        <v>33489.5</v>
      </c>
      <c r="F259" s="8">
        <f>D259-E259</f>
        <v>66.5</v>
      </c>
      <c r="G259" s="8">
        <f>Base!Q230</f>
        <v>28428.440000000002</v>
      </c>
      <c r="H259" s="8">
        <f>D259-G259</f>
        <v>5127.559999999998</v>
      </c>
      <c r="I259" s="29">
        <f>IF(D259=0,0,G259/D259)</f>
        <v>0.847193944451067</v>
      </c>
      <c r="J259" s="7" t="str">
        <f>Base!AH230</f>
        <v>Expediente técnico</v>
      </c>
      <c r="K259" s="28" t="str">
        <f>Base!I230</f>
        <v>Proyecto de inversión</v>
      </c>
      <c r="L259" s="8">
        <f>Base!AA230</f>
        <v>100000.0</v>
      </c>
      <c r="M259" s="8">
        <f>Base!AB230</f>
        <v>0</v>
      </c>
      <c r="N259" s="8">
        <f>Base!AC230</f>
        <v>0</v>
      </c>
      <c r="O259" s="8">
        <f>Base!AD230</f>
        <v>849356.0</v>
      </c>
      <c r="P259" s="7">
        <f>IF(Base!AI230="","",Base!AI230)</f>
        <v/>
      </c>
      <c r="Q259" s="28" t="str">
        <f>Base!J230</f>
        <v>Sin saldo útil</v>
      </c>
      <c r="R259" s="29">
        <f>Base!X230</f>
        <v>0.11285401498427454</v>
      </c>
      <c r="S259" s="8">
        <f>Base!K230</f>
        <v>0.0</v>
      </c>
      <c r="T259" s="7" t="str">
        <f>Base!M230</f>
        <v>Saldo libre menor a S/ 10,000</v>
      </c>
    </row>
    <row r="260" spans="1:20">
      <c r="A260" s="28">
        <f>SUBTOTAL(103,$B$6:B260)</f>
        <v>227</v>
      </c>
      <c r="B260" s="28">
        <v>185</v>
      </c>
      <c r="C260" s="7" t="s">
        <v>914</v>
      </c>
      <c r="D260" s="8">
        <f>Base!N231</f>
        <v>0.0</v>
      </c>
      <c r="E260" s="8">
        <f>Base!O231</f>
        <v>0.0</v>
      </c>
      <c r="F260" s="8">
        <f>D260-E260</f>
        <v>0.0</v>
      </c>
      <c r="G260" s="8">
        <f>Base!Q231</f>
        <v>0.0</v>
      </c>
      <c r="H260" s="8">
        <f>D260-G260</f>
        <v>0.0</v>
      </c>
      <c r="I260" s="29">
        <f>IF(D260=0,0,G260/D260)</f>
        <v>0</v>
      </c>
      <c r="J260" s="7" t="str">
        <f>Base!AH231</f>
        <v>Contrata</v>
      </c>
      <c r="K260" s="28" t="str">
        <f>Base!I231</f>
        <v>Proyecto de inversión</v>
      </c>
      <c r="L260" s="8">
        <f>Base!AA231</f>
        <v>100000.0</v>
      </c>
      <c r="M260" s="8">
        <f>Base!AB231</f>
        <v>1254345.0</v>
      </c>
      <c r="N260" s="8">
        <f>Base!AC231</f>
        <v>0</v>
      </c>
      <c r="O260" s="8">
        <f>Base!AD231</f>
        <v>1672886.0</v>
      </c>
      <c r="P260" s="7">
        <f>IF(Base!AI231="","",Base!AI231)</f>
        <v/>
      </c>
      <c r="Q260" s="28" t="str">
        <f>Base!J231</f>
        <v>Sin PIM</v>
      </c>
      <c r="R260" s="29">
        <f>Base!X231</f>
        <v>0.05930726992499075</v>
      </c>
      <c r="S260" s="8">
        <f>Base!K231</f>
        <v>0.0</v>
      </c>
      <c r="T260" s="7" t="str">
        <f>Base!M231</f>
        <v>PIM igual a 0</v>
      </c>
    </row>
    <row r="261" spans="1:20">
      <c r="A261" s="28">
        <f>SUBTOTAL(103,$B$6:B261)</f>
        <v>228</v>
      </c>
      <c r="B261" s="28">
        <v>186</v>
      </c>
      <c r="C261" s="7" t="s">
        <v>917</v>
      </c>
      <c r="D261" s="8">
        <f>Base!N232</f>
        <v>0.0</v>
      </c>
      <c r="E261" s="8">
        <f>Base!O232</f>
        <v>0.0</v>
      </c>
      <c r="F261" s="8">
        <f>D261-E261</f>
        <v>0.0</v>
      </c>
      <c r="G261" s="8">
        <f>Base!Q232</f>
        <v>0.0</v>
      </c>
      <c r="H261" s="8">
        <f>D261-G261</f>
        <v>0.0</v>
      </c>
      <c r="I261" s="29">
        <f>IF(D261=0,0,G261/D261)</f>
        <v>0</v>
      </c>
      <c r="J261" s="7" t="str">
        <f>Base!AH232</f>
        <v>Contrata</v>
      </c>
      <c r="K261" s="28" t="str">
        <f>Base!I232</f>
        <v>Proyecto de inversión</v>
      </c>
      <c r="L261" s="8">
        <f>Base!AA232</f>
        <v>50000.0</v>
      </c>
      <c r="M261" s="8">
        <f>Base!AB232</f>
        <v>0</v>
      </c>
      <c r="N261" s="8">
        <f>Base!AC232</f>
        <v>0</v>
      </c>
      <c r="O261" s="8">
        <f>Base!AD232</f>
        <v>1077897.0</v>
      </c>
      <c r="P261" s="7">
        <f>IF(Base!AI232="","",Base!AI232)</f>
        <v/>
      </c>
      <c r="Q261" s="28" t="str">
        <f>Base!J232</f>
        <v>Sin PIM</v>
      </c>
      <c r="R261" s="29">
        <f>Base!X232</f>
        <v>0.0</v>
      </c>
      <c r="S261" s="8">
        <f>Base!K232</f>
        <v>0.0</v>
      </c>
      <c r="T261" s="7" t="str">
        <f>Base!M232</f>
        <v>PIM igual a 0</v>
      </c>
    </row>
    <row r="262" spans="1:20">
      <c r="A262" s="28">
        <f>SUBTOTAL(103,$B$6:B262)</f>
        <v>229</v>
      </c>
      <c r="B262" s="28">
        <v>189</v>
      </c>
      <c r="C262" s="7" t="s">
        <v>920</v>
      </c>
      <c r="D262" s="8">
        <f>Base!N233</f>
        <v>106670.0</v>
      </c>
      <c r="E262" s="8">
        <f>Base!O233</f>
        <v>106670.0</v>
      </c>
      <c r="F262" s="8">
        <f>D262-E262</f>
        <v>0.0</v>
      </c>
      <c r="G262" s="8">
        <f>Base!Q233</f>
        <v>96622.29000000001</v>
      </c>
      <c r="H262" s="8">
        <f>D262-G262</f>
        <v>10047.709999999992</v>
      </c>
      <c r="I262" s="29">
        <f>IF(D262=0,0,G262/D262)</f>
        <v>0.9058056623230525</v>
      </c>
      <c r="J262" s="7" t="str">
        <f>Base!AH233</f>
        <v>Expediente técnico</v>
      </c>
      <c r="K262" s="28" t="str">
        <f>Base!I233</f>
        <v>Proyecto de inversión</v>
      </c>
      <c r="L262" s="8">
        <f>Base!AA233</f>
        <v>50000.0</v>
      </c>
      <c r="M262" s="8">
        <f>Base!AB233</f>
        <v>248751.0</v>
      </c>
      <c r="N262" s="8">
        <f>Base!AC233</f>
        <v>290379.0</v>
      </c>
      <c r="O262" s="8">
        <f>Base!AD233</f>
        <v>0</v>
      </c>
      <c r="P262" s="7">
        <f>IF(Base!AI233="","",Base!AI233)</f>
        <v/>
      </c>
      <c r="Q262" s="28" t="str">
        <f>Base!J233</f>
        <v>No mover</v>
      </c>
      <c r="R262" s="29">
        <f>Base!X233</f>
        <v>0.21730207416831557</v>
      </c>
      <c r="S262" s="8">
        <f>Base!K233</f>
        <v>0.0</v>
      </c>
      <c r="T262" s="7" t="str">
        <f>Base!M233</f>
        <v>Devengado 2026 ≥ 90% del PIM</v>
      </c>
    </row>
    <row r="263" spans="1:20">
      <c r="A263" s="28">
        <f>SUBTOTAL(103,$B$6:B263)</f>
        <v>230</v>
      </c>
      <c r="B263" s="28">
        <v>190</v>
      </c>
      <c r="C263" s="7" t="s">
        <v>923</v>
      </c>
      <c r="D263" s="8">
        <f>Base!N234</f>
        <v>306148.0</v>
      </c>
      <c r="E263" s="8">
        <f>Base!O234</f>
        <v>306148.0</v>
      </c>
      <c r="F263" s="8">
        <f>D263-E263</f>
        <v>0.0</v>
      </c>
      <c r="G263" s="8">
        <f>Base!Q234</f>
        <v>268544.1</v>
      </c>
      <c r="H263" s="8">
        <f>D263-G263</f>
        <v>37603.90000000002</v>
      </c>
      <c r="I263" s="29">
        <f>IF(D263=0,0,G263/D263)</f>
        <v>0.877170845473431</v>
      </c>
      <c r="J263" s="7" t="str">
        <f>Base!AH234</f>
        <v>Expediente técnico</v>
      </c>
      <c r="K263" s="28" t="str">
        <f>Base!I234</f>
        <v>Proyecto de inversión</v>
      </c>
      <c r="L263" s="8">
        <f>Base!AA234</f>
        <v>50000.0</v>
      </c>
      <c r="M263" s="8">
        <f>Base!AB234</f>
        <v>0</v>
      </c>
      <c r="N263" s="8">
        <f>Base!AC234</f>
        <v>0</v>
      </c>
      <c r="O263" s="8">
        <f>Base!AD234</f>
        <v>1982942.0</v>
      </c>
      <c r="P263" s="7">
        <f>IF(Base!AI234="","",Base!AI234)</f>
        <v/>
      </c>
      <c r="Q263" s="28" t="str">
        <f>Base!J234</f>
        <v>Sin saldo útil</v>
      </c>
      <c r="R263" s="29">
        <f>Base!X234</f>
        <v>0.11731476346537137</v>
      </c>
      <c r="S263" s="8">
        <f>Base!K234</f>
        <v>0.0</v>
      </c>
      <c r="T263" s="7" t="str">
        <f>Base!M234</f>
        <v>Saldo libre menor a S/ 10,000</v>
      </c>
    </row>
    <row r="264" spans="1:20">
      <c r="A264" s="28">
        <f>SUBTOTAL(103,$B$6:B264)</f>
        <v>231</v>
      </c>
      <c r="B264" s="28">
        <v>192</v>
      </c>
      <c r="C264" s="7" t="s">
        <v>926</v>
      </c>
      <c r="D264" s="8">
        <f>Base!N235</f>
        <v>159574.0</v>
      </c>
      <c r="E264" s="8">
        <f>Base!O235</f>
        <v>125168.92</v>
      </c>
      <c r="F264" s="8">
        <f>D264-E264</f>
        <v>34405.08</v>
      </c>
      <c r="G264" s="8">
        <f>Base!Q235</f>
        <v>80461.59</v>
      </c>
      <c r="H264" s="8">
        <f>D264-G264</f>
        <v>79112.41</v>
      </c>
      <c r="I264" s="29">
        <f>IF(D264=0,0,G264/D264)</f>
        <v>0.5042274430671663</v>
      </c>
      <c r="J264" s="7" t="str">
        <f>Base!AH235</f>
        <v>Expediente técnico</v>
      </c>
      <c r="K264" s="28" t="str">
        <f>Base!I235</f>
        <v>Proyecto de inversión</v>
      </c>
      <c r="L264" s="8">
        <f>Base!AA235</f>
        <v>50000.0</v>
      </c>
      <c r="M264" s="8">
        <f>Base!AB235</f>
        <v>245742.0</v>
      </c>
      <c r="N264" s="8">
        <f>Base!AC235</f>
        <v>1095319.0</v>
      </c>
      <c r="O264" s="8">
        <f>Base!AD235</f>
        <v>0</v>
      </c>
      <c r="P264" s="7">
        <f>IF(Base!AI235="","",Base!AI235)</f>
        <v/>
      </c>
      <c r="Q264" s="28" t="str">
        <f>Base!J235</f>
        <v>Sin saldo útil</v>
      </c>
      <c r="R264" s="29">
        <f>Base!X235</f>
        <v>0.0859428379018236</v>
      </c>
      <c r="S264" s="8">
        <f>Base!K235</f>
        <v>0.0</v>
      </c>
      <c r="T264" s="7" t="str">
        <f>Base!M235</f>
        <v>Saldo libre menor a S/ 10,000</v>
      </c>
    </row>
    <row r="265" spans="1:20">
      <c r="A265" s="28">
        <f>SUBTOTAL(103,$B$6:B265)</f>
        <v>232</v>
      </c>
      <c r="B265" s="28">
        <v>194</v>
      </c>
      <c r="C265" s="7" t="s">
        <v>929</v>
      </c>
      <c r="D265" s="8">
        <f>Base!N236</f>
        <v>50467.0</v>
      </c>
      <c r="E265" s="8">
        <f>Base!O236</f>
        <v>50466.81</v>
      </c>
      <c r="F265" s="8">
        <f>D265-E265</f>
        <v>0.1900000000023283</v>
      </c>
      <c r="G265" s="8">
        <f>Base!Q236</f>
        <v>48902.8</v>
      </c>
      <c r="H265" s="8">
        <f>D265-G265</f>
        <v>1564.199999999997</v>
      </c>
      <c r="I265" s="29">
        <f>IF(D265=0,0,G265/D265)</f>
        <v>0.9690054887352132</v>
      </c>
      <c r="J265" s="7" t="str">
        <f>Base!AH236</f>
        <v>Expediente técnico</v>
      </c>
      <c r="K265" s="28" t="str">
        <f>Base!I236</f>
        <v>Proyecto de inversión</v>
      </c>
      <c r="L265" s="8">
        <f>Base!AA236</f>
        <v>100000.0</v>
      </c>
      <c r="M265" s="8">
        <f>Base!AB236</f>
        <v>0</v>
      </c>
      <c r="N265" s="8">
        <f>Base!AC236</f>
        <v>0</v>
      </c>
      <c r="O265" s="8">
        <f>Base!AD236</f>
        <v>1272222.0</v>
      </c>
      <c r="P265" s="7">
        <f>IF(Base!AI236="","",Base!AI236)</f>
        <v/>
      </c>
      <c r="Q265" s="28" t="str">
        <f>Base!J236</f>
        <v>No mover</v>
      </c>
      <c r="R265" s="29">
        <f>Base!X236</f>
        <v>0.10279371745915342</v>
      </c>
      <c r="S265" s="8">
        <f>Base!K236</f>
        <v>0.0</v>
      </c>
      <c r="T265" s="7" t="str">
        <f>Base!M236</f>
        <v>Devengado 2026 ≥ 90% del PIM</v>
      </c>
    </row>
    <row r="266" spans="1:20">
      <c r="A266" s="28">
        <f>SUBTOTAL(103,$B$6:B266)</f>
        <v>233</v>
      </c>
      <c r="B266" s="28">
        <v>243</v>
      </c>
      <c r="C266" s="7" t="s">
        <v>932</v>
      </c>
      <c r="D266" s="8">
        <f>Base!N237</f>
        <v>0.0</v>
      </c>
      <c r="E266" s="8">
        <f>Base!O237</f>
        <v>0.0</v>
      </c>
      <c r="F266" s="8">
        <f>D266-E266</f>
        <v>0.0</v>
      </c>
      <c r="G266" s="8">
        <f>Base!Q237</f>
        <v>0.0</v>
      </c>
      <c r="H266" s="8">
        <f>D266-G266</f>
        <v>0.0</v>
      </c>
      <c r="I266" s="29">
        <f>IF(D266=0,0,G266/D266)</f>
        <v>0</v>
      </c>
      <c r="J266" s="7" t="str">
        <f>Base!AH237</f>
        <v>Contrata</v>
      </c>
      <c r="K266" s="28" t="str">
        <f>Base!I237</f>
        <v>Proyecto de inversión</v>
      </c>
      <c r="L266" s="8">
        <f>Base!AA237</f>
        <v>1000000.0</v>
      </c>
      <c r="M266" s="8">
        <f>Base!AB237</f>
        <v>0</v>
      </c>
      <c r="N266" s="8">
        <f>Base!AC237</f>
        <v>0</v>
      </c>
      <c r="O266" s="8">
        <f>Base!AD237</f>
        <v>0</v>
      </c>
      <c r="P266" s="7">
        <f>IF(Base!AI237="","",Base!AI237)</f>
        <v/>
      </c>
      <c r="Q266" s="28" t="str">
        <f>Base!J237</f>
        <v>Sin PIM</v>
      </c>
      <c r="R266" s="29">
        <f>Base!X237</f>
        <v>0.001580755821403338</v>
      </c>
      <c r="S266" s="8">
        <f>Base!K237</f>
        <v>0.0</v>
      </c>
      <c r="T266" s="7" t="str">
        <f>Base!M237</f>
        <v>PIM igual a 0</v>
      </c>
    </row>
    <row r="267" spans="1:20">
      <c r="A267" s="28">
        <f>SUBTOTAL(103,$B$6:B267)</f>
        <v>234</v>
      </c>
      <c r="B267" s="28">
        <v>525</v>
      </c>
      <c r="C267" s="7" t="s">
        <v>938</v>
      </c>
      <c r="D267" s="8">
        <f>Base!N238</f>
        <v>2394005.0</v>
      </c>
      <c r="E267" s="8">
        <f>Base!O238</f>
        <v>0.0</v>
      </c>
      <c r="F267" s="8">
        <f>D267-E267</f>
        <v>2394005.0</v>
      </c>
      <c r="G267" s="8">
        <f>Base!Q238</f>
        <v>0.0</v>
      </c>
      <c r="H267" s="8">
        <f>D267-G267</f>
        <v>2394005.0</v>
      </c>
      <c r="I267" s="29">
        <f>IF(D267=0,0,G267/D267)</f>
        <v>0.0</v>
      </c>
      <c r="J267" s="7" t="str">
        <f>Base!AH238</f>
        <v>Contrata</v>
      </c>
      <c r="K267" s="28" t="str">
        <f>Base!I238</f>
        <v>IOARR</v>
      </c>
      <c r="L267" s="8" t="str">
        <f>Base!AA238</f>
        <v>No registrado en cartera</v>
      </c>
      <c r="M267" s="8" t="str">
        <f>Base!AB238</f>
        <v>No registrado en cartera</v>
      </c>
      <c r="N267" s="8" t="str">
        <f>Base!AC238</f>
        <v>No registrado en cartera</v>
      </c>
      <c r="O267" s="8" t="str">
        <f>Base!AD238</f>
        <v>No registrado en cartera</v>
      </c>
      <c r="P267" s="7">
        <f>IF(Base!AI238="","",Base!AI238)</f>
        <v/>
      </c>
      <c r="Q267" s="28" t="str">
        <f>Base!J238</f>
        <v>Sin saldo útil</v>
      </c>
      <c r="R267" s="29">
        <f>Base!X238</f>
        <v>0.01066822163820406</v>
      </c>
      <c r="S267" s="8">
        <f>Base!K238</f>
        <v>0.0</v>
      </c>
      <c r="T267" s="7" t="str">
        <f>Base!M238</f>
        <v>Saldo libre menor a S/ 10,000</v>
      </c>
    </row>
    <row r="268" spans="1:20">
      <c r="A268" s="25" t="s">
        <v>221</v>
      </c>
      <c r="B268" s="25"/>
      <c r="C268" s="25"/>
      <c r="D268" s="26">
        <f>SUM(D269:D305)</f>
        <v>11019969.0</v>
      </c>
      <c r="E268" s="26">
        <f>SUM(E269:E305)</f>
        <v>9664191.52</v>
      </c>
      <c r="F268" s="26">
        <f>D268-E268</f>
        <v>1355777.4800000004</v>
      </c>
      <c r="G268" s="26">
        <f>SUM(G269:G305)</f>
        <v>5511101.109999999</v>
      </c>
      <c r="H268" s="26">
        <f>D268-G268</f>
        <v>5508867.890000001</v>
      </c>
      <c r="I268" s="27">
        <f>IF(D268=0,0,G268/D268)</f>
        <v>0.5001013260563618</v>
      </c>
      <c r="J268" s="25"/>
      <c r="K268" s="25"/>
      <c r="L268" s="25"/>
      <c r="M268" s="25"/>
      <c r="N268" s="25"/>
      <c r="O268" s="25"/>
      <c r="P268" s="25"/>
      <c r="Q268" s="25"/>
      <c r="R268" s="25"/>
      <c r="S268" s="26">
        <f>SUM(S269:S305)</f>
        <v>17150.0</v>
      </c>
      <c r="T268" s="25"/>
    </row>
    <row r="269" spans="1:20">
      <c r="A269" s="28">
        <f>SUBTOTAL(103,$B$6:B269)</f>
        <v>235</v>
      </c>
      <c r="B269" s="28">
        <v>91</v>
      </c>
      <c r="C269" s="7" t="s">
        <v>941</v>
      </c>
      <c r="D269" s="8">
        <f>Base!N239</f>
        <v>350198.0</v>
      </c>
      <c r="E269" s="8">
        <f>Base!O239</f>
        <v>287570.0</v>
      </c>
      <c r="F269" s="8">
        <f>D269-E269</f>
        <v>62628.0</v>
      </c>
      <c r="G269" s="8">
        <f>Base!Q239</f>
        <v>252136.73</v>
      </c>
      <c r="H269" s="8">
        <f>D269-G269</f>
        <v>98061.26999999999</v>
      </c>
      <c r="I269" s="29">
        <f>IF(D269=0,0,G269/D269)</f>
        <v>0.7199833522749988</v>
      </c>
      <c r="J269" s="7" t="str">
        <f>Base!AH239</f>
        <v>Expediente técnico</v>
      </c>
      <c r="K269" s="28" t="str">
        <f>Base!I239</f>
        <v>Proyecto de inversión</v>
      </c>
      <c r="L269" s="8">
        <f>Base!AA239</f>
        <v>100000.0</v>
      </c>
      <c r="M269" s="8">
        <f>Base!AB239</f>
        <v>0</v>
      </c>
      <c r="N269" s="8">
        <f>Base!AC239</f>
        <v>0</v>
      </c>
      <c r="O269" s="8">
        <f>Base!AD239</f>
        <v>0</v>
      </c>
      <c r="P269" s="7">
        <f>IF(Base!AI239="","",Base!AI239)</f>
        <v/>
      </c>
      <c r="Q269" s="28" t="str">
        <f>Base!J239</f>
        <v>Sin saldo útil</v>
      </c>
      <c r="R269" s="29">
        <f>Base!X239</f>
        <v>0.08183795566717345</v>
      </c>
      <c r="S269" s="8">
        <f>Base!K239</f>
        <v>0.0</v>
      </c>
      <c r="T269" s="7" t="str">
        <f>Base!M239</f>
        <v>Saldo libre menor a S/ 10,000</v>
      </c>
    </row>
    <row r="270" spans="1:20">
      <c r="A270" s="28">
        <f>SUBTOTAL(103,$B$6:B270)</f>
        <v>236</v>
      </c>
      <c r="B270" s="28">
        <v>93</v>
      </c>
      <c r="C270" s="7" t="s">
        <v>945</v>
      </c>
      <c r="D270" s="8">
        <f>Base!N240</f>
        <v>0.0</v>
      </c>
      <c r="E270" s="8">
        <f>Base!O240</f>
        <v>0.0</v>
      </c>
      <c r="F270" s="8">
        <f>D270-E270</f>
        <v>0.0</v>
      </c>
      <c r="G270" s="8">
        <f>Base!Q240</f>
        <v>0.0</v>
      </c>
      <c r="H270" s="8">
        <f>D270-G270</f>
        <v>0.0</v>
      </c>
      <c r="I270" s="29">
        <f>IF(D270=0,0,G270/D270)</f>
        <v>0</v>
      </c>
      <c r="J270" s="7" t="str">
        <f>Base!AH240</f>
        <v>Contrata</v>
      </c>
      <c r="K270" s="28" t="str">
        <f>Base!I240</f>
        <v>Proyecto de inversión</v>
      </c>
      <c r="L270" s="8">
        <f>Base!AA240</f>
        <v>100000.0</v>
      </c>
      <c r="M270" s="8">
        <f>Base!AB240</f>
        <v>0</v>
      </c>
      <c r="N270" s="8">
        <f>Base!AC240</f>
        <v>0</v>
      </c>
      <c r="O270" s="8">
        <f>Base!AD240</f>
        <v>0</v>
      </c>
      <c r="P270" s="7">
        <f>IF(Base!AI240="","",Base!AI240)</f>
        <v/>
      </c>
      <c r="Q270" s="28" t="str">
        <f>Base!J240</f>
        <v>Sin PIM</v>
      </c>
      <c r="R270" s="29">
        <f>Base!X240</f>
        <v>0.2513819507147612</v>
      </c>
      <c r="S270" s="8">
        <f>Base!K240</f>
        <v>0.0</v>
      </c>
      <c r="T270" s="7" t="str">
        <f>Base!M240</f>
        <v>PIM igual a 0</v>
      </c>
    </row>
    <row r="271" spans="1:20">
      <c r="A271" s="28">
        <f>SUBTOTAL(103,$B$6:B271)</f>
        <v>237</v>
      </c>
      <c r="B271" s="28">
        <v>102</v>
      </c>
      <c r="C271" s="7" t="s">
        <v>949</v>
      </c>
      <c r="D271" s="8">
        <f>Base!N241</f>
        <v>0.0</v>
      </c>
      <c r="E271" s="8">
        <f>Base!O241</f>
        <v>0.0</v>
      </c>
      <c r="F271" s="8">
        <f>D271-E271</f>
        <v>0.0</v>
      </c>
      <c r="G271" s="8">
        <f>Base!Q241</f>
        <v>0.0</v>
      </c>
      <c r="H271" s="8">
        <f>D271-G271</f>
        <v>0.0</v>
      </c>
      <c r="I271" s="29">
        <f>IF(D271=0,0,G271/D271)</f>
        <v>0</v>
      </c>
      <c r="J271" s="7" t="str">
        <f>Base!AH241</f>
        <v>Contrata</v>
      </c>
      <c r="K271" s="28" t="str">
        <f>Base!I241</f>
        <v>Proyecto de inversión</v>
      </c>
      <c r="L271" s="8" t="str">
        <f>Base!AA241</f>
        <v>No registrado en cartera</v>
      </c>
      <c r="M271" s="8" t="str">
        <f>Base!AB241</f>
        <v>No registrado en cartera</v>
      </c>
      <c r="N271" s="8" t="str">
        <f>Base!AC241</f>
        <v>No registrado en cartera</v>
      </c>
      <c r="O271" s="8" t="str">
        <f>Base!AD241</f>
        <v>No registrado en cartera</v>
      </c>
      <c r="P271" s="7">
        <f>IF(Base!AI241="","",Base!AI241)</f>
        <v/>
      </c>
      <c r="Q271" s="28" t="str">
        <f>Base!J241</f>
        <v>Sin PIM</v>
      </c>
      <c r="R271" s="29">
        <f>Base!X241</f>
        <v>0.0</v>
      </c>
      <c r="S271" s="8">
        <f>Base!K241</f>
        <v>0.0</v>
      </c>
      <c r="T271" s="7" t="str">
        <f>Base!M241</f>
        <v>PIM igual a 0</v>
      </c>
    </row>
    <row r="272" spans="1:20">
      <c r="A272" s="28">
        <f>SUBTOTAL(103,$B$6:B272)</f>
        <v>238</v>
      </c>
      <c r="B272" s="28">
        <v>100</v>
      </c>
      <c r="C272" s="7" t="s">
        <v>954</v>
      </c>
      <c r="D272" s="8">
        <f>Base!N242</f>
        <v>0.0</v>
      </c>
      <c r="E272" s="8">
        <f>Base!O242</f>
        <v>0.0</v>
      </c>
      <c r="F272" s="8">
        <f>D272-E272</f>
        <v>0.0</v>
      </c>
      <c r="G272" s="8">
        <f>Base!Q242</f>
        <v>0.0</v>
      </c>
      <c r="H272" s="8">
        <f>D272-G272</f>
        <v>0.0</v>
      </c>
      <c r="I272" s="29">
        <f>IF(D272=0,0,G272/D272)</f>
        <v>0</v>
      </c>
      <c r="J272" s="7" t="str">
        <f>Base!AH242</f>
        <v>Contrata / Administración directa</v>
      </c>
      <c r="K272" s="28" t="str">
        <f>Base!I242</f>
        <v>Proyecto de inversión</v>
      </c>
      <c r="L272" s="8">
        <f>Base!AA242</f>
        <v>7946662.0</v>
      </c>
      <c r="M272" s="8">
        <f>Base!AB242</f>
        <v>0</v>
      </c>
      <c r="N272" s="8">
        <f>Base!AC242</f>
        <v>0</v>
      </c>
      <c r="O272" s="8">
        <f>Base!AD242</f>
        <v>0</v>
      </c>
      <c r="P272" s="7">
        <f>IF(Base!AI242="","",Base!AI242)</f>
        <v/>
      </c>
      <c r="Q272" s="28" t="str">
        <f>Base!J242</f>
        <v>Sin PIM</v>
      </c>
      <c r="R272" s="29">
        <f>Base!X242</f>
        <v>0.037930097304395</v>
      </c>
      <c r="S272" s="8">
        <f>Base!K242</f>
        <v>0.0</v>
      </c>
      <c r="T272" s="7" t="str">
        <f>Base!M242</f>
        <v>PIM igual a 0</v>
      </c>
    </row>
    <row r="273" spans="1:20">
      <c r="A273" s="28">
        <f>SUBTOTAL(103,$B$6:B273)</f>
        <v>239</v>
      </c>
      <c r="B273" s="28">
        <v>111</v>
      </c>
      <c r="C273" s="7" t="s">
        <v>957</v>
      </c>
      <c r="D273" s="8">
        <f>Base!N243</f>
        <v>0.0</v>
      </c>
      <c r="E273" s="8">
        <f>Base!O243</f>
        <v>0.0</v>
      </c>
      <c r="F273" s="8">
        <f>D273-E273</f>
        <v>0.0</v>
      </c>
      <c r="G273" s="8">
        <f>Base!Q243</f>
        <v>0.0</v>
      </c>
      <c r="H273" s="8">
        <f>D273-G273</f>
        <v>0.0</v>
      </c>
      <c r="I273" s="29">
        <f>IF(D273=0,0,G273/D273)</f>
        <v>0</v>
      </c>
      <c r="J273" s="7" t="str">
        <f>Base!AH243</f>
        <v>Contrata / Expediente técnico</v>
      </c>
      <c r="K273" s="28" t="str">
        <f>Base!I243</f>
        <v>Proyecto de inversión</v>
      </c>
      <c r="L273" s="8">
        <f>Base!AA243</f>
        <v>2800000.0</v>
      </c>
      <c r="M273" s="8">
        <f>Base!AB243</f>
        <v>0</v>
      </c>
      <c r="N273" s="8">
        <f>Base!AC243</f>
        <v>0</v>
      </c>
      <c r="O273" s="8">
        <f>Base!AD243</f>
        <v>0</v>
      </c>
      <c r="P273" s="7">
        <f>IF(Base!AI243="","",Base!AI243)</f>
        <v/>
      </c>
      <c r="Q273" s="28" t="str">
        <f>Base!J243</f>
        <v>Sin PIM</v>
      </c>
      <c r="R273" s="29">
        <f>Base!X243</f>
        <v>0.04115837025567963</v>
      </c>
      <c r="S273" s="8">
        <f>Base!K243</f>
        <v>0.0</v>
      </c>
      <c r="T273" s="7" t="str">
        <f>Base!M243</f>
        <v>PIM igual a 0</v>
      </c>
    </row>
    <row r="274" spans="1:20">
      <c r="A274" s="28">
        <f>SUBTOTAL(103,$B$6:B274)</f>
        <v>240</v>
      </c>
      <c r="B274" s="28">
        <v>115</v>
      </c>
      <c r="C274" s="7" t="s">
        <v>961</v>
      </c>
      <c r="D274" s="8">
        <f>Base!N244</f>
        <v>100000.0</v>
      </c>
      <c r="E274" s="8">
        <f>Base!O244</f>
        <v>20000.0</v>
      </c>
      <c r="F274" s="8">
        <f>D274-E274</f>
        <v>80000.0</v>
      </c>
      <c r="G274" s="8">
        <f>Base!Q244</f>
        <v>13772.3</v>
      </c>
      <c r="H274" s="8">
        <f>D274-G274</f>
        <v>86227.7</v>
      </c>
      <c r="I274" s="29">
        <f>IF(D274=0,0,G274/D274)</f>
        <v>0.13772299999999998</v>
      </c>
      <c r="J274" s="7" t="str">
        <f>Base!AH244</f>
        <v>Expediente técnico</v>
      </c>
      <c r="K274" s="28" t="str">
        <f>Base!I244</f>
        <v>Proyecto de inversión</v>
      </c>
      <c r="L274" s="8">
        <f>Base!AA244</f>
        <v>100000.0</v>
      </c>
      <c r="M274" s="8">
        <f>Base!AB244</f>
        <v>452541.0</v>
      </c>
      <c r="N274" s="8">
        <f>Base!AC244</f>
        <v>0</v>
      </c>
      <c r="O274" s="8">
        <f>Base!AD244</f>
        <v>1000000.0</v>
      </c>
      <c r="P274" s="7">
        <f>IF(Base!AI244="","",Base!AI244)</f>
        <v/>
      </c>
      <c r="Q274" s="28" t="str">
        <f>Base!J244</f>
        <v>Sin saldo útil</v>
      </c>
      <c r="R274" s="29">
        <f>Base!X244</f>
        <v>0.025991579435212925</v>
      </c>
      <c r="S274" s="8">
        <f>Base!K244</f>
        <v>0.0</v>
      </c>
      <c r="T274" s="7" t="str">
        <f>Base!M244</f>
        <v>Saldo libre menor a S/ 10,000</v>
      </c>
    </row>
    <row r="275" spans="1:20">
      <c r="A275" s="28">
        <f>SUBTOTAL(103,$B$6:B275)</f>
        <v>241</v>
      </c>
      <c r="B275" s="28">
        <v>117</v>
      </c>
      <c r="C275" s="7" t="s">
        <v>964</v>
      </c>
      <c r="D275" s="8">
        <f>Base!N245</f>
        <v>391951.0</v>
      </c>
      <c r="E275" s="8">
        <f>Base!O245</f>
        <v>130000.0</v>
      </c>
      <c r="F275" s="8">
        <f>D275-E275</f>
        <v>261951.0</v>
      </c>
      <c r="G275" s="8">
        <f>Base!Q245</f>
        <v>0.0</v>
      </c>
      <c r="H275" s="8">
        <f>D275-G275</f>
        <v>391951.0</v>
      </c>
      <c r="I275" s="29">
        <f>IF(D275=0,0,G275/D275)</f>
        <v>0.0</v>
      </c>
      <c r="J275" s="7" t="str">
        <f>Base!AH245</f>
        <v>Expediente técnico</v>
      </c>
      <c r="K275" s="28" t="str">
        <f>Base!I245</f>
        <v>Proyecto de inversión</v>
      </c>
      <c r="L275" s="8">
        <f>Base!AA245</f>
        <v>850000.0</v>
      </c>
      <c r="M275" s="8">
        <f>Base!AB245</f>
        <v>454257.0</v>
      </c>
      <c r="N275" s="8">
        <f>Base!AC245</f>
        <v>0</v>
      </c>
      <c r="O275" s="8">
        <f>Base!AD245</f>
        <v>1000000.0</v>
      </c>
      <c r="P275" s="7">
        <f>IF(Base!AI245="","",Base!AI245)</f>
        <v/>
      </c>
      <c r="Q275" s="28" t="str">
        <f>Base!J245</f>
        <v>Sin saldo útil</v>
      </c>
      <c r="R275" s="29">
        <f>Base!X245</f>
        <v>0.002558715628425719</v>
      </c>
      <c r="S275" s="8">
        <f>Base!K245</f>
        <v>0.0</v>
      </c>
      <c r="T275" s="7" t="str">
        <f>Base!M245</f>
        <v>Saldo libre menor a S/ 10,000</v>
      </c>
    </row>
    <row r="276" spans="1:20">
      <c r="A276" s="28">
        <f>SUBTOTAL(103,$B$6:B276)</f>
        <v>242</v>
      </c>
      <c r="B276" s="28">
        <v>118</v>
      </c>
      <c r="C276" s="7" t="s">
        <v>967</v>
      </c>
      <c r="D276" s="8">
        <f>Base!N246</f>
        <v>0.0</v>
      </c>
      <c r="E276" s="8">
        <f>Base!O246</f>
        <v>0.0</v>
      </c>
      <c r="F276" s="8">
        <f>D276-E276</f>
        <v>0.0</v>
      </c>
      <c r="G276" s="8">
        <f>Base!Q246</f>
        <v>0.0</v>
      </c>
      <c r="H276" s="8">
        <f>D276-G276</f>
        <v>0.0</v>
      </c>
      <c r="I276" s="29">
        <f>IF(D276=0,0,G276/D276)</f>
        <v>0</v>
      </c>
      <c r="J276" s="7" t="str">
        <f>Base!AH246</f>
        <v>Contrata</v>
      </c>
      <c r="K276" s="28" t="str">
        <f>Base!I246</f>
        <v>Proyecto de inversión</v>
      </c>
      <c r="L276" s="8">
        <f>Base!AA246</f>
        <v>800000.0</v>
      </c>
      <c r="M276" s="8">
        <f>Base!AB246</f>
        <v>0</v>
      </c>
      <c r="N276" s="8">
        <f>Base!AC246</f>
        <v>0</v>
      </c>
      <c r="O276" s="8">
        <f>Base!AD246</f>
        <v>0</v>
      </c>
      <c r="P276" s="7">
        <f>IF(Base!AI246="","",Base!AI246)</f>
        <v/>
      </c>
      <c r="Q276" s="28" t="str">
        <f>Base!J246</f>
        <v>Sin PIM</v>
      </c>
      <c r="R276" s="29">
        <f>Base!X246</f>
        <v>0.019056318793995063</v>
      </c>
      <c r="S276" s="8">
        <f>Base!K246</f>
        <v>0.0</v>
      </c>
      <c r="T276" s="7" t="str">
        <f>Base!M246</f>
        <v>PIM igual a 0</v>
      </c>
    </row>
    <row r="277" spans="1:20">
      <c r="A277" s="28">
        <f>SUBTOTAL(103,$B$6:B277)</f>
        <v>243</v>
      </c>
      <c r="B277" s="28">
        <v>120</v>
      </c>
      <c r="C277" s="7" t="s">
        <v>970</v>
      </c>
      <c r="D277" s="8">
        <f>Base!N247</f>
        <v>171047.0</v>
      </c>
      <c r="E277" s="8">
        <f>Base!O247</f>
        <v>170547.0</v>
      </c>
      <c r="F277" s="8">
        <f>D277-E277</f>
        <v>500.0</v>
      </c>
      <c r="G277" s="8">
        <f>Base!Q247</f>
        <v>142342.18</v>
      </c>
      <c r="H277" s="8">
        <f>D277-G277</f>
        <v>28704.820000000007</v>
      </c>
      <c r="I277" s="29">
        <f>IF(D277=0,0,G277/D277)</f>
        <v>0.8321816810584225</v>
      </c>
      <c r="J277" s="7" t="str">
        <f>Base!AH247</f>
        <v>Expediente técnico</v>
      </c>
      <c r="K277" s="28" t="str">
        <f>Base!I247</f>
        <v>Proyecto de inversión</v>
      </c>
      <c r="L277" s="8">
        <f>Base!AA247</f>
        <v>800000.0</v>
      </c>
      <c r="M277" s="8">
        <f>Base!AB247</f>
        <v>7856258.0</v>
      </c>
      <c r="N277" s="8">
        <f>Base!AC247</f>
        <v>0</v>
      </c>
      <c r="O277" s="8">
        <f>Base!AD247</f>
        <v>3000000.0</v>
      </c>
      <c r="P277" s="7">
        <f>IF(Base!AI247="","",Base!AI247)</f>
        <v/>
      </c>
      <c r="Q277" s="28" t="str">
        <f>Base!J247</f>
        <v>Sin saldo útil</v>
      </c>
      <c r="R277" s="29">
        <f>Base!X247</f>
        <v>0.015888707725618862</v>
      </c>
      <c r="S277" s="8">
        <f>Base!K247</f>
        <v>0.0</v>
      </c>
      <c r="T277" s="7" t="str">
        <f>Base!M247</f>
        <v>Saldo libre menor a S/ 10,000</v>
      </c>
    </row>
    <row r="278" spans="1:20">
      <c r="A278" s="28">
        <f>SUBTOTAL(103,$B$6:B278)</f>
        <v>244</v>
      </c>
      <c r="B278" s="28">
        <v>122</v>
      </c>
      <c r="C278" s="7" t="s">
        <v>973</v>
      </c>
      <c r="D278" s="8">
        <f>Base!N248</f>
        <v>840279.0</v>
      </c>
      <c r="E278" s="8">
        <f>Base!O248</f>
        <v>668334.0</v>
      </c>
      <c r="F278" s="8">
        <f>D278-E278</f>
        <v>171945.0</v>
      </c>
      <c r="G278" s="8">
        <f>Base!Q248</f>
        <v>535432.86</v>
      </c>
      <c r="H278" s="8">
        <f>D278-G278</f>
        <v>304846.14</v>
      </c>
      <c r="I278" s="29">
        <f>IF(D278=0,0,G278/D278)</f>
        <v>0.6372084272009654</v>
      </c>
      <c r="J278" s="7" t="str">
        <f>Base!AH248</f>
        <v>Expediente técnico</v>
      </c>
      <c r="K278" s="28" t="str">
        <f>Base!I248</f>
        <v>Proyecto de inversión</v>
      </c>
      <c r="L278" s="8">
        <f>Base!AA248</f>
        <v>800000.0</v>
      </c>
      <c r="M278" s="8">
        <f>Base!AB248</f>
        <v>5485623.0</v>
      </c>
      <c r="N278" s="8">
        <f>Base!AC248</f>
        <v>0</v>
      </c>
      <c r="O278" s="8">
        <f>Base!AD248</f>
        <v>1000000.0</v>
      </c>
      <c r="P278" s="7">
        <f>IF(Base!AI248="","",Base!AI248)</f>
        <v/>
      </c>
      <c r="Q278" s="28" t="str">
        <f>Base!J248</f>
        <v>Sin saldo útil</v>
      </c>
      <c r="R278" s="29">
        <f>Base!X248</f>
        <v>0.007689814496267478</v>
      </c>
      <c r="S278" s="8">
        <f>Base!K248</f>
        <v>0.0</v>
      </c>
      <c r="T278" s="7" t="str">
        <f>Base!M248</f>
        <v>Saldo libre menor a S/ 10,000</v>
      </c>
    </row>
    <row r="279" spans="1:20">
      <c r="A279" s="28">
        <f>SUBTOTAL(103,$B$6:B279)</f>
        <v>245</v>
      </c>
      <c r="B279" s="28">
        <v>125</v>
      </c>
      <c r="C279" s="7" t="s">
        <v>976</v>
      </c>
      <c r="D279" s="8">
        <f>Base!N249</f>
        <v>674368.0</v>
      </c>
      <c r="E279" s="8">
        <f>Base!O249</f>
        <v>173868.0</v>
      </c>
      <c r="F279" s="8">
        <f>D279-E279</f>
        <v>500500.0</v>
      </c>
      <c r="G279" s="8">
        <f>Base!Q249</f>
        <v>97687.86</v>
      </c>
      <c r="H279" s="8">
        <f>D279-G279</f>
        <v>576680.14</v>
      </c>
      <c r="I279" s="29">
        <f>IF(D279=0,0,G279/D279)</f>
        <v>0.14485838592578532</v>
      </c>
      <c r="J279" s="7" t="str">
        <f>Base!AH249</f>
        <v>Contrata / Expediente técnico</v>
      </c>
      <c r="K279" s="28" t="str">
        <f>Base!I249</f>
        <v>Proyecto de inversión</v>
      </c>
      <c r="L279" s="8">
        <f>Base!AA249</f>
        <v>800000.0</v>
      </c>
      <c r="M279" s="8">
        <f>Base!AB249</f>
        <v>8574875.0</v>
      </c>
      <c r="N279" s="8">
        <f>Base!AC249</f>
        <v>0</v>
      </c>
      <c r="O279" s="8">
        <f>Base!AD249</f>
        <v>1000000.0</v>
      </c>
      <c r="P279" s="7">
        <f>IF(Base!AI249="","",Base!AI249)</f>
        <v/>
      </c>
      <c r="Q279" s="28" t="str">
        <f>Base!J249</f>
        <v>Sin saldo útil</v>
      </c>
      <c r="R279" s="29">
        <f>Base!X249</f>
        <v>0.02921397444360336</v>
      </c>
      <c r="S279" s="8">
        <f>Base!K249</f>
        <v>0.0</v>
      </c>
      <c r="T279" s="7" t="str">
        <f>Base!M249</f>
        <v>Saldo libre menor a S/ 10,000</v>
      </c>
    </row>
    <row r="280" spans="1:20">
      <c r="A280" s="28">
        <f>SUBTOTAL(103,$B$6:B280)</f>
        <v>246</v>
      </c>
      <c r="B280" s="28">
        <v>126</v>
      </c>
      <c r="C280" s="7" t="s">
        <v>979</v>
      </c>
      <c r="D280" s="8">
        <f>Base!N250</f>
        <v>520686.0</v>
      </c>
      <c r="E280" s="8">
        <f>Base!O250</f>
        <v>519936.0</v>
      </c>
      <c r="F280" s="8">
        <f>D280-E280</f>
        <v>750.0</v>
      </c>
      <c r="G280" s="8">
        <f>Base!Q250</f>
        <v>468290.95000000007</v>
      </c>
      <c r="H280" s="8">
        <f>D280-G280</f>
        <v>52395.04999999993</v>
      </c>
      <c r="I280" s="29">
        <f>IF(D280=0,0,G280/D280)</f>
        <v>0.899373038645172</v>
      </c>
      <c r="J280" s="7" t="str">
        <f>Base!AH250</f>
        <v>Expediente técnico</v>
      </c>
      <c r="K280" s="28" t="str">
        <f>Base!I250</f>
        <v>Proyecto de inversión</v>
      </c>
      <c r="L280" s="8">
        <f>Base!AA250</f>
        <v>800000.0</v>
      </c>
      <c r="M280" s="8">
        <f>Base!AB250</f>
        <v>5500000.0</v>
      </c>
      <c r="N280" s="8">
        <f>Base!AC250</f>
        <v>0</v>
      </c>
      <c r="O280" s="8">
        <f>Base!AD250</f>
        <v>1000000.0</v>
      </c>
      <c r="P280" s="7">
        <f>IF(Base!AI250="","",Base!AI250)</f>
        <v/>
      </c>
      <c r="Q280" s="28" t="str">
        <f>Base!J250</f>
        <v>Sin saldo útil</v>
      </c>
      <c r="R280" s="29">
        <f>Base!X250</f>
        <v>0.012528096587110724</v>
      </c>
      <c r="S280" s="8">
        <f>Base!K250</f>
        <v>0.0</v>
      </c>
      <c r="T280" s="7" t="str">
        <f>Base!M250</f>
        <v>Saldo libre menor a S/ 10,000</v>
      </c>
    </row>
    <row r="281" spans="1:20">
      <c r="A281" s="28">
        <f>SUBTOTAL(103,$B$6:B281)</f>
        <v>247</v>
      </c>
      <c r="B281" s="28">
        <v>127</v>
      </c>
      <c r="C281" s="7" t="s">
        <v>982</v>
      </c>
      <c r="D281" s="8">
        <f>Base!N251</f>
        <v>321536.0</v>
      </c>
      <c r="E281" s="8">
        <f>Base!O251</f>
        <v>319536.0</v>
      </c>
      <c r="F281" s="8">
        <f>D281-E281</f>
        <v>2000.0</v>
      </c>
      <c r="G281" s="8">
        <f>Base!Q251</f>
        <v>219666.12</v>
      </c>
      <c r="H281" s="8">
        <f>D281-G281</f>
        <v>101869.88</v>
      </c>
      <c r="I281" s="29">
        <f>IF(D281=0,0,G281/D281)</f>
        <v>0.6831773736066878</v>
      </c>
      <c r="J281" s="7" t="str">
        <f>Base!AH251</f>
        <v>Expediente técnico</v>
      </c>
      <c r="K281" s="28" t="str">
        <f>Base!I251</f>
        <v>Proyecto de inversión</v>
      </c>
      <c r="L281" s="8">
        <f>Base!AA251</f>
        <v>157636.0</v>
      </c>
      <c r="M281" s="8">
        <f>Base!AB251</f>
        <v>12958615.0</v>
      </c>
      <c r="N281" s="8">
        <f>Base!AC251</f>
        <v>0</v>
      </c>
      <c r="O281" s="8">
        <f>Base!AD251</f>
        <v>6000000.0</v>
      </c>
      <c r="P281" s="7">
        <f>IF(Base!AI251="","",Base!AI251)</f>
        <v/>
      </c>
      <c r="Q281" s="28" t="str">
        <f>Base!J251</f>
        <v>Sin saldo útil</v>
      </c>
      <c r="R281" s="29">
        <f>Base!X251</f>
        <v>0.005654733556325732</v>
      </c>
      <c r="S281" s="8">
        <f>Base!K251</f>
        <v>0.0</v>
      </c>
      <c r="T281" s="7" t="str">
        <f>Base!M251</f>
        <v>Saldo libre menor a S/ 10,000</v>
      </c>
    </row>
    <row r="282" spans="1:20">
      <c r="A282" s="28">
        <f>SUBTOTAL(103,$B$6:B282)</f>
        <v>248</v>
      </c>
      <c r="B282" s="28">
        <v>129</v>
      </c>
      <c r="C282" s="7" t="s">
        <v>985</v>
      </c>
      <c r="D282" s="8">
        <f>Base!N252</f>
        <v>230847.0</v>
      </c>
      <c r="E282" s="8">
        <f>Base!O252</f>
        <v>230597.0</v>
      </c>
      <c r="F282" s="8">
        <f>D282-E282</f>
        <v>250.0</v>
      </c>
      <c r="G282" s="8">
        <f>Base!Q252</f>
        <v>208045.33000000002</v>
      </c>
      <c r="H282" s="8">
        <f>D282-G282</f>
        <v>22801.669999999984</v>
      </c>
      <c r="I282" s="29">
        <f>IF(D282=0,0,G282/D282)</f>
        <v>0.9012260501544314</v>
      </c>
      <c r="J282" s="7" t="str">
        <f>Base!AH252</f>
        <v>Expediente técnico</v>
      </c>
      <c r="K282" s="28" t="str">
        <f>Base!I252</f>
        <v>Proyecto de inversión</v>
      </c>
      <c r="L282" s="8">
        <f>Base!AA252</f>
        <v>800000.0</v>
      </c>
      <c r="M282" s="8">
        <f>Base!AB252</f>
        <v>0</v>
      </c>
      <c r="N282" s="8">
        <f>Base!AC252</f>
        <v>0</v>
      </c>
      <c r="O282" s="8">
        <f>Base!AD252</f>
        <v>1000000.0</v>
      </c>
      <c r="P282" s="7">
        <f>IF(Base!AI252="","",Base!AI252)</f>
        <v/>
      </c>
      <c r="Q282" s="28" t="str">
        <f>Base!J252</f>
        <v>No mover</v>
      </c>
      <c r="R282" s="29">
        <f>Base!X252</f>
        <v>0.011981258926334715</v>
      </c>
      <c r="S282" s="8">
        <f>Base!K252</f>
        <v>0.0</v>
      </c>
      <c r="T282" s="7" t="str">
        <f>Base!M252</f>
        <v>Devengado 2026 ≥ 90% del PIM</v>
      </c>
    </row>
    <row r="283" spans="1:20">
      <c r="A283" s="28">
        <f>SUBTOTAL(103,$B$6:B283)</f>
        <v>249</v>
      </c>
      <c r="B283" s="28">
        <v>130</v>
      </c>
      <c r="C283" s="7" t="s">
        <v>988</v>
      </c>
      <c r="D283" s="8">
        <f>Base!N253</f>
        <v>349206.0</v>
      </c>
      <c r="E283" s="8">
        <f>Base!O253</f>
        <v>349206.0</v>
      </c>
      <c r="F283" s="8">
        <f>D283-E283</f>
        <v>0.0</v>
      </c>
      <c r="G283" s="8">
        <f>Base!Q253</f>
        <v>281441.1</v>
      </c>
      <c r="H283" s="8">
        <f>D283-G283</f>
        <v>67764.90000000002</v>
      </c>
      <c r="I283" s="29">
        <f>IF(D283=0,0,G283/D283)</f>
        <v>0.8059457741275923</v>
      </c>
      <c r="J283" s="7" t="str">
        <f>Base!AH253</f>
        <v>Expediente técnico</v>
      </c>
      <c r="K283" s="28" t="str">
        <f>Base!I253</f>
        <v>Proyecto de inversión</v>
      </c>
      <c r="L283" s="8">
        <f>Base!AA253</f>
        <v>800000.0</v>
      </c>
      <c r="M283" s="8">
        <f>Base!AB253</f>
        <v>354785.0</v>
      </c>
      <c r="N283" s="8">
        <f>Base!AC253</f>
        <v>0</v>
      </c>
      <c r="O283" s="8">
        <f>Base!AD253</f>
        <v>500000.0</v>
      </c>
      <c r="P283" s="7">
        <f>IF(Base!AI253="","",Base!AI253)</f>
        <v/>
      </c>
      <c r="Q283" s="28" t="str">
        <f>Base!J253</f>
        <v>Sin saldo útil</v>
      </c>
      <c r="R283" s="29">
        <f>Base!X253</f>
        <v>0.04917165246997021</v>
      </c>
      <c r="S283" s="8">
        <f>Base!K253</f>
        <v>0.0</v>
      </c>
      <c r="T283" s="7" t="str">
        <f>Base!M253</f>
        <v>Saldo libre menor a S/ 10,000</v>
      </c>
    </row>
    <row r="284" spans="1:20">
      <c r="A284" s="28">
        <f>SUBTOTAL(103,$B$6:B284)</f>
        <v>250</v>
      </c>
      <c r="B284" s="28">
        <v>131</v>
      </c>
      <c r="C284" s="7" t="s">
        <v>991</v>
      </c>
      <c r="D284" s="8">
        <f>Base!N254</f>
        <v>239379.0</v>
      </c>
      <c r="E284" s="8">
        <f>Base!O254</f>
        <v>211500.0</v>
      </c>
      <c r="F284" s="8">
        <f>D284-E284</f>
        <v>27879.0</v>
      </c>
      <c r="G284" s="8">
        <f>Base!Q254</f>
        <v>95146.6</v>
      </c>
      <c r="H284" s="8">
        <f>D284-G284</f>
        <v>144232.4</v>
      </c>
      <c r="I284" s="29">
        <f>IF(D284=0,0,G284/D284)</f>
        <v>0.3974726270892602</v>
      </c>
      <c r="J284" s="7" t="str">
        <f>Base!AH254</f>
        <v>Expediente técnico</v>
      </c>
      <c r="K284" s="28" t="str">
        <f>Base!I254</f>
        <v>Proyecto de inversión</v>
      </c>
      <c r="L284" s="8">
        <f>Base!AA254</f>
        <v>500000.0</v>
      </c>
      <c r="M284" s="8">
        <f>Base!AB254</f>
        <v>251485.0</v>
      </c>
      <c r="N284" s="8">
        <f>Base!AC254</f>
        <v>0</v>
      </c>
      <c r="O284" s="8">
        <f>Base!AD254</f>
        <v>960621.0</v>
      </c>
      <c r="P284" s="7">
        <f>IF(Base!AI254="","",Base!AI254)</f>
        <v/>
      </c>
      <c r="Q284" s="28" t="str">
        <f>Base!J254</f>
        <v>Sin saldo útil</v>
      </c>
      <c r="R284" s="29">
        <f>Base!X254</f>
        <v>0.019308268750021437</v>
      </c>
      <c r="S284" s="8">
        <f>Base!K254</f>
        <v>0.0</v>
      </c>
      <c r="T284" s="7" t="str">
        <f>Base!M254</f>
        <v>Saldo libre menor a S/ 10,000</v>
      </c>
    </row>
    <row r="285" spans="1:20">
      <c r="A285" s="28">
        <f>SUBTOTAL(103,$B$6:B285)</f>
        <v>251</v>
      </c>
      <c r="B285" s="28">
        <v>132</v>
      </c>
      <c r="C285" s="7" t="s">
        <v>994</v>
      </c>
      <c r="D285" s="8">
        <f>Base!N255</f>
        <v>118786.0</v>
      </c>
      <c r="E285" s="8">
        <f>Base!O255</f>
        <v>112400.0</v>
      </c>
      <c r="F285" s="8">
        <f>D285-E285</f>
        <v>6386.0</v>
      </c>
      <c r="G285" s="8">
        <f>Base!Q255</f>
        <v>76261.18</v>
      </c>
      <c r="H285" s="8">
        <f>D285-G285</f>
        <v>42524.82000000001</v>
      </c>
      <c r="I285" s="29">
        <f>IF(D285=0,0,G285/D285)</f>
        <v>0.642004781708282</v>
      </c>
      <c r="J285" s="7" t="str">
        <f>Base!AH255</f>
        <v>Expediente técnico</v>
      </c>
      <c r="K285" s="28" t="str">
        <f>Base!I255</f>
        <v>Proyecto de inversión</v>
      </c>
      <c r="L285" s="8">
        <f>Base!AA255</f>
        <v>800000.0</v>
      </c>
      <c r="M285" s="8">
        <f>Base!AB255</f>
        <v>854254.0</v>
      </c>
      <c r="N285" s="8">
        <f>Base!AC255</f>
        <v>0</v>
      </c>
      <c r="O285" s="8">
        <f>Base!AD255</f>
        <v>1000000.0</v>
      </c>
      <c r="P285" s="7">
        <f>IF(Base!AI255="","",Base!AI255)</f>
        <v/>
      </c>
      <c r="Q285" s="28" t="str">
        <f>Base!J255</f>
        <v>Sin saldo útil</v>
      </c>
      <c r="R285" s="29">
        <f>Base!X255</f>
        <v>0.017202954289023346</v>
      </c>
      <c r="S285" s="8">
        <f>Base!K255</f>
        <v>0.0</v>
      </c>
      <c r="T285" s="7" t="str">
        <f>Base!M255</f>
        <v>Saldo libre menor a S/ 10,000</v>
      </c>
    </row>
    <row r="286" spans="1:20">
      <c r="A286" s="28">
        <f>SUBTOTAL(103,$B$6:B286)</f>
        <v>252</v>
      </c>
      <c r="B286" s="28">
        <v>133</v>
      </c>
      <c r="C286" s="7" t="s">
        <v>997</v>
      </c>
      <c r="D286" s="8">
        <f>Base!N256</f>
        <v>141416.0</v>
      </c>
      <c r="E286" s="8">
        <f>Base!O256</f>
        <v>141415.61</v>
      </c>
      <c r="F286" s="8">
        <f>D286-E286</f>
        <v>0.39000000001396984</v>
      </c>
      <c r="G286" s="8">
        <f>Base!Q256</f>
        <v>91615.61</v>
      </c>
      <c r="H286" s="8">
        <f>D286-G286</f>
        <v>49800.39</v>
      </c>
      <c r="I286" s="29">
        <f>IF(D286=0,0,G286/D286)</f>
        <v>0.6478447276121514</v>
      </c>
      <c r="J286" s="7" t="str">
        <f>Base!AH256</f>
        <v>Expediente técnico</v>
      </c>
      <c r="K286" s="28" t="str">
        <f>Base!I256</f>
        <v>Proyecto de inversión</v>
      </c>
      <c r="L286" s="8">
        <f>Base!AA256</f>
        <v>583691.0</v>
      </c>
      <c r="M286" s="8">
        <f>Base!AB256</f>
        <v>7526548.0</v>
      </c>
      <c r="N286" s="8">
        <f>Base!AC256</f>
        <v>0</v>
      </c>
      <c r="O286" s="8">
        <f>Base!AD256</f>
        <v>0</v>
      </c>
      <c r="P286" s="7">
        <f>IF(Base!AI256="","",Base!AI256)</f>
        <v/>
      </c>
      <c r="Q286" s="28" t="str">
        <f>Base!J256</f>
        <v>Sin saldo útil</v>
      </c>
      <c r="R286" s="29">
        <f>Base!X256</f>
        <v>0.019932993272046406</v>
      </c>
      <c r="S286" s="8">
        <f>Base!K256</f>
        <v>0.0</v>
      </c>
      <c r="T286" s="7" t="str">
        <f>Base!M256</f>
        <v>Saldo libre menor a S/ 10,000</v>
      </c>
    </row>
    <row r="287" spans="1:20">
      <c r="A287" s="28">
        <f>SUBTOTAL(103,$B$6:B287)</f>
        <v>253</v>
      </c>
      <c r="B287" s="28">
        <v>134</v>
      </c>
      <c r="C287" s="7" t="s">
        <v>1000</v>
      </c>
      <c r="D287" s="8">
        <f>Base!N257</f>
        <v>230550.0</v>
      </c>
      <c r="E287" s="8">
        <f>Base!O257</f>
        <v>189499.0</v>
      </c>
      <c r="F287" s="8">
        <f>D287-E287</f>
        <v>41051.0</v>
      </c>
      <c r="G287" s="8">
        <f>Base!Q257</f>
        <v>146384.22999999998</v>
      </c>
      <c r="H287" s="8">
        <f>D287-G287</f>
        <v>84165.77000000002</v>
      </c>
      <c r="I287" s="29">
        <f>IF(D287=0,0,G287/D287)</f>
        <v>0.6349348514422033</v>
      </c>
      <c r="J287" s="7" t="str">
        <f>Base!AH257</f>
        <v>Expediente técnico</v>
      </c>
      <c r="K287" s="28" t="str">
        <f>Base!I257</f>
        <v>Proyecto de inversión</v>
      </c>
      <c r="L287" s="8">
        <f>Base!AA257</f>
        <v>800000.0</v>
      </c>
      <c r="M287" s="8">
        <f>Base!AB257</f>
        <v>0</v>
      </c>
      <c r="N287" s="8">
        <f>Base!AC257</f>
        <v>0</v>
      </c>
      <c r="O287" s="8">
        <f>Base!AD257</f>
        <v>1000000.0</v>
      </c>
      <c r="P287" s="7">
        <f>IF(Base!AI257="","",Base!AI257)</f>
        <v/>
      </c>
      <c r="Q287" s="28" t="str">
        <f>Base!J257</f>
        <v>Sin saldo útil</v>
      </c>
      <c r="R287" s="29">
        <f>Base!X257</f>
        <v>0.016965591691831067</v>
      </c>
      <c r="S287" s="8">
        <f>Base!K257</f>
        <v>0.0</v>
      </c>
      <c r="T287" s="7" t="str">
        <f>Base!M257</f>
        <v>Saldo libre menor a S/ 10,000</v>
      </c>
    </row>
    <row r="288" spans="1:20">
      <c r="A288" s="28">
        <f>SUBTOTAL(103,$B$6:B288)</f>
        <v>254</v>
      </c>
      <c r="B288" s="28">
        <v>135</v>
      </c>
      <c r="C288" s="7" t="s">
        <v>1003</v>
      </c>
      <c r="D288" s="8">
        <f>Base!N258</f>
        <v>490000.0</v>
      </c>
      <c r="E288" s="8">
        <f>Base!O258</f>
        <v>490000.0</v>
      </c>
      <c r="F288" s="8">
        <f>D288-E288</f>
        <v>0.0</v>
      </c>
      <c r="G288" s="8">
        <f>Base!Q258</f>
        <v>369844.42000000004</v>
      </c>
      <c r="H288" s="8">
        <f>D288-G288</f>
        <v>120155.57999999996</v>
      </c>
      <c r="I288" s="29">
        <f>IF(D288=0,0,G288/D288)</f>
        <v>0.7547845306122449</v>
      </c>
      <c r="J288" s="7" t="str">
        <f>Base!AH258</f>
        <v>Expediente técnico</v>
      </c>
      <c r="K288" s="28" t="str">
        <f>Base!I258</f>
        <v>Proyecto de inversión</v>
      </c>
      <c r="L288" s="8">
        <f>Base!AA258</f>
        <v>50000.0</v>
      </c>
      <c r="M288" s="8">
        <f>Base!AB258</f>
        <v>0</v>
      </c>
      <c r="N288" s="8">
        <f>Base!AC258</f>
        <v>0</v>
      </c>
      <c r="O288" s="8">
        <f>Base!AD258</f>
        <v>0</v>
      </c>
      <c r="P288" s="7">
        <f>IF(Base!AI258="","",Base!AI258)</f>
        <v/>
      </c>
      <c r="Q288" s="28" t="str">
        <f>Base!J258</f>
        <v>Sin saldo útil</v>
      </c>
      <c r="R288" s="29">
        <f>Base!X258</f>
        <v>0.03918965527144288</v>
      </c>
      <c r="S288" s="8">
        <f>Base!K258</f>
        <v>0.0</v>
      </c>
      <c r="T288" s="7" t="str">
        <f>Base!M258</f>
        <v>Saldo libre menor a S/ 10,000</v>
      </c>
    </row>
    <row r="289" spans="1:20">
      <c r="A289" s="28">
        <f>SUBTOTAL(103,$B$6:B289)</f>
        <v>255</v>
      </c>
      <c r="B289" s="28">
        <v>136</v>
      </c>
      <c r="C289" s="7" t="s">
        <v>1006</v>
      </c>
      <c r="D289" s="8">
        <f>Base!N259</f>
        <v>0.0</v>
      </c>
      <c r="E289" s="8">
        <f>Base!O259</f>
        <v>0.0</v>
      </c>
      <c r="F289" s="8">
        <f>D289-E289</f>
        <v>0.0</v>
      </c>
      <c r="G289" s="8">
        <f>Base!Q259</f>
        <v>0.0</v>
      </c>
      <c r="H289" s="8">
        <f>D289-G289</f>
        <v>0.0</v>
      </c>
      <c r="I289" s="29">
        <f>IF(D289=0,0,G289/D289)</f>
        <v>0</v>
      </c>
      <c r="J289" s="7" t="str">
        <f>Base!AH259</f>
        <v>Contrata</v>
      </c>
      <c r="K289" s="28" t="str">
        <f>Base!I259</f>
        <v>Proyecto de inversión</v>
      </c>
      <c r="L289" s="8">
        <f>Base!AA259</f>
        <v>67202.0</v>
      </c>
      <c r="M289" s="8">
        <f>Base!AB259</f>
        <v>0</v>
      </c>
      <c r="N289" s="8">
        <f>Base!AC259</f>
        <v>5000000.0</v>
      </c>
      <c r="O289" s="8">
        <f>Base!AD259</f>
        <v>0</v>
      </c>
      <c r="P289" s="7">
        <f>IF(Base!AI259="","",Base!AI259)</f>
        <v/>
      </c>
      <c r="Q289" s="28" t="str">
        <f>Base!J259</f>
        <v>Sin PIM</v>
      </c>
      <c r="R289" s="29">
        <f>Base!X259</f>
        <v>0.0</v>
      </c>
      <c r="S289" s="8">
        <f>Base!K259</f>
        <v>0.0</v>
      </c>
      <c r="T289" s="7" t="str">
        <f>Base!M259</f>
        <v>PIM igual a 0</v>
      </c>
    </row>
    <row r="290" spans="1:20">
      <c r="A290" s="28">
        <f>SUBTOTAL(103,$B$6:B290)</f>
        <v>256</v>
      </c>
      <c r="B290" s="28">
        <v>137</v>
      </c>
      <c r="C290" s="7" t="s">
        <v>1009</v>
      </c>
      <c r="D290" s="8">
        <f>Base!N260</f>
        <v>601668.0</v>
      </c>
      <c r="E290" s="8">
        <f>Base!O260</f>
        <v>584518.0</v>
      </c>
      <c r="F290" s="8">
        <f>D290-E290</f>
        <v>17150.0</v>
      </c>
      <c r="G290" s="8">
        <f>Base!Q260</f>
        <v>242760.63</v>
      </c>
      <c r="H290" s="8">
        <f>D290-G290</f>
        <v>358907.37</v>
      </c>
      <c r="I290" s="29">
        <f>IF(D290=0,0,G290/D290)</f>
        <v>0.4034793773310198</v>
      </c>
      <c r="J290" s="7" t="str">
        <f>Base!AH260</f>
        <v>Expediente técnico</v>
      </c>
      <c r="K290" s="28" t="str">
        <f>Base!I260</f>
        <v>Proyecto de inversión</v>
      </c>
      <c r="L290" s="8">
        <f>Base!AA260</f>
        <v>50000.0</v>
      </c>
      <c r="M290" s="8">
        <f>Base!AB260</f>
        <v>348574.0</v>
      </c>
      <c r="N290" s="8">
        <f>Base!AC260</f>
        <v>0</v>
      </c>
      <c r="O290" s="8">
        <f>Base!AD260</f>
        <v>800000.0</v>
      </c>
      <c r="P290" s="7">
        <f>IF(Base!AI260="","",Base!AI260)</f>
        <v/>
      </c>
      <c r="Q290" s="28" t="str">
        <f>Base!J260</f>
        <v>Con condiciones</v>
      </c>
      <c r="R290" s="29">
        <f>Base!X260</f>
        <v>0.014354655254429841</v>
      </c>
      <c r="S290" s="8">
        <f>Base!K260</f>
        <v>17150.0</v>
      </c>
      <c r="T290" s="7" t="str">
        <f>Base!M260</f>
        <v>Está programado en el PMI 2026 · Tiene monto en el PMI 2027 (S/ 348,574)</v>
      </c>
    </row>
    <row r="291" spans="1:20">
      <c r="A291" s="28">
        <f>SUBTOTAL(103,$B$6:B291)</f>
        <v>257</v>
      </c>
      <c r="B291" s="28">
        <v>138</v>
      </c>
      <c r="C291" s="7" t="s">
        <v>1013</v>
      </c>
      <c r="D291" s="8">
        <f>Base!N261</f>
        <v>870779.0</v>
      </c>
      <c r="E291" s="8">
        <f>Base!O261</f>
        <v>870779.0</v>
      </c>
      <c r="F291" s="8">
        <f>D291-E291</f>
        <v>0.0</v>
      </c>
      <c r="G291" s="8">
        <f>Base!Q261</f>
        <v>391730.07</v>
      </c>
      <c r="H291" s="8">
        <f>D291-G291</f>
        <v>479048.93</v>
      </c>
      <c r="I291" s="29">
        <f>IF(D291=0,0,G291/D291)</f>
        <v>0.4498616411282312</v>
      </c>
      <c r="J291" s="7" t="str">
        <f>Base!AH261</f>
        <v>Expediente técnico</v>
      </c>
      <c r="K291" s="28" t="str">
        <f>Base!I261</f>
        <v>Proyecto de inversión</v>
      </c>
      <c r="L291" s="8">
        <f>Base!AA261</f>
        <v>50000.0</v>
      </c>
      <c r="M291" s="8">
        <f>Base!AB261</f>
        <v>0</v>
      </c>
      <c r="N291" s="8">
        <f>Base!AC261</f>
        <v>0</v>
      </c>
      <c r="O291" s="8">
        <f>Base!AD261</f>
        <v>1000000.0</v>
      </c>
      <c r="P291" s="7">
        <f>IF(Base!AI261="","",Base!AI261)</f>
        <v/>
      </c>
      <c r="Q291" s="28" t="str">
        <f>Base!J261</f>
        <v>Sin saldo útil</v>
      </c>
      <c r="R291" s="29">
        <f>Base!X261</f>
        <v>0.010344329825686225</v>
      </c>
      <c r="S291" s="8">
        <f>Base!K261</f>
        <v>0.0</v>
      </c>
      <c r="T291" s="7" t="str">
        <f>Base!M261</f>
        <v>Saldo libre menor a S/ 10,000</v>
      </c>
    </row>
    <row r="292" spans="1:20">
      <c r="A292" s="28">
        <f>SUBTOTAL(103,$B$6:B292)</f>
        <v>258</v>
      </c>
      <c r="B292" s="28">
        <v>139</v>
      </c>
      <c r="C292" s="7" t="s">
        <v>1016</v>
      </c>
      <c r="D292" s="8">
        <f>Base!N262</f>
        <v>101523.0</v>
      </c>
      <c r="E292" s="8">
        <f>Base!O262</f>
        <v>99920.23999999999</v>
      </c>
      <c r="F292" s="8">
        <f>D292-E292</f>
        <v>1602.7600000000093</v>
      </c>
      <c r="G292" s="8">
        <f>Base!Q262</f>
        <v>99920.23999999999</v>
      </c>
      <c r="H292" s="8">
        <f>D292-G292</f>
        <v>1602.7600000000093</v>
      </c>
      <c r="I292" s="29">
        <f>IF(D292=0,0,G292/D292)</f>
        <v>0.9842128384701003</v>
      </c>
      <c r="J292" s="7" t="str">
        <f>Base!AH262</f>
        <v>Expediente técnico</v>
      </c>
      <c r="K292" s="28" t="str">
        <f>Base!I262</f>
        <v>Proyecto de inversión</v>
      </c>
      <c r="L292" s="8">
        <f>Base!AA262</f>
        <v>50000.0</v>
      </c>
      <c r="M292" s="8">
        <f>Base!AB262</f>
        <v>2859865.0</v>
      </c>
      <c r="N292" s="8">
        <f>Base!AC262</f>
        <v>0</v>
      </c>
      <c r="O292" s="8">
        <f>Base!AD262</f>
        <v>2881732.0</v>
      </c>
      <c r="P292" s="7">
        <f>IF(Base!AI262="","",Base!AI262)</f>
        <v/>
      </c>
      <c r="Q292" s="28" t="str">
        <f>Base!J262</f>
        <v>No mover</v>
      </c>
      <c r="R292" s="29">
        <f>Base!X262</f>
        <v>0.04486104125952089</v>
      </c>
      <c r="S292" s="8">
        <f>Base!K262</f>
        <v>0.0</v>
      </c>
      <c r="T292" s="7" t="str">
        <f>Base!M262</f>
        <v>Devengado 2026 ≥ 90% del PIM</v>
      </c>
    </row>
    <row r="293" spans="1:20">
      <c r="A293" s="28">
        <f>SUBTOTAL(103,$B$6:B293)</f>
        <v>259</v>
      </c>
      <c r="B293" s="28">
        <v>140</v>
      </c>
      <c r="C293" s="7" t="s">
        <v>1019</v>
      </c>
      <c r="D293" s="8">
        <f>Base!N263</f>
        <v>0.0</v>
      </c>
      <c r="E293" s="8">
        <f>Base!O263</f>
        <v>0.0</v>
      </c>
      <c r="F293" s="8">
        <f>D293-E293</f>
        <v>0.0</v>
      </c>
      <c r="G293" s="8">
        <f>Base!Q263</f>
        <v>0.0</v>
      </c>
      <c r="H293" s="8">
        <f>D293-G293</f>
        <v>0.0</v>
      </c>
      <c r="I293" s="29">
        <f>IF(D293=0,0,G293/D293)</f>
        <v>0</v>
      </c>
      <c r="J293" s="7" t="str">
        <f>Base!AH263</f>
        <v>Contrata</v>
      </c>
      <c r="K293" s="28" t="str">
        <f>Base!I263</f>
        <v>Proyecto de inversión</v>
      </c>
      <c r="L293" s="8">
        <f>Base!AA263</f>
        <v>800000.0</v>
      </c>
      <c r="M293" s="8">
        <f>Base!AB263</f>
        <v>0</v>
      </c>
      <c r="N293" s="8">
        <f>Base!AC263</f>
        <v>0</v>
      </c>
      <c r="O293" s="8">
        <f>Base!AD263</f>
        <v>2500000.0</v>
      </c>
      <c r="P293" s="7">
        <f>IF(Base!AI263="","",Base!AI263)</f>
        <v/>
      </c>
      <c r="Q293" s="28" t="str">
        <f>Base!J263</f>
        <v>Sin PIM</v>
      </c>
      <c r="R293" s="29">
        <f>Base!X263</f>
        <v>0.0</v>
      </c>
      <c r="S293" s="8">
        <f>Base!K263</f>
        <v>0.0</v>
      </c>
      <c r="T293" s="7" t="str">
        <f>Base!M263</f>
        <v>PIM igual a 0</v>
      </c>
    </row>
    <row r="294" spans="1:20">
      <c r="A294" s="28">
        <f>SUBTOTAL(103,$B$6:B294)</f>
        <v>260</v>
      </c>
      <c r="B294" s="28">
        <v>141</v>
      </c>
      <c r="C294" s="7" t="s">
        <v>1022</v>
      </c>
      <c r="D294" s="8">
        <f>Base!N264</f>
        <v>300000.0</v>
      </c>
      <c r="E294" s="8">
        <f>Base!O264</f>
        <v>300000.0</v>
      </c>
      <c r="F294" s="8">
        <f>D294-E294</f>
        <v>0.0</v>
      </c>
      <c r="G294" s="8">
        <f>Base!Q264</f>
        <v>0.0</v>
      </c>
      <c r="H294" s="8">
        <f>D294-G294</f>
        <v>300000.0</v>
      </c>
      <c r="I294" s="29">
        <f>IF(D294=0,0,G294/D294)</f>
        <v>0.0</v>
      </c>
      <c r="J294" s="7" t="str">
        <f>Base!AH264</f>
        <v>Expediente técnico</v>
      </c>
      <c r="K294" s="28" t="str">
        <f>Base!I264</f>
        <v>Proyecto de inversión</v>
      </c>
      <c r="L294" s="8">
        <f>Base!AA264</f>
        <v>50000.0</v>
      </c>
      <c r="M294" s="8">
        <f>Base!AB264</f>
        <v>200000.0</v>
      </c>
      <c r="N294" s="8">
        <f>Base!AC264</f>
        <v>0</v>
      </c>
      <c r="O294" s="8">
        <f>Base!AD264</f>
        <v>2000000.0</v>
      </c>
      <c r="P294" s="7">
        <f>IF(Base!AI264="","",Base!AI264)</f>
        <v/>
      </c>
      <c r="Q294" s="28" t="str">
        <f>Base!J264</f>
        <v>Sin saldo útil</v>
      </c>
      <c r="R294" s="29">
        <f>Base!X264</f>
        <v>0.0</v>
      </c>
      <c r="S294" s="8">
        <f>Base!K264</f>
        <v>0.0</v>
      </c>
      <c r="T294" s="7" t="str">
        <f>Base!M264</f>
        <v>Saldo libre menor a S/ 10,000</v>
      </c>
    </row>
    <row r="295" spans="1:20">
      <c r="A295" s="28">
        <f>SUBTOTAL(103,$B$6:B295)</f>
        <v>261</v>
      </c>
      <c r="B295" s="28">
        <v>142</v>
      </c>
      <c r="C295" s="7" t="s">
        <v>1025</v>
      </c>
      <c r="D295" s="8">
        <f>Base!N265</f>
        <v>330710.0</v>
      </c>
      <c r="E295" s="8">
        <f>Base!O265</f>
        <v>282398.95</v>
      </c>
      <c r="F295" s="8">
        <f>D295-E295</f>
        <v>48311.04999999999</v>
      </c>
      <c r="G295" s="8">
        <f>Base!Q265</f>
        <v>191886.53999999998</v>
      </c>
      <c r="H295" s="8">
        <f>D295-G295</f>
        <v>138823.46000000002</v>
      </c>
      <c r="I295" s="29">
        <f>IF(D295=0,0,G295/D295)</f>
        <v>0.5802259986090532</v>
      </c>
      <c r="J295" s="7" t="str">
        <f>Base!AH265</f>
        <v>Expediente técnico</v>
      </c>
      <c r="K295" s="28" t="str">
        <f>Base!I265</f>
        <v>Proyecto de inversión</v>
      </c>
      <c r="L295" s="8">
        <f>Base!AA265</f>
        <v>50000.0</v>
      </c>
      <c r="M295" s="8">
        <f>Base!AB265</f>
        <v>358745.0</v>
      </c>
      <c r="N295" s="8">
        <f>Base!AC265</f>
        <v>0</v>
      </c>
      <c r="O295" s="8">
        <f>Base!AD265</f>
        <v>200000.0</v>
      </c>
      <c r="P295" s="7">
        <f>IF(Base!AI265="","",Base!AI265)</f>
        <v/>
      </c>
      <c r="Q295" s="28" t="str">
        <f>Base!J265</f>
        <v>Sin saldo útil</v>
      </c>
      <c r="R295" s="29">
        <f>Base!X265</f>
        <v>0.015507463605176488</v>
      </c>
      <c r="S295" s="8">
        <f>Base!K265</f>
        <v>0.0</v>
      </c>
      <c r="T295" s="7" t="str">
        <f>Base!M265</f>
        <v>Saldo libre menor a S/ 10,000</v>
      </c>
    </row>
    <row r="296" spans="1:20">
      <c r="A296" s="28">
        <f>SUBTOTAL(103,$B$6:B296)</f>
        <v>262</v>
      </c>
      <c r="B296" s="28">
        <v>143</v>
      </c>
      <c r="C296" s="7" t="s">
        <v>1028</v>
      </c>
      <c r="D296" s="8">
        <f>Base!N266</f>
        <v>50000.0</v>
      </c>
      <c r="E296" s="8">
        <f>Base!O266</f>
        <v>49980.0</v>
      </c>
      <c r="F296" s="8">
        <f>D296-E296</f>
        <v>20.0</v>
      </c>
      <c r="G296" s="8">
        <f>Base!Q266</f>
        <v>49974.770000000004</v>
      </c>
      <c r="H296" s="8">
        <f>D296-G296</f>
        <v>25.229999999995925</v>
      </c>
      <c r="I296" s="29">
        <f>IF(D296=0,0,G296/D296)</f>
        <v>0.9994954</v>
      </c>
      <c r="J296" s="7" t="str">
        <f>Base!AH266</f>
        <v>Expediente técnico</v>
      </c>
      <c r="K296" s="28" t="str">
        <f>Base!I266</f>
        <v>IOARR</v>
      </c>
      <c r="L296" s="8">
        <f>Base!AA266</f>
        <v>50000.0</v>
      </c>
      <c r="M296" s="8">
        <f>Base!AB266</f>
        <v>1143284.0</v>
      </c>
      <c r="N296" s="8">
        <f>Base!AC266</f>
        <v>37381.0</v>
      </c>
      <c r="O296" s="8">
        <f>Base!AD266</f>
        <v>0</v>
      </c>
      <c r="P296" s="7">
        <f>IF(Base!AI266="","",Base!AI266)</f>
        <v/>
      </c>
      <c r="Q296" s="28" t="str">
        <f>Base!J266</f>
        <v>No mover</v>
      </c>
      <c r="R296" s="29">
        <f>Base!X266</f>
        <v>0.11174602884184638</v>
      </c>
      <c r="S296" s="8">
        <f>Base!K266</f>
        <v>0.0</v>
      </c>
      <c r="T296" s="7" t="str">
        <f>Base!M266</f>
        <v>Devengado 2026 ≥ 90% del PIM</v>
      </c>
    </row>
    <row r="297" spans="1:20">
      <c r="A297" s="28">
        <f>SUBTOTAL(103,$B$6:B297)</f>
        <v>263</v>
      </c>
      <c r="B297" s="28">
        <v>144</v>
      </c>
      <c r="C297" s="7" t="s">
        <v>1031</v>
      </c>
      <c r="D297" s="8">
        <f>Base!N267</f>
        <v>278409.0</v>
      </c>
      <c r="E297" s="8">
        <f>Base!O267</f>
        <v>278409.0</v>
      </c>
      <c r="F297" s="8">
        <f>D297-E297</f>
        <v>0.0</v>
      </c>
      <c r="G297" s="8">
        <f>Base!Q267</f>
        <v>202805.9</v>
      </c>
      <c r="H297" s="8">
        <f>D297-G297</f>
        <v>75603.1</v>
      </c>
      <c r="I297" s="29">
        <f>IF(D297=0,0,G297/D297)</f>
        <v>0.7284459194925451</v>
      </c>
      <c r="J297" s="7" t="str">
        <f>Base!AH267</f>
        <v>Expediente técnico</v>
      </c>
      <c r="K297" s="28" t="str">
        <f>Base!I267</f>
        <v>Proyecto de inversión</v>
      </c>
      <c r="L297" s="8">
        <f>Base!AA267</f>
        <v>50000.0</v>
      </c>
      <c r="M297" s="8">
        <f>Base!AB267</f>
        <v>385474.0</v>
      </c>
      <c r="N297" s="8">
        <f>Base!AC267</f>
        <v>0</v>
      </c>
      <c r="O297" s="8">
        <f>Base!AD267</f>
        <v>5626284.0</v>
      </c>
      <c r="P297" s="7">
        <f>IF(Base!AI267="","",Base!AI267)</f>
        <v/>
      </c>
      <c r="Q297" s="28" t="str">
        <f>Base!J267</f>
        <v>Sin saldo útil</v>
      </c>
      <c r="R297" s="29">
        <f>Base!X267</f>
        <v>0.02867408563729721</v>
      </c>
      <c r="S297" s="8">
        <f>Base!K267</f>
        <v>0.0</v>
      </c>
      <c r="T297" s="7" t="str">
        <f>Base!M267</f>
        <v>Saldo libre menor a S/ 10,000</v>
      </c>
    </row>
    <row r="298" spans="1:20">
      <c r="A298" s="28">
        <f>SUBTOTAL(103,$B$6:B298)</f>
        <v>264</v>
      </c>
      <c r="B298" s="28">
        <v>145</v>
      </c>
      <c r="C298" s="7" t="s">
        <v>1034</v>
      </c>
      <c r="D298" s="8">
        <f>Base!N268</f>
        <v>390297.0</v>
      </c>
      <c r="E298" s="8">
        <f>Base!O268</f>
        <v>389428.6</v>
      </c>
      <c r="F298" s="8">
        <f>D298-E298</f>
        <v>868.4000000000233</v>
      </c>
      <c r="G298" s="8">
        <f>Base!Q268</f>
        <v>251034.11000000002</v>
      </c>
      <c r="H298" s="8">
        <f>D298-G298</f>
        <v>139262.88999999998</v>
      </c>
      <c r="I298" s="29">
        <f>IF(D298=0,0,G298/D298)</f>
        <v>0.643187393190314</v>
      </c>
      <c r="J298" s="7" t="str">
        <f>Base!AH268</f>
        <v>Expediente técnico</v>
      </c>
      <c r="K298" s="28" t="str">
        <f>Base!I268</f>
        <v>Proyecto de inversión</v>
      </c>
      <c r="L298" s="8">
        <f>Base!AA268</f>
        <v>50000.0</v>
      </c>
      <c r="M298" s="8">
        <f>Base!AB268</f>
        <v>0</v>
      </c>
      <c r="N298" s="8">
        <f>Base!AC268</f>
        <v>0</v>
      </c>
      <c r="O298" s="8">
        <f>Base!AD268</f>
        <v>1000000.0</v>
      </c>
      <c r="P298" s="7">
        <f>IF(Base!AI268="","",Base!AI268)</f>
        <v/>
      </c>
      <c r="Q298" s="28" t="str">
        <f>Base!J268</f>
        <v>Sin saldo útil</v>
      </c>
      <c r="R298" s="29">
        <f>Base!X268</f>
        <v>0.002836265367931192</v>
      </c>
      <c r="S298" s="8">
        <f>Base!K268</f>
        <v>0.0</v>
      </c>
      <c r="T298" s="7" t="str">
        <f>Base!M268</f>
        <v>Saldo libre menor a S/ 10,000</v>
      </c>
    </row>
    <row r="299" spans="1:20">
      <c r="A299" s="28">
        <f>SUBTOTAL(103,$B$6:B299)</f>
        <v>265</v>
      </c>
      <c r="B299" s="28">
        <v>146</v>
      </c>
      <c r="C299" s="7" t="s">
        <v>1037</v>
      </c>
      <c r="D299" s="8">
        <f>Base!N269</f>
        <v>159651.0</v>
      </c>
      <c r="E299" s="8">
        <f>Base!O269</f>
        <v>151653.0</v>
      </c>
      <c r="F299" s="8">
        <f>D299-E299</f>
        <v>7998.0</v>
      </c>
      <c r="G299" s="8">
        <f>Base!Q269</f>
        <v>12000.0</v>
      </c>
      <c r="H299" s="8">
        <f>D299-G299</f>
        <v>147651.0</v>
      </c>
      <c r="I299" s="29">
        <f>IF(D299=0,0,G299/D299)</f>
        <v>0.07516395136892347</v>
      </c>
      <c r="J299" s="7" t="str">
        <f>Base!AH269</f>
        <v>Expediente técnico</v>
      </c>
      <c r="K299" s="28" t="str">
        <f>Base!I269</f>
        <v>Proyecto de inversión</v>
      </c>
      <c r="L299" s="8">
        <f>Base!AA269</f>
        <v>50000.0</v>
      </c>
      <c r="M299" s="8">
        <f>Base!AB269</f>
        <v>185425.0</v>
      </c>
      <c r="N299" s="8">
        <f>Base!AC269</f>
        <v>500000.0</v>
      </c>
      <c r="O299" s="8">
        <f>Base!AD269</f>
        <v>1077676.0</v>
      </c>
      <c r="P299" s="7">
        <f>IF(Base!AI269="","",Base!AI269)</f>
        <v/>
      </c>
      <c r="Q299" s="28" t="str">
        <f>Base!J269</f>
        <v>Sin saldo útil</v>
      </c>
      <c r="R299" s="29">
        <f>Base!X269</f>
        <v>0.03986694620025033</v>
      </c>
      <c r="S299" s="8">
        <f>Base!K269</f>
        <v>0.0</v>
      </c>
      <c r="T299" s="7" t="str">
        <f>Base!M269</f>
        <v>Saldo libre menor a S/ 10,000</v>
      </c>
    </row>
    <row r="300" spans="1:20">
      <c r="A300" s="28">
        <f>SUBTOTAL(103,$B$6:B300)</f>
        <v>266</v>
      </c>
      <c r="B300" s="28">
        <v>147</v>
      </c>
      <c r="C300" s="7" t="s">
        <v>1040</v>
      </c>
      <c r="D300" s="8">
        <f>Base!N270</f>
        <v>703231.0</v>
      </c>
      <c r="E300" s="8">
        <f>Base!O270</f>
        <v>681293.0</v>
      </c>
      <c r="F300" s="8">
        <f>D300-E300</f>
        <v>21938.0</v>
      </c>
      <c r="G300" s="8">
        <f>Base!Q270</f>
        <v>575338.63</v>
      </c>
      <c r="H300" s="8">
        <f>D300-G300</f>
        <v>127892.37</v>
      </c>
      <c r="I300" s="29">
        <f>IF(D300=0,0,G300/D300)</f>
        <v>0.8181360463347037</v>
      </c>
      <c r="J300" s="7" t="str">
        <f>Base!AH270</f>
        <v>Expediente técnico</v>
      </c>
      <c r="K300" s="28" t="str">
        <f>Base!I270</f>
        <v>Proyecto de inversión</v>
      </c>
      <c r="L300" s="8">
        <f>Base!AA270</f>
        <v>50000.0</v>
      </c>
      <c r="M300" s="8">
        <f>Base!AB270</f>
        <v>5548752.0</v>
      </c>
      <c r="N300" s="8">
        <f>Base!AC270</f>
        <v>0</v>
      </c>
      <c r="O300" s="8">
        <f>Base!AD270</f>
        <v>1000000.0</v>
      </c>
      <c r="P300" s="7">
        <f>IF(Base!AI270="","",Base!AI270)</f>
        <v/>
      </c>
      <c r="Q300" s="28" t="str">
        <f>Base!J270</f>
        <v>Sin saldo útil</v>
      </c>
      <c r="R300" s="29">
        <f>Base!X270</f>
        <v>0.01875219132356673</v>
      </c>
      <c r="S300" s="8">
        <f>Base!K270</f>
        <v>0.0</v>
      </c>
      <c r="T300" s="7" t="str">
        <f>Base!M270</f>
        <v>Saldo libre menor a S/ 10,000</v>
      </c>
    </row>
    <row r="301" spans="1:20">
      <c r="A301" s="28">
        <f>SUBTOTAL(103,$B$6:B301)</f>
        <v>267</v>
      </c>
      <c r="B301" s="28">
        <v>148</v>
      </c>
      <c r="C301" s="7" t="s">
        <v>1043</v>
      </c>
      <c r="D301" s="8">
        <f>Base!N271</f>
        <v>0.0</v>
      </c>
      <c r="E301" s="8">
        <f>Base!O271</f>
        <v>0.0</v>
      </c>
      <c r="F301" s="8">
        <f>D301-E301</f>
        <v>0.0</v>
      </c>
      <c r="G301" s="8">
        <f>Base!Q271</f>
        <v>0.0</v>
      </c>
      <c r="H301" s="8">
        <f>D301-G301</f>
        <v>0.0</v>
      </c>
      <c r="I301" s="29">
        <f>IF(D301=0,0,G301/D301)</f>
        <v>0</v>
      </c>
      <c r="J301" s="7" t="str">
        <f>Base!AH271</f>
        <v>Contrata</v>
      </c>
      <c r="K301" s="28" t="str">
        <f>Base!I271</f>
        <v>Proyecto de inversión</v>
      </c>
      <c r="L301" s="8">
        <f>Base!AA271</f>
        <v>50000.0</v>
      </c>
      <c r="M301" s="8">
        <f>Base!AB271</f>
        <v>0</v>
      </c>
      <c r="N301" s="8">
        <f>Base!AC271</f>
        <v>0</v>
      </c>
      <c r="O301" s="8">
        <f>Base!AD271</f>
        <v>500000.0</v>
      </c>
      <c r="P301" s="7">
        <f>IF(Base!AI271="","",Base!AI271)</f>
        <v/>
      </c>
      <c r="Q301" s="28" t="str">
        <f>Base!J271</f>
        <v>Sin PIM</v>
      </c>
      <c r="R301" s="29">
        <f>Base!X271</f>
        <v>0.0</v>
      </c>
      <c r="S301" s="8">
        <f>Base!K271</f>
        <v>0.0</v>
      </c>
      <c r="T301" s="7" t="str">
        <f>Base!M271</f>
        <v>PIM igual a 0</v>
      </c>
    </row>
    <row r="302" spans="1:20">
      <c r="A302" s="28">
        <f>SUBTOTAL(103,$B$6:B302)</f>
        <v>268</v>
      </c>
      <c r="B302" s="28">
        <v>149</v>
      </c>
      <c r="C302" s="7" t="s">
        <v>1046</v>
      </c>
      <c r="D302" s="8">
        <f>Base!N272</f>
        <v>275790.0</v>
      </c>
      <c r="E302" s="8">
        <f>Base!O272</f>
        <v>274001.9</v>
      </c>
      <c r="F302" s="8">
        <f>D302-E302</f>
        <v>1788.0999999999767</v>
      </c>
      <c r="G302" s="8">
        <f>Base!Q272</f>
        <v>155654.05000000002</v>
      </c>
      <c r="H302" s="8">
        <f>D302-G302</f>
        <v>120135.94999999998</v>
      </c>
      <c r="I302" s="29">
        <f>IF(D302=0,0,G302/D302)</f>
        <v>0.5643933790202691</v>
      </c>
      <c r="J302" s="7" t="str">
        <f>Base!AH272</f>
        <v>Expediente técnico</v>
      </c>
      <c r="K302" s="28" t="str">
        <f>Base!I272</f>
        <v>Proyecto de inversión</v>
      </c>
      <c r="L302" s="8">
        <f>Base!AA272</f>
        <v>50000.0</v>
      </c>
      <c r="M302" s="8">
        <f>Base!AB272</f>
        <v>357845.0</v>
      </c>
      <c r="N302" s="8">
        <f>Base!AC272</f>
        <v>0</v>
      </c>
      <c r="O302" s="8">
        <f>Base!AD272</f>
        <v>1000000.0</v>
      </c>
      <c r="P302" s="7">
        <f>IF(Base!AI272="","",Base!AI272)</f>
        <v/>
      </c>
      <c r="Q302" s="28" t="str">
        <f>Base!J272</f>
        <v>Sin saldo útil</v>
      </c>
      <c r="R302" s="29">
        <f>Base!X272</f>
        <v>0.03432832253048425</v>
      </c>
      <c r="S302" s="8">
        <f>Base!K272</f>
        <v>0.0</v>
      </c>
      <c r="T302" s="7" t="str">
        <f>Base!M272</f>
        <v>Saldo libre menor a S/ 10,000</v>
      </c>
    </row>
    <row r="303" spans="1:20">
      <c r="A303" s="28">
        <f>SUBTOTAL(103,$B$6:B303)</f>
        <v>269</v>
      </c>
      <c r="B303" s="28">
        <v>150</v>
      </c>
      <c r="C303" s="7" t="s">
        <v>1049</v>
      </c>
      <c r="D303" s="8">
        <f>Base!N273</f>
        <v>255799.0</v>
      </c>
      <c r="E303" s="8">
        <f>Base!O273</f>
        <v>195378.5</v>
      </c>
      <c r="F303" s="8">
        <f>D303-E303</f>
        <v>60420.5</v>
      </c>
      <c r="G303" s="8">
        <f>Base!Q273</f>
        <v>138575.17</v>
      </c>
      <c r="H303" s="8">
        <f>D303-G303</f>
        <v>117223.82999999999</v>
      </c>
      <c r="I303" s="29">
        <f>IF(D303=0,0,G303/D303)</f>
        <v>0.5417346041227683</v>
      </c>
      <c r="J303" s="7" t="str">
        <f>Base!AH273</f>
        <v>Expediente técnico / Contrata</v>
      </c>
      <c r="K303" s="28" t="str">
        <f>Base!I273</f>
        <v>Proyecto de inversión</v>
      </c>
      <c r="L303" s="8">
        <f>Base!AA273</f>
        <v>800000.0</v>
      </c>
      <c r="M303" s="8">
        <f>Base!AB273</f>
        <v>285985.0</v>
      </c>
      <c r="N303" s="8">
        <f>Base!AC273</f>
        <v>0</v>
      </c>
      <c r="O303" s="8">
        <f>Base!AD273</f>
        <v>1000000.0</v>
      </c>
      <c r="P303" s="7">
        <f>IF(Base!AI273="","",Base!AI273)</f>
        <v/>
      </c>
      <c r="Q303" s="28" t="str">
        <f>Base!J273</f>
        <v>Sin saldo útil</v>
      </c>
      <c r="R303" s="29">
        <f>Base!X273</f>
        <v>0.02079294840487226</v>
      </c>
      <c r="S303" s="8">
        <f>Base!K273</f>
        <v>0.0</v>
      </c>
      <c r="T303" s="7" t="str">
        <f>Base!M273</f>
        <v>Saldo libre menor a S/ 10,000</v>
      </c>
    </row>
    <row r="304" spans="1:20">
      <c r="A304" s="28">
        <f>SUBTOTAL(103,$B$6:B304)</f>
        <v>270</v>
      </c>
      <c r="B304" s="28">
        <v>151</v>
      </c>
      <c r="C304" s="7" t="s">
        <v>1052</v>
      </c>
      <c r="D304" s="8">
        <f>Base!N274</f>
        <v>222962.0</v>
      </c>
      <c r="E304" s="8">
        <f>Base!O274</f>
        <v>193349.5</v>
      </c>
      <c r="F304" s="8">
        <f>D304-E304</f>
        <v>29612.5</v>
      </c>
      <c r="G304" s="8">
        <f>Base!Q274</f>
        <v>193266.31000000003</v>
      </c>
      <c r="H304" s="8">
        <f>D304-G304</f>
        <v>29695.689999999973</v>
      </c>
      <c r="I304" s="29">
        <f>IF(D304=0,0,G304/D304)</f>
        <v>0.8668127752711225</v>
      </c>
      <c r="J304" s="7" t="str">
        <f>Base!AH274</f>
        <v>Expediente técnico</v>
      </c>
      <c r="K304" s="28" t="str">
        <f>Base!I274</f>
        <v>Proyecto de inversión</v>
      </c>
      <c r="L304" s="8">
        <f>Base!AA274</f>
        <v>50000.0</v>
      </c>
      <c r="M304" s="8">
        <f>Base!AB274</f>
        <v>248565.0</v>
      </c>
      <c r="N304" s="8">
        <f>Base!AC274</f>
        <v>0</v>
      </c>
      <c r="O304" s="8">
        <f>Base!AD274</f>
        <v>500000.0</v>
      </c>
      <c r="P304" s="7">
        <f>IF(Base!AI274="","",Base!AI274)</f>
        <v/>
      </c>
      <c r="Q304" s="28" t="str">
        <f>Base!J274</f>
        <v>Sin saldo útil</v>
      </c>
      <c r="R304" s="29">
        <f>Base!X274</f>
        <v>0.05425066021745303</v>
      </c>
      <c r="S304" s="8">
        <f>Base!K274</f>
        <v>0.0</v>
      </c>
      <c r="T304" s="7" t="str">
        <f>Base!M274</f>
        <v>Saldo libre menor a S/ 10,000</v>
      </c>
    </row>
    <row r="305" spans="1:20">
      <c r="A305" s="28">
        <f>SUBTOTAL(103,$B$6:B305)</f>
        <v>271</v>
      </c>
      <c r="B305" s="28">
        <v>324</v>
      </c>
      <c r="C305" s="7" t="s">
        <v>258</v>
      </c>
      <c r="D305" s="8">
        <f>Base!N275</f>
        <v>1308901.0</v>
      </c>
      <c r="E305" s="8">
        <f>Base!O275</f>
        <v>1298673.22</v>
      </c>
      <c r="F305" s="8">
        <f>D305-E305</f>
        <v>10227.780000000028</v>
      </c>
      <c r="G305" s="8">
        <f>Base!Q275</f>
        <v>8087.22</v>
      </c>
      <c r="H305" s="8">
        <f>D305-G305</f>
        <v>1300813.78</v>
      </c>
      <c r="I305" s="29">
        <f>IF(D305=0,0,G305/D305)</f>
        <v>0.0061786338309772855</v>
      </c>
      <c r="J305" s="7" t="str">
        <f>Base!AH275</f>
        <v>Contrata / Expediente técnico</v>
      </c>
      <c r="K305" s="28" t="str">
        <f>Base!I275</f>
        <v>Proyecto de inversión</v>
      </c>
      <c r="L305" s="8">
        <f>Base!AA275</f>
        <v>4800690.0</v>
      </c>
      <c r="M305" s="8">
        <f>Base!AB275</f>
        <v>4000000.0</v>
      </c>
      <c r="N305" s="8">
        <f>Base!AC275</f>
        <v>14883202.0</v>
      </c>
      <c r="O305" s="8">
        <f>Base!AD275</f>
        <v>19038629.0</v>
      </c>
      <c r="P305" s="7">
        <f>IF(Base!AI275="","",Base!AI275)</f>
        <v/>
      </c>
      <c r="Q305" s="28" t="str">
        <f>Base!J275</f>
        <v>Sin saldo útil</v>
      </c>
      <c r="R305" s="29">
        <f>Base!X275</f>
        <v>0.7574851915794794</v>
      </c>
      <c r="S305" s="8">
        <f>Base!K275</f>
        <v>0.0</v>
      </c>
      <c r="T305" s="7" t="str">
        <f>Base!M275</f>
        <v>Saldo libre menor a S/ 10,000</v>
      </c>
    </row>
    <row r="306" spans="1:20">
      <c r="A306" s="25" t="s">
        <v>319</v>
      </c>
      <c r="B306" s="25"/>
      <c r="C306" s="25"/>
      <c r="D306" s="26">
        <f>SUM(D307:D310)</f>
        <v>493524.0</v>
      </c>
      <c r="E306" s="26">
        <f>SUM(E307:E310)</f>
        <v>220000.0</v>
      </c>
      <c r="F306" s="26">
        <f>D306-E306</f>
        <v>273524.0</v>
      </c>
      <c r="G306" s="26">
        <f>SUM(G307:G310)</f>
        <v>187967.16</v>
      </c>
      <c r="H306" s="26">
        <f>D306-G306</f>
        <v>305556.83999999997</v>
      </c>
      <c r="I306" s="27">
        <f>IF(D306=0,0,G306/D306)</f>
        <v>0.3808673134437231</v>
      </c>
      <c r="J306" s="25"/>
      <c r="K306" s="25"/>
      <c r="L306" s="25"/>
      <c r="M306" s="25"/>
      <c r="N306" s="25"/>
      <c r="O306" s="25"/>
      <c r="P306" s="25"/>
      <c r="Q306" s="25"/>
      <c r="R306" s="25"/>
      <c r="S306" s="26">
        <f>SUM(S307:S310)</f>
        <v>229217.0</v>
      </c>
      <c r="T306" s="25"/>
    </row>
    <row r="307" spans="1:20">
      <c r="A307" s="28">
        <f>SUBTOTAL(103,$B$6:B307)</f>
        <v>272</v>
      </c>
      <c r="B307" s="28">
        <v>68</v>
      </c>
      <c r="C307" s="7" t="s">
        <v>1056</v>
      </c>
      <c r="D307" s="8">
        <f>Base!N276</f>
        <v>48882.0</v>
      </c>
      <c r="E307" s="8">
        <f>Base!O276</f>
        <v>30000.0</v>
      </c>
      <c r="F307" s="8">
        <f>D307-E307</f>
        <v>18882.0</v>
      </c>
      <c r="G307" s="8">
        <f>Base!Q276</f>
        <v>0.0</v>
      </c>
      <c r="H307" s="8">
        <f>D307-G307</f>
        <v>48882.0</v>
      </c>
      <c r="I307" s="29">
        <f>IF(D307=0,0,G307/D307)</f>
        <v>0.0</v>
      </c>
      <c r="J307" s="7" t="str">
        <f>Base!AH276</f>
        <v>Expediente técnico</v>
      </c>
      <c r="K307" s="28" t="str">
        <f>Base!I276</f>
        <v>IOARR</v>
      </c>
      <c r="L307" s="8">
        <f>Base!AA276</f>
        <v>1515300.0</v>
      </c>
      <c r="M307" s="8">
        <f>Base!AB276</f>
        <v>2254875.0</v>
      </c>
      <c r="N307" s="8">
        <f>Base!AC276</f>
        <v>0</v>
      </c>
      <c r="O307" s="8">
        <f>Base!AD276</f>
        <v>541142.0</v>
      </c>
      <c r="P307" s="7">
        <f>IF(Base!AI276="","",Base!AI276)</f>
        <v/>
      </c>
      <c r="Q307" s="28" t="str">
        <f>Base!J276</f>
        <v>Sin saldo útil</v>
      </c>
      <c r="R307" s="29">
        <f>Base!X276</f>
        <v>0.03275928303352078</v>
      </c>
      <c r="S307" s="8">
        <f>Base!K276</f>
        <v>0.0</v>
      </c>
      <c r="T307" s="7" t="str">
        <f>Base!M276</f>
        <v>Saldo libre menor a S/ 10,000</v>
      </c>
    </row>
    <row r="308" spans="1:20">
      <c r="A308" s="28">
        <f>SUBTOTAL(103,$B$6:B308)</f>
        <v>273</v>
      </c>
      <c r="B308" s="28">
        <v>70</v>
      </c>
      <c r="C308" s="7" t="s">
        <v>1059</v>
      </c>
      <c r="D308" s="8">
        <f>Base!N277</f>
        <v>25425.0</v>
      </c>
      <c r="E308" s="8">
        <f>Base!O277</f>
        <v>0.0</v>
      </c>
      <c r="F308" s="8">
        <f>D308-E308</f>
        <v>25425.0</v>
      </c>
      <c r="G308" s="8">
        <f>Base!Q277</f>
        <v>0.0</v>
      </c>
      <c r="H308" s="8">
        <f>D308-G308</f>
        <v>25425.0</v>
      </c>
      <c r="I308" s="29">
        <f>IF(D308=0,0,G308/D308)</f>
        <v>0.0</v>
      </c>
      <c r="J308" s="7" t="str">
        <f>Base!AH277</f>
        <v>Expediente técnico</v>
      </c>
      <c r="K308" s="28" t="str">
        <f>Base!I277</f>
        <v>IOARR</v>
      </c>
      <c r="L308" s="8">
        <f>Base!AA277</f>
        <v>1893433.0</v>
      </c>
      <c r="M308" s="8">
        <f>Base!AB277</f>
        <v>354254.0</v>
      </c>
      <c r="N308" s="8">
        <f>Base!AC277</f>
        <v>0</v>
      </c>
      <c r="O308" s="8">
        <f>Base!AD277</f>
        <v>3069242.0</v>
      </c>
      <c r="P308" s="7">
        <f>IF(Base!AI277="","",Base!AI277)</f>
        <v/>
      </c>
      <c r="Q308" s="28" t="str">
        <f>Base!J277</f>
        <v>Sin saldo útil</v>
      </c>
      <c r="R308" s="29">
        <f>Base!X277</f>
        <v>0.03256712173973988</v>
      </c>
      <c r="S308" s="8">
        <f>Base!K277</f>
        <v>0.0</v>
      </c>
      <c r="T308" s="7" t="str">
        <f>Base!M277</f>
        <v>Saldo libre menor a S/ 10,000</v>
      </c>
    </row>
    <row r="309" spans="1:20">
      <c r="A309" s="28">
        <f>SUBTOTAL(103,$B$6:B309)</f>
        <v>274</v>
      </c>
      <c r="B309" s="28">
        <v>74</v>
      </c>
      <c r="C309" s="7" t="s">
        <v>1062</v>
      </c>
      <c r="D309" s="8">
        <f>Base!N278</f>
        <v>50000.0</v>
      </c>
      <c r="E309" s="8">
        <f>Base!O278</f>
        <v>50000.0</v>
      </c>
      <c r="F309" s="8">
        <f>D309-E309</f>
        <v>0.0</v>
      </c>
      <c r="G309" s="8">
        <f>Base!Q278</f>
        <v>47967.16</v>
      </c>
      <c r="H309" s="8">
        <f>D309-G309</f>
        <v>2032.8399999999965</v>
      </c>
      <c r="I309" s="29">
        <f>IF(D309=0,0,G309/D309)</f>
        <v>0.9593432000000001</v>
      </c>
      <c r="J309" s="7" t="str">
        <f>Base!AH278</f>
        <v>Expediente técnico</v>
      </c>
      <c r="K309" s="28" t="str">
        <f>Base!I278</f>
        <v>Proyecto de inversión</v>
      </c>
      <c r="L309" s="8">
        <f>Base!AA278</f>
        <v>50000.0</v>
      </c>
      <c r="M309" s="8">
        <f>Base!AB278</f>
        <v>254857.0</v>
      </c>
      <c r="N309" s="8">
        <f>Base!AC278</f>
        <v>0</v>
      </c>
      <c r="O309" s="8">
        <f>Base!AD278</f>
        <v>1000000.0</v>
      </c>
      <c r="P309" s="7">
        <f>IF(Base!AI278="","",Base!AI278)</f>
        <v/>
      </c>
      <c r="Q309" s="28" t="str">
        <f>Base!J278</f>
        <v>No mover</v>
      </c>
      <c r="R309" s="29">
        <f>Base!X278</f>
        <v>0.011797508299200196</v>
      </c>
      <c r="S309" s="8">
        <f>Base!K278</f>
        <v>0.0</v>
      </c>
      <c r="T309" s="7" t="str">
        <f>Base!M278</f>
        <v>Devengado 2026 ≥ 90% del PIM</v>
      </c>
    </row>
    <row r="310" spans="1:20">
      <c r="A310" s="28">
        <f>SUBTOTAL(103,$B$6:B310)</f>
        <v>275</v>
      </c>
      <c r="B310" s="28">
        <v>246</v>
      </c>
      <c r="C310" s="7" t="s">
        <v>1065</v>
      </c>
      <c r="D310" s="8">
        <f>Base!N279</f>
        <v>369217.0</v>
      </c>
      <c r="E310" s="8">
        <f>Base!O279</f>
        <v>140000.0</v>
      </c>
      <c r="F310" s="8">
        <f>D310-E310</f>
        <v>229217.0</v>
      </c>
      <c r="G310" s="8">
        <f>Base!Q279</f>
        <v>140000.0</v>
      </c>
      <c r="H310" s="8">
        <f>D310-G310</f>
        <v>229217.0</v>
      </c>
      <c r="I310" s="29">
        <f>IF(D310=0,0,G310/D310)</f>
        <v>0.3791808069509259</v>
      </c>
      <c r="J310" s="7" t="str">
        <f>Base!AH279</f>
        <v>Expediente técnico / Contrata</v>
      </c>
      <c r="K310" s="28" t="str">
        <f>Base!I279</f>
        <v>Proyecto de inversión</v>
      </c>
      <c r="L310" s="8" t="str">
        <f>Base!AA279</f>
        <v>No registrado en cartera</v>
      </c>
      <c r="M310" s="8" t="str">
        <f>Base!AB279</f>
        <v>No registrado en cartera</v>
      </c>
      <c r="N310" s="8" t="str">
        <f>Base!AC279</f>
        <v>No registrado en cartera</v>
      </c>
      <c r="O310" s="8" t="str">
        <f>Base!AD279</f>
        <v>No registrado en cartera</v>
      </c>
      <c r="P310" s="7">
        <f>IF(Base!AI279="","",Base!AI279)</f>
        <v/>
      </c>
      <c r="Q310" s="28" t="str">
        <f>Base!J279</f>
        <v>Con condiciones</v>
      </c>
      <c r="R310" s="29">
        <f>Base!X279</f>
        <v>0.05368825565380954</v>
      </c>
      <c r="S310" s="8">
        <f>Base!K279</f>
        <v>229217.0</v>
      </c>
      <c r="T310" s="7" t="str">
        <f>Base!M279</f>
        <v>12-B sin programación vigente: validar con la OPMI</v>
      </c>
    </row>
    <row r="311" spans="1:20">
      <c r="A311" s="25" t="s">
        <v>353</v>
      </c>
      <c r="B311" s="25"/>
      <c r="C311" s="25"/>
      <c r="D311" s="26">
        <f>SUM(D312:D314)</f>
        <v>1376515.0</v>
      </c>
      <c r="E311" s="26">
        <f>SUM(E312:E314)</f>
        <v>0.0</v>
      </c>
      <c r="F311" s="26">
        <f>D311-E311</f>
        <v>1376515.0</v>
      </c>
      <c r="G311" s="26">
        <f>SUM(G312:G314)</f>
        <v>0.0</v>
      </c>
      <c r="H311" s="26">
        <f>D311-G311</f>
        <v>1376515.0</v>
      </c>
      <c r="I311" s="27">
        <f>IF(D311=0,0,G311/D311)</f>
        <v>0.0</v>
      </c>
      <c r="J311" s="25"/>
      <c r="K311" s="25"/>
      <c r="L311" s="25"/>
      <c r="M311" s="25"/>
      <c r="N311" s="25"/>
      <c r="O311" s="25"/>
      <c r="P311" s="25"/>
      <c r="Q311" s="25"/>
      <c r="R311" s="25"/>
      <c r="S311" s="26">
        <f>SUM(S312:S314)</f>
        <v>1376515.0</v>
      </c>
      <c r="T311" s="25"/>
    </row>
    <row r="312" spans="1:20">
      <c r="A312" s="28">
        <f>SUBTOTAL(103,$B$6:B312)</f>
        <v>276</v>
      </c>
      <c r="B312" s="28">
        <v>231</v>
      </c>
      <c r="C312" s="7" t="s">
        <v>1069</v>
      </c>
      <c r="D312" s="8">
        <f>Base!N280</f>
        <v>0.0</v>
      </c>
      <c r="E312" s="8">
        <f>Base!O280</f>
        <v>0.0</v>
      </c>
      <c r="F312" s="8">
        <f>D312-E312</f>
        <v>0.0</v>
      </c>
      <c r="G312" s="8">
        <f>Base!Q280</f>
        <v>0.0</v>
      </c>
      <c r="H312" s="8">
        <f>D312-G312</f>
        <v>0.0</v>
      </c>
      <c r="I312" s="29">
        <f>IF(D312=0,0,G312/D312)</f>
        <v>0</v>
      </c>
      <c r="J312" s="7" t="str">
        <f>Base!AH280</f>
        <v>Contrata</v>
      </c>
      <c r="K312" s="28" t="str">
        <f>Base!I280</f>
        <v>Proyecto de inversión</v>
      </c>
      <c r="L312" s="8">
        <f>Base!AA280</f>
        <v>154969.0</v>
      </c>
      <c r="M312" s="8">
        <f>Base!AB280</f>
        <v>0</v>
      </c>
      <c r="N312" s="8">
        <f>Base!AC280</f>
        <v>0</v>
      </c>
      <c r="O312" s="8">
        <f>Base!AD280</f>
        <v>0</v>
      </c>
      <c r="P312" s="7">
        <f>IF(Base!AI280="","",Base!AI280)</f>
        <v/>
      </c>
      <c r="Q312" s="28" t="str">
        <f>Base!J280</f>
        <v>Sin PIM</v>
      </c>
      <c r="R312" s="29">
        <f>Base!X280</f>
        <v>0.9597564784054511</v>
      </c>
      <c r="S312" s="8">
        <f>Base!K280</f>
        <v>0.0</v>
      </c>
      <c r="T312" s="7" t="str">
        <f>Base!M280</f>
        <v>PIM igual a 0</v>
      </c>
    </row>
    <row r="313" spans="1:20">
      <c r="A313" s="28">
        <f>SUBTOTAL(103,$B$6:B313)</f>
        <v>277</v>
      </c>
      <c r="B313" s="28">
        <v>232</v>
      </c>
      <c r="C313" s="7" t="s">
        <v>1072</v>
      </c>
      <c r="D313" s="8">
        <f>Base!N281</f>
        <v>0.0</v>
      </c>
      <c r="E313" s="8">
        <f>Base!O281</f>
        <v>0.0</v>
      </c>
      <c r="F313" s="8">
        <f>D313-E313</f>
        <v>0.0</v>
      </c>
      <c r="G313" s="8">
        <f>Base!Q281</f>
        <v>0.0</v>
      </c>
      <c r="H313" s="8">
        <f>D313-G313</f>
        <v>0.0</v>
      </c>
      <c r="I313" s="29">
        <f>IF(D313=0,0,G313/D313)</f>
        <v>0</v>
      </c>
      <c r="J313" s="7" t="str">
        <f>Base!AH281</f>
        <v>Contrata</v>
      </c>
      <c r="K313" s="28" t="str">
        <f>Base!I281</f>
        <v>Proyecto de inversión</v>
      </c>
      <c r="L313" s="8">
        <f>Base!AA281</f>
        <v>10763553.0</v>
      </c>
      <c r="M313" s="8">
        <f>Base!AB281</f>
        <v>0</v>
      </c>
      <c r="N313" s="8">
        <f>Base!AC281</f>
        <v>0</v>
      </c>
      <c r="O313" s="8">
        <f>Base!AD281</f>
        <v>0</v>
      </c>
      <c r="P313" s="7">
        <f>IF(Base!AI281="","",Base!AI281)</f>
        <v/>
      </c>
      <c r="Q313" s="28" t="str">
        <f>Base!J281</f>
        <v>Sin PIM</v>
      </c>
      <c r="R313" s="29">
        <f>Base!X281</f>
        <v>0.00923792264951893</v>
      </c>
      <c r="S313" s="8">
        <f>Base!K281</f>
        <v>0.0</v>
      </c>
      <c r="T313" s="7" t="str">
        <f>Base!M281</f>
        <v>PIM igual a 0</v>
      </c>
    </row>
    <row r="314" spans="1:20">
      <c r="A314" s="28">
        <f>SUBTOTAL(103,$B$6:B314)</f>
        <v>278</v>
      </c>
      <c r="B314" s="28">
        <v>507</v>
      </c>
      <c r="C314" s="7" t="s">
        <v>1075</v>
      </c>
      <c r="D314" s="8">
        <f>Base!N282</f>
        <v>1376515.0</v>
      </c>
      <c r="E314" s="8">
        <f>Base!O282</f>
        <v>0.0</v>
      </c>
      <c r="F314" s="8">
        <f>D314-E314</f>
        <v>1376515.0</v>
      </c>
      <c r="G314" s="8">
        <f>Base!Q282</f>
        <v>0.0</v>
      </c>
      <c r="H314" s="8">
        <f>D314-G314</f>
        <v>1376515.0</v>
      </c>
      <c r="I314" s="29">
        <f>IF(D314=0,0,G314/D314)</f>
        <v>0.0</v>
      </c>
      <c r="J314" s="7" t="str">
        <f>Base!AH282</f>
        <v>Contrata</v>
      </c>
      <c r="K314" s="28" t="str">
        <f>Base!I282</f>
        <v>Genérico</v>
      </c>
      <c r="L314" s="8" t="str">
        <f>Base!AA282</f>
        <v>No registrado en cartera</v>
      </c>
      <c r="M314" s="8" t="str">
        <f>Base!AB282</f>
        <v>No registrado en cartera</v>
      </c>
      <c r="N314" s="8" t="str">
        <f>Base!AC282</f>
        <v>No registrado en cartera</v>
      </c>
      <c r="O314" s="8" t="str">
        <f>Base!AD282</f>
        <v>No registrado en cartera</v>
      </c>
      <c r="P314" s="7">
        <f>IF(Base!AI282="","",Base!AI282)</f>
        <v/>
      </c>
      <c r="Q314" s="28" t="str">
        <f>Base!J282</f>
        <v>Con condiciones</v>
      </c>
      <c r="R314" s="29" t="str">
        <f>Base!X282</f>
        <v>s/d</v>
      </c>
      <c r="S314" s="8">
        <f>Base!K282</f>
        <v>1376515.0</v>
      </c>
      <c r="T314" s="7" t="str">
        <f>Base!M282</f>
        <v>Sin Formato 12-B: validar con la OPMI</v>
      </c>
    </row>
    <row r="315" spans="1:20">
      <c r="A315" s="25" t="s">
        <v>1078</v>
      </c>
      <c r="B315" s="25"/>
      <c r="C315" s="25"/>
      <c r="D315" s="26">
        <f>SUM(D316:D316)</f>
        <v>46429.0</v>
      </c>
      <c r="E315" s="26">
        <f>SUM(E316:E316)</f>
        <v>0.0</v>
      </c>
      <c r="F315" s="26">
        <f>D315-E315</f>
        <v>46429.0</v>
      </c>
      <c r="G315" s="26">
        <f>SUM(G316:G316)</f>
        <v>0.0</v>
      </c>
      <c r="H315" s="26">
        <f>D315-G315</f>
        <v>46429.0</v>
      </c>
      <c r="I315" s="27">
        <f>IF(D315=0,0,G315/D315)</f>
        <v>0.0</v>
      </c>
      <c r="J315" s="25"/>
      <c r="K315" s="25"/>
      <c r="L315" s="25"/>
      <c r="M315" s="25"/>
      <c r="N315" s="25"/>
      <c r="O315" s="25"/>
      <c r="P315" s="25"/>
      <c r="Q315" s="25"/>
      <c r="R315" s="25"/>
      <c r="S315" s="26">
        <f>SUM(S316:S316)</f>
        <v>0.5100000000020373</v>
      </c>
      <c r="T315" s="25"/>
    </row>
    <row r="316" spans="1:20">
      <c r="A316" s="28">
        <f>SUBTOTAL(103,$B$6:B316)</f>
        <v>279</v>
      </c>
      <c r="B316" s="28">
        <v>225</v>
      </c>
      <c r="C316" s="7" t="s">
        <v>1081</v>
      </c>
      <c r="D316" s="8">
        <f>Base!N283</f>
        <v>46429.0</v>
      </c>
      <c r="E316" s="8">
        <f>Base!O283</f>
        <v>0.0</v>
      </c>
      <c r="F316" s="8">
        <f>D316-E316</f>
        <v>46429.0</v>
      </c>
      <c r="G316" s="8">
        <f>Base!Q283</f>
        <v>0.0</v>
      </c>
      <c r="H316" s="8">
        <f>D316-G316</f>
        <v>46429.0</v>
      </c>
      <c r="I316" s="29">
        <f>IF(D316=0,0,G316/D316)</f>
        <v>0.0</v>
      </c>
      <c r="J316" s="7" t="str">
        <f>Base!AH283</f>
        <v>Contrata</v>
      </c>
      <c r="K316" s="28" t="str">
        <f>Base!I283</f>
        <v>Proyecto de inversión</v>
      </c>
      <c r="L316" s="8">
        <f>Base!AA283</f>
        <v>800000.0</v>
      </c>
      <c r="M316" s="8">
        <f>Base!AB283</f>
        <v>580909.0</v>
      </c>
      <c r="N316" s="8">
        <f>Base!AC283</f>
        <v>800000.0</v>
      </c>
      <c r="O316" s="8">
        <f>Base!AD283</f>
        <v>800000.0</v>
      </c>
      <c r="P316" s="7">
        <f>IF(Base!AI283="","",Base!AI283)</f>
        <v/>
      </c>
      <c r="Q316" s="28" t="str">
        <f>Base!J283</f>
        <v>Sin saldo útil</v>
      </c>
      <c r="R316" s="29">
        <f>Base!X283</f>
        <v>0.02677428187410937</v>
      </c>
      <c r="S316" s="8">
        <f>Base!K283</f>
        <v>0.5100000000020373</v>
      </c>
      <c r="T316" s="7" t="str">
        <f>Base!M283</f>
        <v>Saldo libre menor a S/ 10,000</v>
      </c>
    </row>
    <row r="317" spans="1:20">
      <c r="A317" s="25" t="s">
        <v>1083</v>
      </c>
      <c r="B317" s="25"/>
      <c r="C317" s="25"/>
      <c r="D317" s="26">
        <f>SUM(D318:D318)</f>
        <v>1349649.0</v>
      </c>
      <c r="E317" s="26">
        <f>SUM(E318:E318)</f>
        <v>0.0</v>
      </c>
      <c r="F317" s="26">
        <f>D317-E317</f>
        <v>1349649.0</v>
      </c>
      <c r="G317" s="26">
        <f>SUM(G318:G318)</f>
        <v>0.0</v>
      </c>
      <c r="H317" s="26">
        <f>D317-G317</f>
        <v>1349649.0</v>
      </c>
      <c r="I317" s="27">
        <f>IF(D317=0,0,G317/D317)</f>
        <v>0.0</v>
      </c>
      <c r="J317" s="25"/>
      <c r="K317" s="25"/>
      <c r="L317" s="25"/>
      <c r="M317" s="25"/>
      <c r="N317" s="25"/>
      <c r="O317" s="25"/>
      <c r="P317" s="25"/>
      <c r="Q317" s="25"/>
      <c r="R317" s="25"/>
      <c r="S317" s="26">
        <f>SUM(S318:S318)</f>
        <v>0.0</v>
      </c>
      <c r="T317" s="25"/>
    </row>
    <row r="318" spans="1:20">
      <c r="A318" s="28">
        <f>SUBTOTAL(103,$B$6:B318)</f>
        <v>280</v>
      </c>
      <c r="B318" s="28">
        <v>270</v>
      </c>
      <c r="C318" s="7" t="s">
        <v>1086</v>
      </c>
      <c r="D318" s="8">
        <f>Base!N284</f>
        <v>1349649.0</v>
      </c>
      <c r="E318" s="8">
        <f>Base!O284</f>
        <v>0.0</v>
      </c>
      <c r="F318" s="8">
        <f>D318-E318</f>
        <v>1349649.0</v>
      </c>
      <c r="G318" s="8">
        <f>Base!Q284</f>
        <v>0.0</v>
      </c>
      <c r="H318" s="8">
        <f>D318-G318</f>
        <v>1349649.0</v>
      </c>
      <c r="I318" s="29">
        <f>IF(D318=0,0,G318/D318)</f>
        <v>0.0</v>
      </c>
      <c r="J318" s="7" t="str">
        <f>Base!AH284</f>
        <v>Contrata</v>
      </c>
      <c r="K318" s="28" t="str">
        <f>Base!I284</f>
        <v>Proyecto de inversión</v>
      </c>
      <c r="L318" s="8">
        <f>Base!AA284</f>
        <v>1349649.0</v>
      </c>
      <c r="M318" s="8">
        <f>Base!AB284</f>
        <v>0</v>
      </c>
      <c r="N318" s="8">
        <f>Base!AC284</f>
        <v>0</v>
      </c>
      <c r="O318" s="8">
        <f>Base!AD284</f>
        <v>1000000.0</v>
      </c>
      <c r="P318" s="7">
        <f>IF(Base!AI284="","",Base!AI284)</f>
        <v/>
      </c>
      <c r="Q318" s="28" t="str">
        <f>Base!J284</f>
        <v>Sin saldo útil</v>
      </c>
      <c r="R318" s="29">
        <f>Base!X284</f>
        <v>0.0</v>
      </c>
      <c r="S318" s="8">
        <f>Base!K284</f>
        <v>0.0</v>
      </c>
      <c r="T318" s="7" t="str">
        <f>Base!M284</f>
        <v>Saldo libre menor a S/ 10,000</v>
      </c>
    </row>
    <row r="319" spans="1:20">
      <c r="A319" s="25" t="s">
        <v>1087</v>
      </c>
      <c r="B319" s="25"/>
      <c r="C319" s="25"/>
      <c r="D319" s="26">
        <f>SUM(D320:D320)</f>
        <v>100000.0</v>
      </c>
      <c r="E319" s="26">
        <f>SUM(E320:E320)</f>
        <v>0.0</v>
      </c>
      <c r="F319" s="26">
        <f>D319-E319</f>
        <v>100000.0</v>
      </c>
      <c r="G319" s="26">
        <f>SUM(G320:G320)</f>
        <v>0.0</v>
      </c>
      <c r="H319" s="26">
        <f>D319-G319</f>
        <v>100000.0</v>
      </c>
      <c r="I319" s="27">
        <f>IF(D319=0,0,G319/D319)</f>
        <v>0.0</v>
      </c>
      <c r="J319" s="25"/>
      <c r="K319" s="25"/>
      <c r="L319" s="25"/>
      <c r="M319" s="25"/>
      <c r="N319" s="25"/>
      <c r="O319" s="25"/>
      <c r="P319" s="25"/>
      <c r="Q319" s="25"/>
      <c r="R319" s="25"/>
      <c r="S319" s="26">
        <f>SUM(S320:S320)</f>
        <v>100000.0</v>
      </c>
      <c r="T319" s="25"/>
    </row>
    <row r="320" spans="1:20">
      <c r="A320" s="28">
        <f>SUBTOTAL(103,$B$6:B320)</f>
        <v>281</v>
      </c>
      <c r="B320" s="28">
        <v>153</v>
      </c>
      <c r="C320" s="7" t="s">
        <v>1090</v>
      </c>
      <c r="D320" s="8">
        <f>Base!N285</f>
        <v>100000.0</v>
      </c>
      <c r="E320" s="8">
        <f>Base!O285</f>
        <v>0.0</v>
      </c>
      <c r="F320" s="8">
        <f>D320-E320</f>
        <v>100000.0</v>
      </c>
      <c r="G320" s="8">
        <f>Base!Q285</f>
        <v>0.0</v>
      </c>
      <c r="H320" s="8">
        <f>D320-G320</f>
        <v>100000.0</v>
      </c>
      <c r="I320" s="29">
        <f>IF(D320=0,0,G320/D320)</f>
        <v>0.0</v>
      </c>
      <c r="J320" s="7" t="str">
        <f>Base!AH285</f>
        <v>Contrata</v>
      </c>
      <c r="K320" s="28" t="str">
        <f>Base!I285</f>
        <v>Proyecto de inversión</v>
      </c>
      <c r="L320" s="8" t="str">
        <f>Base!AA285</f>
        <v>No registrado en cartera</v>
      </c>
      <c r="M320" s="8" t="str">
        <f>Base!AB285</f>
        <v>No registrado en cartera</v>
      </c>
      <c r="N320" s="8" t="str">
        <f>Base!AC285</f>
        <v>No registrado en cartera</v>
      </c>
      <c r="O320" s="8" t="str">
        <f>Base!AD285</f>
        <v>No registrado en cartera</v>
      </c>
      <c r="P320" s="7">
        <f>IF(Base!AI285="","",Base!AI285)</f>
        <v/>
      </c>
      <c r="Q320" s="28" t="str">
        <f>Base!J285</f>
        <v>Con condiciones</v>
      </c>
      <c r="R320" s="29">
        <f>Base!X285</f>
        <v>0.0</v>
      </c>
      <c r="S320" s="8">
        <f>Base!K285</f>
        <v>100000.0</v>
      </c>
      <c r="T320" s="7" t="str">
        <f>Base!M285</f>
        <v>Sin Formato 12-B: validar con la OPMI</v>
      </c>
    </row>
    <row r="321" spans="1:20">
      <c r="A321" s="25" t="s">
        <v>1091</v>
      </c>
      <c r="B321" s="25"/>
      <c r="C321" s="25"/>
      <c r="D321" s="26">
        <f>SUM(D322:D322)</f>
        <v>0.0</v>
      </c>
      <c r="E321" s="26">
        <f>SUM(E322:E322)</f>
        <v>0.0</v>
      </c>
      <c r="F321" s="26">
        <f>D321-E321</f>
        <v>0.0</v>
      </c>
      <c r="G321" s="26">
        <f>SUM(G322:G322)</f>
        <v>0.0</v>
      </c>
      <c r="H321" s="26">
        <f>D321-G321</f>
        <v>0.0</v>
      </c>
      <c r="I321" s="27">
        <f>IF(D321=0,0,G321/D321)</f>
        <v>0</v>
      </c>
      <c r="J321" s="25"/>
      <c r="K321" s="25"/>
      <c r="L321" s="25"/>
      <c r="M321" s="25"/>
      <c r="N321" s="25"/>
      <c r="O321" s="25"/>
      <c r="P321" s="25"/>
      <c r="Q321" s="25"/>
      <c r="R321" s="25"/>
      <c r="S321" s="26">
        <f>SUM(S322:S322)</f>
        <v>0.0</v>
      </c>
      <c r="T321" s="25"/>
    </row>
    <row r="322" spans="1:20">
      <c r="A322" s="28">
        <f>SUBTOTAL(103,$B$6:B322)</f>
        <v>282</v>
      </c>
      <c r="B322" s="28">
        <v>236</v>
      </c>
      <c r="C322" s="7" t="s">
        <v>1094</v>
      </c>
      <c r="D322" s="8">
        <f>Base!N286</f>
        <v>0.0</v>
      </c>
      <c r="E322" s="8">
        <f>Base!O286</f>
        <v>0.0</v>
      </c>
      <c r="F322" s="8">
        <f>D322-E322</f>
        <v>0.0</v>
      </c>
      <c r="G322" s="8">
        <f>Base!Q286</f>
        <v>0.0</v>
      </c>
      <c r="H322" s="8">
        <f>D322-G322</f>
        <v>0.0</v>
      </c>
      <c r="I322" s="29">
        <f>IF(D322=0,0,G322/D322)</f>
        <v>0</v>
      </c>
      <c r="J322" s="7" t="str">
        <f>Base!AH286</f>
        <v>Contrata</v>
      </c>
      <c r="K322" s="28" t="str">
        <f>Base!I286</f>
        <v>Proyecto de inversión</v>
      </c>
      <c r="L322" s="8">
        <f>Base!AA286</f>
        <v>250000.0</v>
      </c>
      <c r="M322" s="8">
        <f>Base!AB286</f>
        <v>0</v>
      </c>
      <c r="N322" s="8">
        <f>Base!AC286</f>
        <v>0</v>
      </c>
      <c r="O322" s="8">
        <f>Base!AD286</f>
        <v>0</v>
      </c>
      <c r="P322" s="7">
        <f>IF(Base!AI286="","",Base!AI286)</f>
        <v/>
      </c>
      <c r="Q322" s="28" t="str">
        <f>Base!J286</f>
        <v>Sin PIM</v>
      </c>
      <c r="R322" s="29">
        <f>Base!X286</f>
        <v>0.023912872815032054</v>
      </c>
      <c r="S322" s="8">
        <f>Base!K286</f>
        <v>0.0</v>
      </c>
      <c r="T322" s="7" t="str">
        <f>Base!M286</f>
        <v>PIM igual a 0</v>
      </c>
    </row>
    <row r="323" spans="1:20">
      <c r="A323" s="9" t="s">
        <v>1583</v>
      </c>
      <c r="B323" s="9"/>
      <c r="C323" s="9"/>
      <c r="D323" s="10">
        <f>D324+D326</f>
        <v>501109.0</v>
      </c>
      <c r="E323" s="10">
        <f>E324+E326</f>
        <v>282553.0</v>
      </c>
      <c r="F323" s="10">
        <f>D323-E323</f>
        <v>218556.0</v>
      </c>
      <c r="G323" s="10">
        <f>G324+G326</f>
        <v>0.0</v>
      </c>
      <c r="H323" s="10">
        <f>D323-G323</f>
        <v>501109.0</v>
      </c>
      <c r="I323" s="24">
        <f>IF(D323=0,0,G323/D323)</f>
        <v>0.0</v>
      </c>
      <c r="J323" s="9"/>
      <c r="K323" s="9"/>
      <c r="L323" s="9"/>
      <c r="M323" s="9"/>
      <c r="N323" s="9"/>
      <c r="O323" s="9"/>
      <c r="P323" s="9"/>
      <c r="Q323" s="9"/>
      <c r="R323" s="9"/>
      <c r="S323" s="10">
        <f>S324+S326</f>
        <v>0.0</v>
      </c>
      <c r="T323" s="9"/>
    </row>
    <row r="324" spans="1:20">
      <c r="A324" s="25" t="s">
        <v>78</v>
      </c>
      <c r="B324" s="25"/>
      <c r="C324" s="25"/>
      <c r="D324" s="26">
        <f>SUM(D325:D325)</f>
        <v>282553.0</v>
      </c>
      <c r="E324" s="26">
        <f>SUM(E325:E325)</f>
        <v>282553.0</v>
      </c>
      <c r="F324" s="26">
        <f>D324-E324</f>
        <v>0.0</v>
      </c>
      <c r="G324" s="26">
        <f>SUM(G325:G325)</f>
        <v>0.0</v>
      </c>
      <c r="H324" s="26">
        <f>D324-G324</f>
        <v>282553.0</v>
      </c>
      <c r="I324" s="27">
        <f>IF(D324=0,0,G324/D324)</f>
        <v>0.0</v>
      </c>
      <c r="J324" s="25"/>
      <c r="K324" s="25"/>
      <c r="L324" s="25"/>
      <c r="M324" s="25"/>
      <c r="N324" s="25"/>
      <c r="O324" s="25"/>
      <c r="P324" s="25"/>
      <c r="Q324" s="25"/>
      <c r="R324" s="25"/>
      <c r="S324" s="26">
        <f>SUM(S325:S325)</f>
        <v>0.0</v>
      </c>
      <c r="T324" s="25"/>
    </row>
    <row r="325" spans="1:20">
      <c r="A325" s="28">
        <f>SUBTOTAL(103,$B$6:B325)</f>
        <v>283</v>
      </c>
      <c r="B325" s="28">
        <v>284</v>
      </c>
      <c r="C325" s="7" t="s">
        <v>1586</v>
      </c>
      <c r="D325" s="8">
        <f>Base!N437</f>
        <v>282553.0</v>
      </c>
      <c r="E325" s="8">
        <f>Base!O437</f>
        <v>282553.0</v>
      </c>
      <c r="F325" s="8">
        <f>D325-E325</f>
        <v>0.0</v>
      </c>
      <c r="G325" s="8">
        <f>Base!Q437</f>
        <v>0.0</v>
      </c>
      <c r="H325" s="8">
        <f>D325-G325</f>
        <v>282553.0</v>
      </c>
      <c r="I325" s="29">
        <f>IF(D325=0,0,G325/D325)</f>
        <v>0.0</v>
      </c>
      <c r="J325" s="7" t="str">
        <f>Base!AH437</f>
        <v>Expediente técnico</v>
      </c>
      <c r="K325" s="28" t="str">
        <f>Base!I437</f>
        <v>Proyecto de inversión</v>
      </c>
      <c r="L325" s="8">
        <f>Base!AA437</f>
        <v>50000.0</v>
      </c>
      <c r="M325" s="8">
        <f>Base!AB437</f>
        <v>0</v>
      </c>
      <c r="N325" s="8">
        <f>Base!AC437</f>
        <v>0</v>
      </c>
      <c r="O325" s="8">
        <f>Base!AD437</f>
        <v>1000000.0</v>
      </c>
      <c r="P325" s="7">
        <f>IF(Base!AI437="","",Base!AI437)</f>
        <v/>
      </c>
      <c r="Q325" s="28" t="str">
        <f>Base!J437</f>
        <v>Sin saldo útil</v>
      </c>
      <c r="R325" s="29">
        <f>Base!X437</f>
        <v>0.0</v>
      </c>
      <c r="S325" s="8">
        <f>Base!K437</f>
        <v>0.0</v>
      </c>
      <c r="T325" s="7" t="str">
        <f>Base!M437</f>
        <v>Saldo libre menor a S/ 10,000</v>
      </c>
    </row>
    <row r="326" spans="1:20">
      <c r="A326" s="25" t="s">
        <v>102</v>
      </c>
      <c r="B326" s="25"/>
      <c r="C326" s="25"/>
      <c r="D326" s="26">
        <f>SUM(D327:D327)</f>
        <v>218556.0</v>
      </c>
      <c r="E326" s="26">
        <f>SUM(E327:E327)</f>
        <v>0.0</v>
      </c>
      <c r="F326" s="26">
        <f>D326-E326</f>
        <v>218556.0</v>
      </c>
      <c r="G326" s="26">
        <f>SUM(G327:G327)</f>
        <v>0.0</v>
      </c>
      <c r="H326" s="26">
        <f>D326-G326</f>
        <v>218556.0</v>
      </c>
      <c r="I326" s="27">
        <f>IF(D326=0,0,G326/D326)</f>
        <v>0.0</v>
      </c>
      <c r="J326" s="25"/>
      <c r="K326" s="25"/>
      <c r="L326" s="25"/>
      <c r="M326" s="25"/>
      <c r="N326" s="25"/>
      <c r="O326" s="25"/>
      <c r="P326" s="25"/>
      <c r="Q326" s="25"/>
      <c r="R326" s="25"/>
      <c r="S326" s="26">
        <f>SUM(S327:S327)</f>
        <v>0.0</v>
      </c>
      <c r="T326" s="25"/>
    </row>
    <row r="327" spans="1:20">
      <c r="A327" s="28">
        <f>SUBTOTAL(103,$B$6:B327)</f>
        <v>284</v>
      </c>
      <c r="B327" s="28">
        <v>532</v>
      </c>
      <c r="C327" s="7" t="s">
        <v>1595</v>
      </c>
      <c r="D327" s="8">
        <f>Base!N439</f>
        <v>218556.0</v>
      </c>
      <c r="E327" s="8">
        <f>Base!O439</f>
        <v>0.0</v>
      </c>
      <c r="F327" s="8">
        <f>D327-E327</f>
        <v>218556.0</v>
      </c>
      <c r="G327" s="8">
        <f>Base!Q439</f>
        <v>0.0</v>
      </c>
      <c r="H327" s="8">
        <f>D327-G327</f>
        <v>218556.0</v>
      </c>
      <c r="I327" s="29">
        <f>IF(D327=0,0,G327/D327)</f>
        <v>0.0</v>
      </c>
      <c r="J327" s="7" t="str">
        <f>Base!AH439</f>
        <v>Contrata</v>
      </c>
      <c r="K327" s="28" t="str">
        <f>Base!I439</f>
        <v>Proyecto de inversión</v>
      </c>
      <c r="L327" s="8" t="str">
        <f>Base!AA439</f>
        <v>No registrado en cartera</v>
      </c>
      <c r="M327" s="8" t="str">
        <f>Base!AB439</f>
        <v>No registrado en cartera</v>
      </c>
      <c r="N327" s="8" t="str">
        <f>Base!AC439</f>
        <v>No registrado en cartera</v>
      </c>
      <c r="O327" s="8" t="str">
        <f>Base!AD439</f>
        <v>No registrado en cartera</v>
      </c>
      <c r="P327" s="7">
        <f>IF(Base!AI439="","",Base!AI439)</f>
        <v/>
      </c>
      <c r="Q327" s="28" t="str">
        <f>Base!J439</f>
        <v>Sin saldo útil</v>
      </c>
      <c r="R327" s="29">
        <f>Base!X439</f>
        <v>0.022459673178355517</v>
      </c>
      <c r="S327" s="8">
        <f>Base!K439</f>
        <v>0.0</v>
      </c>
      <c r="T327" s="7" t="str">
        <f>Base!M439</f>
        <v>Saldo libre menor a S/ 10,000</v>
      </c>
    </row>
    <row r="329" spans="1:20">
      <c r="A329" s="30" t="s">
        <v>1743</v>
      </c>
      <c r="B329" s="30"/>
      <c r="C329" s="30"/>
      <c r="D329" s="31">
        <f>D5</f>
        <v>760705923.0</v>
      </c>
      <c r="E329" s="31">
        <f>E5</f>
        <v>713703324.2600001</v>
      </c>
      <c r="F329" s="31">
        <f>D329-E329</f>
        <v>47002598.73999989</v>
      </c>
      <c r="G329" s="31">
        <f>G5</f>
        <v>385954767.56000006</v>
      </c>
      <c r="H329" s="31">
        <f>D329-G329</f>
        <v>374751155.43999994</v>
      </c>
      <c r="I329" s="32">
        <f>IF(D329=0,0,G329/D329)</f>
        <v>0.5073639574645458</v>
      </c>
      <c r="J329" s="30"/>
      <c r="K329" s="30"/>
      <c r="L329" s="30"/>
      <c r="M329" s="30"/>
      <c r="N329" s="30"/>
      <c r="O329" s="30"/>
      <c r="P329" s="30"/>
      <c r="Q329" s="30"/>
      <c r="R329" s="30"/>
      <c r="S329" s="31">
        <f>S5</f>
        <v>6199045.142350399</v>
      </c>
      <c r="T329" s="30"/>
    </row>
  </sheetData>
  <conditionalFormatting sqref="Q5:Q329">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7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19" t="s">
        <v>1744</v>
      </c>
    </row>
    <row r="2" spans="1:20">
      <c r="B2" s="5" t="s">
        <v>1745</v>
      </c>
    </row>
    <row r="4" spans="1:20" ht="44" customHeight="1">
      <c r="A4" s="6" t="s">
        <v>1710</v>
      </c>
      <c r="B4" s="6" t="s">
        <v>1721</v>
      </c>
      <c r="C4" s="6" t="s">
        <v>1722</v>
      </c>
      <c r="D4" s="6" t="s">
        <v>1723</v>
      </c>
      <c r="E4" s="6" t="s">
        <v>1724</v>
      </c>
      <c r="F4" s="6" t="s">
        <v>1725</v>
      </c>
      <c r="G4" s="6" t="s">
        <v>1726</v>
      </c>
      <c r="H4" s="6" t="s">
        <v>1727</v>
      </c>
      <c r="I4" s="6" t="s">
        <v>1728</v>
      </c>
      <c r="J4" s="20" t="s">
        <v>1729</v>
      </c>
      <c r="K4" s="20" t="s">
        <v>1730</v>
      </c>
      <c r="L4" s="20" t="s">
        <v>1731</v>
      </c>
      <c r="M4" s="20" t="s">
        <v>1732</v>
      </c>
      <c r="N4" s="20" t="s">
        <v>1733</v>
      </c>
      <c r="O4" s="20" t="s">
        <v>1734</v>
      </c>
      <c r="P4" s="20" t="s">
        <v>1735</v>
      </c>
      <c r="Q4" s="20" t="s">
        <v>1736</v>
      </c>
      <c r="R4" s="20" t="s">
        <v>1737</v>
      </c>
      <c r="S4" s="20" t="s">
        <v>1738</v>
      </c>
      <c r="T4" s="20" t="s">
        <v>1739</v>
      </c>
    </row>
    <row r="5" spans="1:20">
      <c r="A5" s="21" t="s">
        <v>1096</v>
      </c>
      <c r="B5" s="21"/>
      <c r="C5" s="21"/>
      <c r="D5" s="22">
        <f>D6+D11+D14+D17+D82+D87</f>
        <v>15438088.0</v>
      </c>
      <c r="E5" s="22">
        <f>E6+E11+E14+E17+E82+E87</f>
        <v>13331381.87</v>
      </c>
      <c r="F5" s="22">
        <f>D5-E5</f>
        <v>2106706.130000001</v>
      </c>
      <c r="G5" s="22">
        <f>G6+G11+G14+G17+G82+G87</f>
        <v>6947756.79</v>
      </c>
      <c r="H5" s="22">
        <f>D5-G5</f>
        <v>8490331.21</v>
      </c>
      <c r="I5" s="23">
        <f>IF(D5=0,0,G5/D5)</f>
        <v>0.45003997839628845</v>
      </c>
      <c r="J5" s="21"/>
      <c r="K5" s="21"/>
      <c r="L5" s="21"/>
      <c r="M5" s="21"/>
      <c r="N5" s="21"/>
      <c r="O5" s="21"/>
      <c r="P5" s="21"/>
      <c r="Q5" s="21"/>
      <c r="R5" s="21"/>
      <c r="S5" s="22">
        <f>S6+S11+S14+S17+S82+S87</f>
        <v>1360506.1600000001</v>
      </c>
      <c r="T5" s="21"/>
    </row>
    <row r="6" spans="1:20">
      <c r="A6" s="25" t="s">
        <v>1083</v>
      </c>
      <c r="B6" s="25"/>
      <c r="C6" s="25"/>
      <c r="D6" s="26">
        <f>SUM(D7:D10)</f>
        <v>3137774.0</v>
      </c>
      <c r="E6" s="26">
        <f>SUM(E7:E10)</f>
        <v>2421934.02</v>
      </c>
      <c r="F6" s="26">
        <f>D6-E6</f>
        <v>715839.98</v>
      </c>
      <c r="G6" s="26">
        <f>SUM(G7:G10)</f>
        <v>1602346.3900000001</v>
      </c>
      <c r="H6" s="26">
        <f>D6-G6</f>
        <v>1535427.6099999999</v>
      </c>
      <c r="I6" s="27">
        <f>IF(D6=0,0,G6/D6)</f>
        <v>0.5106634161670025</v>
      </c>
      <c r="J6" s="25"/>
      <c r="K6" s="25"/>
      <c r="L6" s="25"/>
      <c r="M6" s="25"/>
      <c r="N6" s="25"/>
      <c r="O6" s="25"/>
      <c r="P6" s="25"/>
      <c r="Q6" s="25"/>
      <c r="R6" s="25"/>
      <c r="S6" s="26">
        <f>SUM(S7:S10)</f>
        <v>36558.5</v>
      </c>
      <c r="T6" s="25"/>
    </row>
    <row r="7" spans="1:20">
      <c r="A7" s="28">
        <f>SUBTOTAL(103,$B$6:B7)</f>
        <v>1</v>
      </c>
      <c r="B7" s="28">
        <v>20</v>
      </c>
      <c r="C7" s="7" t="s">
        <v>1099</v>
      </c>
      <c r="D7" s="8">
        <f>Base!N287</f>
        <v>2659376.0</v>
      </c>
      <c r="E7" s="8">
        <f>Base!O287</f>
        <v>1980094.52</v>
      </c>
      <c r="F7" s="8">
        <f>D7-E7</f>
        <v>679281.48</v>
      </c>
      <c r="G7" s="8">
        <f>Base!Q287</f>
        <v>1386716.8900000001</v>
      </c>
      <c r="H7" s="8">
        <f>D7-G7</f>
        <v>1272659.1099999999</v>
      </c>
      <c r="I7" s="29">
        <f>IF(D7=0,0,G7/D7)</f>
        <v>0.5214444629116004</v>
      </c>
      <c r="J7" s="7" t="str">
        <f>Base!AH287</f>
        <v>Contrata / Personal/bienes/servicios / Equipamiento</v>
      </c>
      <c r="K7" s="28" t="str">
        <f>Base!I287</f>
        <v>Proyecto de inversión</v>
      </c>
      <c r="L7" s="8">
        <f>Base!AA287</f>
        <v>3659376.0</v>
      </c>
      <c r="M7" s="8">
        <f>Base!AB287</f>
        <v>55933.0</v>
      </c>
      <c r="N7" s="8">
        <f>Base!AC287</f>
        <v>0</v>
      </c>
      <c r="O7" s="8">
        <f>Base!AD287</f>
        <v>1953448.0</v>
      </c>
      <c r="P7" s="7">
        <f>IF(Base!AI287="","",Base!AI287)</f>
        <v/>
      </c>
      <c r="Q7" s="28" t="str">
        <f>Base!J287</f>
        <v>Sin saldo útil</v>
      </c>
      <c r="R7" s="29">
        <f>Base!X287</f>
        <v>0.8234801022953495</v>
      </c>
      <c r="S7" s="8">
        <f>Base!K287</f>
        <v>0.0</v>
      </c>
      <c r="T7" s="7" t="str">
        <f>Base!M287</f>
        <v>Saldo libre menor a S/ 10,000</v>
      </c>
    </row>
    <row r="8" spans="1:20">
      <c r="A8" s="28">
        <f>SUBTOTAL(103,$B$6:B8)</f>
        <v>2</v>
      </c>
      <c r="B8" s="28">
        <v>383</v>
      </c>
      <c r="C8" s="7" t="s">
        <v>1102</v>
      </c>
      <c r="D8" s="8">
        <f>Base!N288</f>
        <v>159946.0</v>
      </c>
      <c r="E8" s="8">
        <f>Base!O288</f>
        <v>154011.0</v>
      </c>
      <c r="F8" s="8">
        <f>D8-E8</f>
        <v>5935.0</v>
      </c>
      <c r="G8" s="8">
        <f>Base!Q288</f>
        <v>60441.0</v>
      </c>
      <c r="H8" s="8">
        <f>D8-G8</f>
        <v>99505.0</v>
      </c>
      <c r="I8" s="29">
        <f>IF(D8=0,0,G8/D8)</f>
        <v>0.3778837857777</v>
      </c>
      <c r="J8" s="7" t="str">
        <f>Base!AH288</f>
        <v>Equipamiento / Contrata</v>
      </c>
      <c r="K8" s="28" t="str">
        <f>Base!I288</f>
        <v>PROCOMPITE</v>
      </c>
      <c r="L8" s="8" t="str">
        <f>Base!AA288</f>
        <v>No registrado en cartera</v>
      </c>
      <c r="M8" s="8" t="str">
        <f>Base!AB288</f>
        <v>No registrado en cartera</v>
      </c>
      <c r="N8" s="8" t="str">
        <f>Base!AC288</f>
        <v>No registrado en cartera</v>
      </c>
      <c r="O8" s="8" t="str">
        <f>Base!AD288</f>
        <v>No registrado en cartera</v>
      </c>
      <c r="P8" s="7">
        <f>IF(Base!AI288="","",Base!AI288)</f>
        <v/>
      </c>
      <c r="Q8" s="28" t="str">
        <f>Base!J288</f>
        <v>Restringido</v>
      </c>
      <c r="R8" s="29" t="str">
        <f>Base!X288</f>
        <v>s/d</v>
      </c>
      <c r="S8" s="8">
        <f>Base!K288</f>
        <v>5935.0</v>
      </c>
      <c r="T8" s="7" t="str">
        <f>Base!M288</f>
        <v>PROCOMPITE</v>
      </c>
    </row>
    <row r="9" spans="1:20">
      <c r="A9" s="28">
        <f>SUBTOTAL(103,$B$6:B9)</f>
        <v>3</v>
      </c>
      <c r="B9" s="28">
        <v>475</v>
      </c>
      <c r="C9" s="7" t="s">
        <v>1109</v>
      </c>
      <c r="D9" s="8">
        <f>Base!N289</f>
        <v>159560.0</v>
      </c>
      <c r="E9" s="8">
        <f>Base!O289</f>
        <v>141270.0</v>
      </c>
      <c r="F9" s="8">
        <f>D9-E9</f>
        <v>18290.0</v>
      </c>
      <c r="G9" s="8">
        <f>Base!Q289</f>
        <v>57830.0</v>
      </c>
      <c r="H9" s="8">
        <f>D9-G9</f>
        <v>101730.0</v>
      </c>
      <c r="I9" s="29">
        <f>IF(D9=0,0,G9/D9)</f>
        <v>0.3624341940335924</v>
      </c>
      <c r="J9" s="7" t="str">
        <f>Base!AH289</f>
        <v>Equipamiento / Contrata</v>
      </c>
      <c r="K9" s="28" t="str">
        <f>Base!I289</f>
        <v>PROCOMPITE</v>
      </c>
      <c r="L9" s="8" t="str">
        <f>Base!AA289</f>
        <v>No registrado en cartera</v>
      </c>
      <c r="M9" s="8" t="str">
        <f>Base!AB289</f>
        <v>No registrado en cartera</v>
      </c>
      <c r="N9" s="8" t="str">
        <f>Base!AC289</f>
        <v>No registrado en cartera</v>
      </c>
      <c r="O9" s="8" t="str">
        <f>Base!AD289</f>
        <v>No registrado en cartera</v>
      </c>
      <c r="P9" s="7">
        <f>IF(Base!AI289="","",Base!AI289)</f>
        <v/>
      </c>
      <c r="Q9" s="28" t="str">
        <f>Base!J289</f>
        <v>Restringido</v>
      </c>
      <c r="R9" s="29" t="str">
        <f>Base!X289</f>
        <v>s/d</v>
      </c>
      <c r="S9" s="8">
        <f>Base!K289</f>
        <v>18290.0</v>
      </c>
      <c r="T9" s="7" t="str">
        <f>Base!M289</f>
        <v>PROCOMPITE</v>
      </c>
    </row>
    <row r="10" spans="1:20">
      <c r="A10" s="28">
        <f>SUBTOTAL(103,$B$6:B10)</f>
        <v>4</v>
      </c>
      <c r="B10" s="28">
        <v>410</v>
      </c>
      <c r="C10" s="7" t="s">
        <v>1112</v>
      </c>
      <c r="D10" s="8">
        <f>Base!N290</f>
        <v>158892.0</v>
      </c>
      <c r="E10" s="8">
        <f>Base!O290</f>
        <v>146558.5</v>
      </c>
      <c r="F10" s="8">
        <f>D10-E10</f>
        <v>12333.5</v>
      </c>
      <c r="G10" s="8">
        <f>Base!Q290</f>
        <v>97358.5</v>
      </c>
      <c r="H10" s="8">
        <f>D10-G10</f>
        <v>61533.5</v>
      </c>
      <c r="I10" s="29">
        <f>IF(D10=0,0,G10/D10)</f>
        <v>0.6127338066107797</v>
      </c>
      <c r="J10" s="7" t="str">
        <f>Base!AH290</f>
        <v>Equipamiento / Contrata</v>
      </c>
      <c r="K10" s="28" t="str">
        <f>Base!I290</f>
        <v>PROCOMPITE</v>
      </c>
      <c r="L10" s="8" t="str">
        <f>Base!AA290</f>
        <v>No registrado en cartera</v>
      </c>
      <c r="M10" s="8" t="str">
        <f>Base!AB290</f>
        <v>No registrado en cartera</v>
      </c>
      <c r="N10" s="8" t="str">
        <f>Base!AC290</f>
        <v>No registrado en cartera</v>
      </c>
      <c r="O10" s="8" t="str">
        <f>Base!AD290</f>
        <v>No registrado en cartera</v>
      </c>
      <c r="P10" s="7">
        <f>IF(Base!AI290="","",Base!AI290)</f>
        <v/>
      </c>
      <c r="Q10" s="28" t="str">
        <f>Base!J290</f>
        <v>Restringido</v>
      </c>
      <c r="R10" s="29" t="str">
        <f>Base!X290</f>
        <v>s/d</v>
      </c>
      <c r="S10" s="8">
        <f>Base!K290</f>
        <v>12333.5</v>
      </c>
      <c r="T10" s="7" t="str">
        <f>Base!M290</f>
        <v>PROCOMPITE</v>
      </c>
    </row>
    <row r="11" spans="1:20">
      <c r="A11" s="25" t="s">
        <v>353</v>
      </c>
      <c r="B11" s="25"/>
      <c r="C11" s="25"/>
      <c r="D11" s="26">
        <f>SUM(D12:D13)</f>
        <v>243160.0</v>
      </c>
      <c r="E11" s="26">
        <f>SUM(E12:E13)</f>
        <v>83160.0</v>
      </c>
      <c r="F11" s="26">
        <f>D11-E11</f>
        <v>160000.0</v>
      </c>
      <c r="G11" s="26">
        <f>SUM(G12:G13)</f>
        <v>83100.4</v>
      </c>
      <c r="H11" s="26">
        <f>D11-G11</f>
        <v>160059.6</v>
      </c>
      <c r="I11" s="27">
        <f>IF(D11=0,0,G11/D11)</f>
        <v>0.34175193288369793</v>
      </c>
      <c r="J11" s="25"/>
      <c r="K11" s="25"/>
      <c r="L11" s="25"/>
      <c r="M11" s="25"/>
      <c r="N11" s="25"/>
      <c r="O11" s="25"/>
      <c r="P11" s="25"/>
      <c r="Q11" s="25"/>
      <c r="R11" s="25"/>
      <c r="S11" s="26">
        <f>SUM(S12:S13)</f>
        <v>160000.0</v>
      </c>
      <c r="T11" s="25"/>
    </row>
    <row r="12" spans="1:20">
      <c r="A12" s="28">
        <f>SUBTOTAL(103,$B$6:B12)</f>
        <v>5</v>
      </c>
      <c r="B12" s="28">
        <v>399</v>
      </c>
      <c r="C12" s="7" t="s">
        <v>1115</v>
      </c>
      <c r="D12" s="8">
        <f>Base!N291</f>
        <v>160000.0</v>
      </c>
      <c r="E12" s="8">
        <f>Base!O291</f>
        <v>0.0</v>
      </c>
      <c r="F12" s="8">
        <f>D12-E12</f>
        <v>160000.0</v>
      </c>
      <c r="G12" s="8">
        <f>Base!Q291</f>
        <v>0.0</v>
      </c>
      <c r="H12" s="8">
        <f>D12-G12</f>
        <v>160000.0</v>
      </c>
      <c r="I12" s="29">
        <f>IF(D12=0,0,G12/D12)</f>
        <v>0.0</v>
      </c>
      <c r="J12" s="7" t="str">
        <f>Base!AH291</f>
        <v>Equipamiento / Contrata</v>
      </c>
      <c r="K12" s="28" t="str">
        <f>Base!I291</f>
        <v>PROCOMPITE</v>
      </c>
      <c r="L12" s="8" t="str">
        <f>Base!AA291</f>
        <v>No registrado en cartera</v>
      </c>
      <c r="M12" s="8" t="str">
        <f>Base!AB291</f>
        <v>No registrado en cartera</v>
      </c>
      <c r="N12" s="8" t="str">
        <f>Base!AC291</f>
        <v>No registrado en cartera</v>
      </c>
      <c r="O12" s="8" t="str">
        <f>Base!AD291</f>
        <v>No registrado en cartera</v>
      </c>
      <c r="P12" s="7">
        <f>IF(Base!AI291="","",Base!AI291)</f>
        <v/>
      </c>
      <c r="Q12" s="28" t="str">
        <f>Base!J291</f>
        <v>Restringido</v>
      </c>
      <c r="R12" s="29" t="str">
        <f>Base!X291</f>
        <v>s/d</v>
      </c>
      <c r="S12" s="8">
        <f>Base!K291</f>
        <v>160000.0</v>
      </c>
      <c r="T12" s="7" t="str">
        <f>Base!M291</f>
        <v>PROCOMPITE</v>
      </c>
    </row>
    <row r="13" spans="1:20">
      <c r="A13" s="28">
        <f>SUBTOTAL(103,$B$6:B13)</f>
        <v>6</v>
      </c>
      <c r="B13" s="28">
        <v>373</v>
      </c>
      <c r="C13" s="7" t="s">
        <v>1118</v>
      </c>
      <c r="D13" s="8">
        <f>Base!N292</f>
        <v>83160.0</v>
      </c>
      <c r="E13" s="8">
        <f>Base!O292</f>
        <v>83160.0</v>
      </c>
      <c r="F13" s="8">
        <f>D13-E13</f>
        <v>0.0</v>
      </c>
      <c r="G13" s="8">
        <f>Base!Q292</f>
        <v>83100.4</v>
      </c>
      <c r="H13" s="8">
        <f>D13-G13</f>
        <v>59.60000000000582</v>
      </c>
      <c r="I13" s="29">
        <f>IF(D13=0,0,G13/D13)</f>
        <v>0.9992833092833092</v>
      </c>
      <c r="J13" s="7" t="str">
        <f>Base!AH292</f>
        <v>Equipamiento</v>
      </c>
      <c r="K13" s="28" t="str">
        <f>Base!I292</f>
        <v>PROCOMPITE</v>
      </c>
      <c r="L13" s="8" t="str">
        <f>Base!AA292</f>
        <v>No registrado en cartera</v>
      </c>
      <c r="M13" s="8" t="str">
        <f>Base!AB292</f>
        <v>No registrado en cartera</v>
      </c>
      <c r="N13" s="8" t="str">
        <f>Base!AC292</f>
        <v>No registrado en cartera</v>
      </c>
      <c r="O13" s="8" t="str">
        <f>Base!AD292</f>
        <v>No registrado en cartera</v>
      </c>
      <c r="P13" s="7">
        <f>IF(Base!AI292="","",Base!AI292)</f>
        <v/>
      </c>
      <c r="Q13" s="28" t="str">
        <f>Base!J292</f>
        <v>No mover</v>
      </c>
      <c r="R13" s="29" t="str">
        <f>Base!X292</f>
        <v>s/d</v>
      </c>
      <c r="S13" s="8">
        <f>Base!K292</f>
        <v>0.0</v>
      </c>
      <c r="T13" s="7" t="str">
        <f>Base!M292</f>
        <v>Devengado 2026 ≥ 90% del PIM</v>
      </c>
    </row>
    <row r="14" spans="1:20">
      <c r="A14" s="25" t="s">
        <v>1078</v>
      </c>
      <c r="B14" s="25"/>
      <c r="C14" s="25"/>
      <c r="D14" s="26">
        <f>SUM(D15:D16)</f>
        <v>1098209.0</v>
      </c>
      <c r="E14" s="26">
        <f>SUM(E15:E16)</f>
        <v>1005406.03</v>
      </c>
      <c r="F14" s="26">
        <f>D14-E14</f>
        <v>92802.96999999997</v>
      </c>
      <c r="G14" s="26">
        <f>SUM(G15:G16)</f>
        <v>686901.76</v>
      </c>
      <c r="H14" s="26">
        <f>D14-G14</f>
        <v>411307.24</v>
      </c>
      <c r="I14" s="27">
        <f>IF(D14=0,0,G14/D14)</f>
        <v>0.6254745317148194</v>
      </c>
      <c r="J14" s="25"/>
      <c r="K14" s="25"/>
      <c r="L14" s="25"/>
      <c r="M14" s="25"/>
      <c r="N14" s="25"/>
      <c r="O14" s="25"/>
      <c r="P14" s="25"/>
      <c r="Q14" s="25"/>
      <c r="R14" s="25"/>
      <c r="S14" s="26">
        <f>SUM(S15:S16)</f>
        <v>92802.96999999997</v>
      </c>
      <c r="T14" s="25"/>
    </row>
    <row r="15" spans="1:20">
      <c r="A15" s="28">
        <f>SUBTOTAL(103,$B$6:B15)</f>
        <v>7</v>
      </c>
      <c r="B15" s="28">
        <v>216</v>
      </c>
      <c r="C15" s="7" t="s">
        <v>1122</v>
      </c>
      <c r="D15" s="8">
        <f>Base!N293</f>
        <v>928209.0</v>
      </c>
      <c r="E15" s="8">
        <f>Base!O293</f>
        <v>910751.03</v>
      </c>
      <c r="F15" s="8">
        <f>D15-E15</f>
        <v>17457.969999999972</v>
      </c>
      <c r="G15" s="8">
        <f>Base!Q293</f>
        <v>642892.52</v>
      </c>
      <c r="H15" s="8">
        <f>D15-G15</f>
        <v>285316.48</v>
      </c>
      <c r="I15" s="29">
        <f>IF(D15=0,0,G15/D15)</f>
        <v>0.6926161241703108</v>
      </c>
      <c r="J15" s="7" t="str">
        <f>Base!AH293</f>
        <v>Estudio de preinversión</v>
      </c>
      <c r="K15" s="28" t="str">
        <f>Base!I293</f>
        <v>Sin dato</v>
      </c>
      <c r="L15" s="8" t="str">
        <f>Base!AA293</f>
        <v>No registrado en cartera</v>
      </c>
      <c r="M15" s="8" t="str">
        <f>Base!AB293</f>
        <v>No registrado en cartera</v>
      </c>
      <c r="N15" s="8" t="str">
        <f>Base!AC293</f>
        <v>No registrado en cartera</v>
      </c>
      <c r="O15" s="8" t="str">
        <f>Base!AD293</f>
        <v>No registrado en cartera</v>
      </c>
      <c r="P15" s="7">
        <f>IF(Base!AI293="","",Base!AI293)</f>
        <v/>
      </c>
      <c r="Q15" s="28" t="str">
        <f>Base!J293</f>
        <v>Bolsa genérica</v>
      </c>
      <c r="R15" s="29" t="str">
        <f>Base!X293</f>
        <v>s/d</v>
      </c>
      <c r="S15" s="8">
        <f>Base!K293</f>
        <v>17457.969999999972</v>
      </c>
      <c r="T15" s="7" t="str">
        <f>Base!M293</f>
        <v>Código genérico (no es una inversión con CUI propio)</v>
      </c>
    </row>
    <row r="16" spans="1:20">
      <c r="A16" s="28">
        <f>SUBTOTAL(103,$B$6:B16)</f>
        <v>8</v>
      </c>
      <c r="B16" s="28">
        <v>493</v>
      </c>
      <c r="C16" s="7" t="s">
        <v>1122</v>
      </c>
      <c r="D16" s="8">
        <f>Base!N294</f>
        <v>170000.0</v>
      </c>
      <c r="E16" s="8">
        <f>Base!O294</f>
        <v>94655.0</v>
      </c>
      <c r="F16" s="8">
        <f>D16-E16</f>
        <v>75345.0</v>
      </c>
      <c r="G16" s="8">
        <f>Base!Q294</f>
        <v>44009.24</v>
      </c>
      <c r="H16" s="8">
        <f>D16-G16</f>
        <v>125990.76000000001</v>
      </c>
      <c r="I16" s="29">
        <f>IF(D16=0,0,G16/D16)</f>
        <v>0.2588778823529412</v>
      </c>
      <c r="J16" s="7" t="str">
        <f>Base!AH294</f>
        <v>Estudio de preinversión</v>
      </c>
      <c r="K16" s="28" t="str">
        <f>Base!I294</f>
        <v>Sin dato</v>
      </c>
      <c r="L16" s="8" t="str">
        <f>Base!AA294</f>
        <v>No registrado en cartera</v>
      </c>
      <c r="M16" s="8" t="str">
        <f>Base!AB294</f>
        <v>No registrado en cartera</v>
      </c>
      <c r="N16" s="8" t="str">
        <f>Base!AC294</f>
        <v>No registrado en cartera</v>
      </c>
      <c r="O16" s="8" t="str">
        <f>Base!AD294</f>
        <v>No registrado en cartera</v>
      </c>
      <c r="P16" s="7">
        <f>IF(Base!AI294="","",Base!AI294)</f>
        <v/>
      </c>
      <c r="Q16" s="28" t="str">
        <f>Base!J294</f>
        <v>Bolsa genérica</v>
      </c>
      <c r="R16" s="29" t="str">
        <f>Base!X294</f>
        <v>s/d</v>
      </c>
      <c r="S16" s="8">
        <f>Base!K294</f>
        <v>75345.0</v>
      </c>
      <c r="T16" s="7" t="str">
        <f>Base!M294</f>
        <v>Código genérico (no es una inversión con CUI propio)</v>
      </c>
    </row>
    <row r="17" spans="1:20">
      <c r="A17" s="25" t="s">
        <v>1128</v>
      </c>
      <c r="B17" s="25"/>
      <c r="C17" s="25"/>
      <c r="D17" s="26">
        <f>SUM(D18:D81)</f>
        <v>8596003.0</v>
      </c>
      <c r="E17" s="26">
        <f>SUM(E18:E81)</f>
        <v>7718163.149999999</v>
      </c>
      <c r="F17" s="26">
        <f>D17-E17</f>
        <v>877839.8500000006</v>
      </c>
      <c r="G17" s="26">
        <f>SUM(G18:G81)</f>
        <v>4006476.24</v>
      </c>
      <c r="H17" s="26">
        <f>D17-G17</f>
        <v>4589526.76</v>
      </c>
      <c r="I17" s="27">
        <f>IF(D17=0,0,G17/D17)</f>
        <v>0.4660859518080671</v>
      </c>
      <c r="J17" s="25"/>
      <c r="K17" s="25"/>
      <c r="L17" s="25"/>
      <c r="M17" s="25"/>
      <c r="N17" s="25"/>
      <c r="O17" s="25"/>
      <c r="P17" s="25"/>
      <c r="Q17" s="25"/>
      <c r="R17" s="25"/>
      <c r="S17" s="26">
        <f>SUM(S18:S81)</f>
        <v>819724.3600000001</v>
      </c>
      <c r="T17" s="25"/>
    </row>
    <row r="18" spans="1:20">
      <c r="A18" s="28">
        <f>SUBTOTAL(103,$B$6:B18)</f>
        <v>9</v>
      </c>
      <c r="B18" s="28">
        <v>418</v>
      </c>
      <c r="C18" s="7" t="s">
        <v>1131</v>
      </c>
      <c r="D18" s="8">
        <f>Base!N295</f>
        <v>350000.0</v>
      </c>
      <c r="E18" s="8">
        <f>Base!O295</f>
        <v>334060.0</v>
      </c>
      <c r="F18" s="8">
        <f>D18-E18</f>
        <v>15940.0</v>
      </c>
      <c r="G18" s="8">
        <f>Base!Q295</f>
        <v>65360.0</v>
      </c>
      <c r="H18" s="8">
        <f>D18-G18</f>
        <v>284640.0</v>
      </c>
      <c r="I18" s="29">
        <f>IF(D18=0,0,G18/D18)</f>
        <v>0.18674285714285715</v>
      </c>
      <c r="J18" s="7" t="str">
        <f>Base!AH295</f>
        <v>Equipamiento / Contrata</v>
      </c>
      <c r="K18" s="28" t="str">
        <f>Base!I295</f>
        <v>PROCOMPITE</v>
      </c>
      <c r="L18" s="8" t="str">
        <f>Base!AA295</f>
        <v>No registrado en cartera</v>
      </c>
      <c r="M18" s="8" t="str">
        <f>Base!AB295</f>
        <v>No registrado en cartera</v>
      </c>
      <c r="N18" s="8" t="str">
        <f>Base!AC295</f>
        <v>No registrado en cartera</v>
      </c>
      <c r="O18" s="8" t="str">
        <f>Base!AD295</f>
        <v>No registrado en cartera</v>
      </c>
      <c r="P18" s="7">
        <f>IF(Base!AI295="","",Base!AI295)</f>
        <v/>
      </c>
      <c r="Q18" s="28" t="str">
        <f>Base!J295</f>
        <v>Restringido</v>
      </c>
      <c r="R18" s="29" t="str">
        <f>Base!X295</f>
        <v>s/d</v>
      </c>
      <c r="S18" s="8">
        <f>Base!K295</f>
        <v>15940.0</v>
      </c>
      <c r="T18" s="7" t="str">
        <f>Base!M295</f>
        <v>PROCOMPITE</v>
      </c>
    </row>
    <row r="19" spans="1:20">
      <c r="A19" s="28">
        <f>SUBTOTAL(103,$B$6:B19)</f>
        <v>10</v>
      </c>
      <c r="B19" s="28">
        <v>424</v>
      </c>
      <c r="C19" s="7" t="s">
        <v>1134</v>
      </c>
      <c r="D19" s="8">
        <f>Base!N296</f>
        <v>349950.0</v>
      </c>
      <c r="E19" s="8">
        <f>Base!O296</f>
        <v>287705.0</v>
      </c>
      <c r="F19" s="8">
        <f>D19-E19</f>
        <v>62245.0</v>
      </c>
      <c r="G19" s="8">
        <f>Base!Q296</f>
        <v>136062.0</v>
      </c>
      <c r="H19" s="8">
        <f>D19-G19</f>
        <v>213888.0</v>
      </c>
      <c r="I19" s="29">
        <f>IF(D19=0,0,G19/D19)</f>
        <v>0.3888041148735534</v>
      </c>
      <c r="J19" s="7" t="str">
        <f>Base!AH296</f>
        <v>Equipamiento / Contrata</v>
      </c>
      <c r="K19" s="28" t="str">
        <f>Base!I296</f>
        <v>PROCOMPITE</v>
      </c>
      <c r="L19" s="8" t="str">
        <f>Base!AA296</f>
        <v>No registrado en cartera</v>
      </c>
      <c r="M19" s="8" t="str">
        <f>Base!AB296</f>
        <v>No registrado en cartera</v>
      </c>
      <c r="N19" s="8" t="str">
        <f>Base!AC296</f>
        <v>No registrado en cartera</v>
      </c>
      <c r="O19" s="8" t="str">
        <f>Base!AD296</f>
        <v>No registrado en cartera</v>
      </c>
      <c r="P19" s="7">
        <f>IF(Base!AI296="","",Base!AI296)</f>
        <v/>
      </c>
      <c r="Q19" s="28" t="str">
        <f>Base!J296</f>
        <v>Restringido</v>
      </c>
      <c r="R19" s="29" t="str">
        <f>Base!X296</f>
        <v>s/d</v>
      </c>
      <c r="S19" s="8">
        <f>Base!K296</f>
        <v>62245.0</v>
      </c>
      <c r="T19" s="7" t="str">
        <f>Base!M296</f>
        <v>PROCOMPITE</v>
      </c>
    </row>
    <row r="20" spans="1:20">
      <c r="A20" s="28">
        <f>SUBTOTAL(103,$B$6:B20)</f>
        <v>11</v>
      </c>
      <c r="B20" s="28">
        <v>413</v>
      </c>
      <c r="C20" s="7" t="s">
        <v>1137</v>
      </c>
      <c r="D20" s="8">
        <f>Base!N297</f>
        <v>349899.0</v>
      </c>
      <c r="E20" s="8">
        <f>Base!O297</f>
        <v>307070.0</v>
      </c>
      <c r="F20" s="8">
        <f>D20-E20</f>
        <v>42829.0</v>
      </c>
      <c r="G20" s="8">
        <f>Base!Q297</f>
        <v>10500.0</v>
      </c>
      <c r="H20" s="8">
        <f>D20-G20</f>
        <v>339399.0</v>
      </c>
      <c r="I20" s="29">
        <f>IF(D20=0,0,G20/D20)</f>
        <v>0.030008659641782343</v>
      </c>
      <c r="J20" s="7" t="str">
        <f>Base!AH297</f>
        <v>Equipamiento / Contrata</v>
      </c>
      <c r="K20" s="28" t="str">
        <f>Base!I297</f>
        <v>PROCOMPITE</v>
      </c>
      <c r="L20" s="8" t="str">
        <f>Base!AA297</f>
        <v>No registrado en cartera</v>
      </c>
      <c r="M20" s="8" t="str">
        <f>Base!AB297</f>
        <v>No registrado en cartera</v>
      </c>
      <c r="N20" s="8" t="str">
        <f>Base!AC297</f>
        <v>No registrado en cartera</v>
      </c>
      <c r="O20" s="8" t="str">
        <f>Base!AD297</f>
        <v>No registrado en cartera</v>
      </c>
      <c r="P20" s="7">
        <f>IF(Base!AI297="","",Base!AI297)</f>
        <v/>
      </c>
      <c r="Q20" s="28" t="str">
        <f>Base!J297</f>
        <v>Restringido</v>
      </c>
      <c r="R20" s="29" t="str">
        <f>Base!X297</f>
        <v>s/d</v>
      </c>
      <c r="S20" s="8">
        <f>Base!K297</f>
        <v>42829.0</v>
      </c>
      <c r="T20" s="7" t="str">
        <f>Base!M297</f>
        <v>PROCOMPITE</v>
      </c>
    </row>
    <row r="21" spans="1:20">
      <c r="A21" s="28">
        <f>SUBTOTAL(103,$B$6:B21)</f>
        <v>12</v>
      </c>
      <c r="B21" s="28">
        <v>394</v>
      </c>
      <c r="C21" s="7" t="s">
        <v>1140</v>
      </c>
      <c r="D21" s="8">
        <f>Base!N298</f>
        <v>349792.0</v>
      </c>
      <c r="E21" s="8">
        <f>Base!O298</f>
        <v>321500.0</v>
      </c>
      <c r="F21" s="8">
        <f>D21-E21</f>
        <v>28292.0</v>
      </c>
      <c r="G21" s="8">
        <f>Base!Q298</f>
        <v>0.0</v>
      </c>
      <c r="H21" s="8">
        <f>D21-G21</f>
        <v>349792.0</v>
      </c>
      <c r="I21" s="29">
        <f>IF(D21=0,0,G21/D21)</f>
        <v>0.0</v>
      </c>
      <c r="J21" s="7" t="str">
        <f>Base!AH298</f>
        <v>Equipamiento / Contrata</v>
      </c>
      <c r="K21" s="28" t="str">
        <f>Base!I298</f>
        <v>PROCOMPITE</v>
      </c>
      <c r="L21" s="8" t="str">
        <f>Base!AA298</f>
        <v>No registrado en cartera</v>
      </c>
      <c r="M21" s="8" t="str">
        <f>Base!AB298</f>
        <v>No registrado en cartera</v>
      </c>
      <c r="N21" s="8" t="str">
        <f>Base!AC298</f>
        <v>No registrado en cartera</v>
      </c>
      <c r="O21" s="8" t="str">
        <f>Base!AD298</f>
        <v>No registrado en cartera</v>
      </c>
      <c r="P21" s="7">
        <f>IF(Base!AI298="","",Base!AI298)</f>
        <v/>
      </c>
      <c r="Q21" s="28" t="str">
        <f>Base!J298</f>
        <v>Restringido</v>
      </c>
      <c r="R21" s="29" t="str">
        <f>Base!X298</f>
        <v>s/d</v>
      </c>
      <c r="S21" s="8">
        <f>Base!K298</f>
        <v>28292.0</v>
      </c>
      <c r="T21" s="7" t="str">
        <f>Base!M298</f>
        <v>PROCOMPITE</v>
      </c>
    </row>
    <row r="22" spans="1:20">
      <c r="A22" s="28">
        <f>SUBTOTAL(103,$B$6:B22)</f>
        <v>13</v>
      </c>
      <c r="B22" s="28">
        <v>408</v>
      </c>
      <c r="C22" s="7" t="s">
        <v>1143</v>
      </c>
      <c r="D22" s="8">
        <f>Base!N299</f>
        <v>349792.0</v>
      </c>
      <c r="E22" s="8">
        <f>Base!O299</f>
        <v>329100.0</v>
      </c>
      <c r="F22" s="8">
        <f>D22-E22</f>
        <v>20692.0</v>
      </c>
      <c r="G22" s="8">
        <f>Base!Q299</f>
        <v>0.0</v>
      </c>
      <c r="H22" s="8">
        <f>D22-G22</f>
        <v>349792.0</v>
      </c>
      <c r="I22" s="29">
        <f>IF(D22=0,0,G22/D22)</f>
        <v>0.0</v>
      </c>
      <c r="J22" s="7" t="str">
        <f>Base!AH299</f>
        <v>Equipamiento / Contrata</v>
      </c>
      <c r="K22" s="28" t="str">
        <f>Base!I299</f>
        <v>PROCOMPITE</v>
      </c>
      <c r="L22" s="8" t="str">
        <f>Base!AA299</f>
        <v>No registrado en cartera</v>
      </c>
      <c r="M22" s="8" t="str">
        <f>Base!AB299</f>
        <v>No registrado en cartera</v>
      </c>
      <c r="N22" s="8" t="str">
        <f>Base!AC299</f>
        <v>No registrado en cartera</v>
      </c>
      <c r="O22" s="8" t="str">
        <f>Base!AD299</f>
        <v>No registrado en cartera</v>
      </c>
      <c r="P22" s="7">
        <f>IF(Base!AI299="","",Base!AI299)</f>
        <v/>
      </c>
      <c r="Q22" s="28" t="str">
        <f>Base!J299</f>
        <v>Restringido</v>
      </c>
      <c r="R22" s="29" t="str">
        <f>Base!X299</f>
        <v>s/d</v>
      </c>
      <c r="S22" s="8">
        <f>Base!K299</f>
        <v>20692.0</v>
      </c>
      <c r="T22" s="7" t="str">
        <f>Base!M299</f>
        <v>PROCOMPITE</v>
      </c>
    </row>
    <row r="23" spans="1:20">
      <c r="A23" s="28">
        <f>SUBTOTAL(103,$B$6:B23)</f>
        <v>14</v>
      </c>
      <c r="B23" s="28">
        <v>421</v>
      </c>
      <c r="C23" s="7" t="s">
        <v>1146</v>
      </c>
      <c r="D23" s="8">
        <f>Base!N300</f>
        <v>346711.0</v>
      </c>
      <c r="E23" s="8">
        <f>Base!O300</f>
        <v>318955.0</v>
      </c>
      <c r="F23" s="8">
        <f>D23-E23</f>
        <v>27756.0</v>
      </c>
      <c r="G23" s="8">
        <f>Base!Q300</f>
        <v>112190.0</v>
      </c>
      <c r="H23" s="8">
        <f>D23-G23</f>
        <v>234521.0</v>
      </c>
      <c r="I23" s="29">
        <f>IF(D23=0,0,G23/D23)</f>
        <v>0.3235836186333863</v>
      </c>
      <c r="J23" s="7" t="str">
        <f>Base!AH300</f>
        <v>Equipamiento / Contrata</v>
      </c>
      <c r="K23" s="28" t="str">
        <f>Base!I300</f>
        <v>PROCOMPITE</v>
      </c>
      <c r="L23" s="8" t="str">
        <f>Base!AA300</f>
        <v>No registrado en cartera</v>
      </c>
      <c r="M23" s="8" t="str">
        <f>Base!AB300</f>
        <v>No registrado en cartera</v>
      </c>
      <c r="N23" s="8" t="str">
        <f>Base!AC300</f>
        <v>No registrado en cartera</v>
      </c>
      <c r="O23" s="8" t="str">
        <f>Base!AD300</f>
        <v>No registrado en cartera</v>
      </c>
      <c r="P23" s="7">
        <f>IF(Base!AI300="","",Base!AI300)</f>
        <v/>
      </c>
      <c r="Q23" s="28" t="str">
        <f>Base!J300</f>
        <v>Restringido</v>
      </c>
      <c r="R23" s="29" t="str">
        <f>Base!X300</f>
        <v>s/d</v>
      </c>
      <c r="S23" s="8">
        <f>Base!K300</f>
        <v>27756.0</v>
      </c>
      <c r="T23" s="7" t="str">
        <f>Base!M300</f>
        <v>PROCOMPITE</v>
      </c>
    </row>
    <row r="24" spans="1:20">
      <c r="A24" s="28">
        <f>SUBTOTAL(103,$B$6:B24)</f>
        <v>15</v>
      </c>
      <c r="B24" s="28">
        <v>387</v>
      </c>
      <c r="C24" s="7" t="s">
        <v>1149</v>
      </c>
      <c r="D24" s="8">
        <f>Base!N301</f>
        <v>269980.0</v>
      </c>
      <c r="E24" s="8">
        <f>Base!O301</f>
        <v>259749.0</v>
      </c>
      <c r="F24" s="8">
        <f>D24-E24</f>
        <v>10231.0</v>
      </c>
      <c r="G24" s="8">
        <f>Base!Q301</f>
        <v>255066.0</v>
      </c>
      <c r="H24" s="8">
        <f>D24-G24</f>
        <v>14914.0</v>
      </c>
      <c r="I24" s="29">
        <f>IF(D24=0,0,G24/D24)</f>
        <v>0.9447588710274836</v>
      </c>
      <c r="J24" s="7" t="str">
        <f>Base!AH301</f>
        <v>Equipamiento / Contrata</v>
      </c>
      <c r="K24" s="28" t="str">
        <f>Base!I301</f>
        <v>PROCOMPITE</v>
      </c>
      <c r="L24" s="8" t="str">
        <f>Base!AA301</f>
        <v>No registrado en cartera</v>
      </c>
      <c r="M24" s="8" t="str">
        <f>Base!AB301</f>
        <v>No registrado en cartera</v>
      </c>
      <c r="N24" s="8" t="str">
        <f>Base!AC301</f>
        <v>No registrado en cartera</v>
      </c>
      <c r="O24" s="8" t="str">
        <f>Base!AD301</f>
        <v>No registrado en cartera</v>
      </c>
      <c r="P24" s="7">
        <f>IF(Base!AI301="","",Base!AI301)</f>
        <v/>
      </c>
      <c r="Q24" s="28" t="str">
        <f>Base!J301</f>
        <v>No mover</v>
      </c>
      <c r="R24" s="29" t="str">
        <f>Base!X301</f>
        <v>s/d</v>
      </c>
      <c r="S24" s="8">
        <f>Base!K301</f>
        <v>0.0</v>
      </c>
      <c r="T24" s="7" t="str">
        <f>Base!M301</f>
        <v>Devengado 2026 ≥ 90% del PIM</v>
      </c>
    </row>
    <row r="25" spans="1:20">
      <c r="A25" s="28">
        <f>SUBTOTAL(103,$B$6:B25)</f>
        <v>16</v>
      </c>
      <c r="B25" s="28">
        <v>378</v>
      </c>
      <c r="C25" s="7" t="s">
        <v>1152</v>
      </c>
      <c r="D25" s="8">
        <f>Base!N302</f>
        <v>209400.0</v>
      </c>
      <c r="E25" s="8">
        <f>Base!O302</f>
        <v>176550.0</v>
      </c>
      <c r="F25" s="8">
        <f>D25-E25</f>
        <v>32850.0</v>
      </c>
      <c r="G25" s="8">
        <f>Base!Q302</f>
        <v>136550.0</v>
      </c>
      <c r="H25" s="8">
        <f>D25-G25</f>
        <v>72850.0</v>
      </c>
      <c r="I25" s="29">
        <f>IF(D25=0,0,G25/D25)</f>
        <v>0.6521012416427889</v>
      </c>
      <c r="J25" s="7" t="str">
        <f>Base!AH302</f>
        <v>Equipamiento / Contrata</v>
      </c>
      <c r="K25" s="28" t="str">
        <f>Base!I302</f>
        <v>PROCOMPITE</v>
      </c>
      <c r="L25" s="8" t="str">
        <f>Base!AA302</f>
        <v>No registrado en cartera</v>
      </c>
      <c r="M25" s="8" t="str">
        <f>Base!AB302</f>
        <v>No registrado en cartera</v>
      </c>
      <c r="N25" s="8" t="str">
        <f>Base!AC302</f>
        <v>No registrado en cartera</v>
      </c>
      <c r="O25" s="8" t="str">
        <f>Base!AD302</f>
        <v>No registrado en cartera</v>
      </c>
      <c r="P25" s="7">
        <f>IF(Base!AI302="","",Base!AI302)</f>
        <v/>
      </c>
      <c r="Q25" s="28" t="str">
        <f>Base!J302</f>
        <v>Restringido</v>
      </c>
      <c r="R25" s="29" t="str">
        <f>Base!X302</f>
        <v>s/d</v>
      </c>
      <c r="S25" s="8">
        <f>Base!K302</f>
        <v>32850.0</v>
      </c>
      <c r="T25" s="7" t="str">
        <f>Base!M302</f>
        <v>PROCOMPITE</v>
      </c>
    </row>
    <row r="26" spans="1:20">
      <c r="A26" s="28">
        <f>SUBTOTAL(103,$B$6:B26)</f>
        <v>17</v>
      </c>
      <c r="B26" s="28">
        <v>392</v>
      </c>
      <c r="C26" s="7" t="s">
        <v>1155</v>
      </c>
      <c r="D26" s="8">
        <f>Base!N303</f>
        <v>160000.0</v>
      </c>
      <c r="E26" s="8">
        <f>Base!O303</f>
        <v>152601.0</v>
      </c>
      <c r="F26" s="8">
        <f>D26-E26</f>
        <v>7399.0</v>
      </c>
      <c r="G26" s="8">
        <f>Base!Q303</f>
        <v>143401.0</v>
      </c>
      <c r="H26" s="8">
        <f>D26-G26</f>
        <v>16599.0</v>
      </c>
      <c r="I26" s="29">
        <f>IF(D26=0,0,G26/D26)</f>
        <v>0.89625625</v>
      </c>
      <c r="J26" s="7" t="str">
        <f>Base!AH303</f>
        <v>Equipamiento / Contrata</v>
      </c>
      <c r="K26" s="28" t="str">
        <f>Base!I303</f>
        <v>PROCOMPITE</v>
      </c>
      <c r="L26" s="8" t="str">
        <f>Base!AA303</f>
        <v>No registrado en cartera</v>
      </c>
      <c r="M26" s="8" t="str">
        <f>Base!AB303</f>
        <v>No registrado en cartera</v>
      </c>
      <c r="N26" s="8" t="str">
        <f>Base!AC303</f>
        <v>No registrado en cartera</v>
      </c>
      <c r="O26" s="8" t="str">
        <f>Base!AD303</f>
        <v>No registrado en cartera</v>
      </c>
      <c r="P26" s="7">
        <f>IF(Base!AI303="","",Base!AI303)</f>
        <v/>
      </c>
      <c r="Q26" s="28" t="str">
        <f>Base!J303</f>
        <v>Restringido</v>
      </c>
      <c r="R26" s="29" t="str">
        <f>Base!X303</f>
        <v>s/d</v>
      </c>
      <c r="S26" s="8">
        <f>Base!K303</f>
        <v>7399.0</v>
      </c>
      <c r="T26" s="7" t="str">
        <f>Base!M303</f>
        <v>PROCOMPITE</v>
      </c>
    </row>
    <row r="27" spans="1:20">
      <c r="A27" s="28">
        <f>SUBTOTAL(103,$B$6:B27)</f>
        <v>18</v>
      </c>
      <c r="B27" s="28">
        <v>393</v>
      </c>
      <c r="C27" s="7" t="s">
        <v>1158</v>
      </c>
      <c r="D27" s="8">
        <f>Base!N304</f>
        <v>160000.0</v>
      </c>
      <c r="E27" s="8">
        <f>Base!O304</f>
        <v>149840.0</v>
      </c>
      <c r="F27" s="8">
        <f>D27-E27</f>
        <v>10160.0</v>
      </c>
      <c r="G27" s="8">
        <f>Base!Q304</f>
        <v>18740.0</v>
      </c>
      <c r="H27" s="8">
        <f>D27-G27</f>
        <v>141260.0</v>
      </c>
      <c r="I27" s="29">
        <f>IF(D27=0,0,G27/D27)</f>
        <v>0.117125</v>
      </c>
      <c r="J27" s="7" t="str">
        <f>Base!AH304</f>
        <v>Equipamiento / Contrata</v>
      </c>
      <c r="K27" s="28" t="str">
        <f>Base!I304</f>
        <v>PROCOMPITE</v>
      </c>
      <c r="L27" s="8" t="str">
        <f>Base!AA304</f>
        <v>No registrado en cartera</v>
      </c>
      <c r="M27" s="8" t="str">
        <f>Base!AB304</f>
        <v>No registrado en cartera</v>
      </c>
      <c r="N27" s="8" t="str">
        <f>Base!AC304</f>
        <v>No registrado en cartera</v>
      </c>
      <c r="O27" s="8" t="str">
        <f>Base!AD304</f>
        <v>No registrado en cartera</v>
      </c>
      <c r="P27" s="7">
        <f>IF(Base!AI304="","",Base!AI304)</f>
        <v/>
      </c>
      <c r="Q27" s="28" t="str">
        <f>Base!J304</f>
        <v>Restringido</v>
      </c>
      <c r="R27" s="29" t="str">
        <f>Base!X304</f>
        <v>s/d</v>
      </c>
      <c r="S27" s="8">
        <f>Base!K304</f>
        <v>10160.0</v>
      </c>
      <c r="T27" s="7" t="str">
        <f>Base!M304</f>
        <v>PROCOMPITE</v>
      </c>
    </row>
    <row r="28" spans="1:20">
      <c r="A28" s="28">
        <f>SUBTOTAL(103,$B$6:B28)</f>
        <v>19</v>
      </c>
      <c r="B28" s="28">
        <v>397</v>
      </c>
      <c r="C28" s="7" t="s">
        <v>1161</v>
      </c>
      <c r="D28" s="8">
        <f>Base!N305</f>
        <v>160000.0</v>
      </c>
      <c r="E28" s="8">
        <f>Base!O305</f>
        <v>148990.0</v>
      </c>
      <c r="F28" s="8">
        <f>D28-E28</f>
        <v>11010.0</v>
      </c>
      <c r="G28" s="8">
        <f>Base!Q305</f>
        <v>26000.0</v>
      </c>
      <c r="H28" s="8">
        <f>D28-G28</f>
        <v>134000.0</v>
      </c>
      <c r="I28" s="29">
        <f>IF(D28=0,0,G28/D28)</f>
        <v>0.1625</v>
      </c>
      <c r="J28" s="7" t="str">
        <f>Base!AH305</f>
        <v>Equipamiento / Contrata</v>
      </c>
      <c r="K28" s="28" t="str">
        <f>Base!I305</f>
        <v>PROCOMPITE</v>
      </c>
      <c r="L28" s="8" t="str">
        <f>Base!AA305</f>
        <v>No registrado en cartera</v>
      </c>
      <c r="M28" s="8" t="str">
        <f>Base!AB305</f>
        <v>No registrado en cartera</v>
      </c>
      <c r="N28" s="8" t="str">
        <f>Base!AC305</f>
        <v>No registrado en cartera</v>
      </c>
      <c r="O28" s="8" t="str">
        <f>Base!AD305</f>
        <v>No registrado en cartera</v>
      </c>
      <c r="P28" s="7">
        <f>IF(Base!AI305="","",Base!AI305)</f>
        <v/>
      </c>
      <c r="Q28" s="28" t="str">
        <f>Base!J305</f>
        <v>Restringido</v>
      </c>
      <c r="R28" s="29" t="str">
        <f>Base!X305</f>
        <v>s/d</v>
      </c>
      <c r="S28" s="8">
        <f>Base!K305</f>
        <v>11010.0</v>
      </c>
      <c r="T28" s="7" t="str">
        <f>Base!M305</f>
        <v>PROCOMPITE</v>
      </c>
    </row>
    <row r="29" spans="1:20">
      <c r="A29" s="28">
        <f>SUBTOTAL(103,$B$6:B29)</f>
        <v>20</v>
      </c>
      <c r="B29" s="28">
        <v>404</v>
      </c>
      <c r="C29" s="7" t="s">
        <v>1164</v>
      </c>
      <c r="D29" s="8">
        <f>Base!N306</f>
        <v>160000.0</v>
      </c>
      <c r="E29" s="8">
        <f>Base!O306</f>
        <v>150870.0</v>
      </c>
      <c r="F29" s="8">
        <f>D29-E29</f>
        <v>9130.0</v>
      </c>
      <c r="G29" s="8">
        <f>Base!Q306</f>
        <v>45270.0</v>
      </c>
      <c r="H29" s="8">
        <f>D29-G29</f>
        <v>114730.0</v>
      </c>
      <c r="I29" s="29">
        <f>IF(D29=0,0,G29/D29)</f>
        <v>0.2829375</v>
      </c>
      <c r="J29" s="7" t="str">
        <f>Base!AH306</f>
        <v>Equipamiento / Contrata</v>
      </c>
      <c r="K29" s="28" t="str">
        <f>Base!I306</f>
        <v>PROCOMPITE</v>
      </c>
      <c r="L29" s="8" t="str">
        <f>Base!AA306</f>
        <v>No registrado en cartera</v>
      </c>
      <c r="M29" s="8" t="str">
        <f>Base!AB306</f>
        <v>No registrado en cartera</v>
      </c>
      <c r="N29" s="8" t="str">
        <f>Base!AC306</f>
        <v>No registrado en cartera</v>
      </c>
      <c r="O29" s="8" t="str">
        <f>Base!AD306</f>
        <v>No registrado en cartera</v>
      </c>
      <c r="P29" s="7">
        <f>IF(Base!AI306="","",Base!AI306)</f>
        <v/>
      </c>
      <c r="Q29" s="28" t="str">
        <f>Base!J306</f>
        <v>Restringido</v>
      </c>
      <c r="R29" s="29" t="str">
        <f>Base!X306</f>
        <v>s/d</v>
      </c>
      <c r="S29" s="8">
        <f>Base!K306</f>
        <v>9130.0</v>
      </c>
      <c r="T29" s="7" t="str">
        <f>Base!M306</f>
        <v>PROCOMPITE</v>
      </c>
    </row>
    <row r="30" spans="1:20">
      <c r="A30" s="28">
        <f>SUBTOTAL(103,$B$6:B30)</f>
        <v>21</v>
      </c>
      <c r="B30" s="28">
        <v>407</v>
      </c>
      <c r="C30" s="7" t="s">
        <v>1167</v>
      </c>
      <c r="D30" s="8">
        <f>Base!N307</f>
        <v>160000.0</v>
      </c>
      <c r="E30" s="8">
        <f>Base!O307</f>
        <v>151322.0</v>
      </c>
      <c r="F30" s="8">
        <f>D30-E30</f>
        <v>8678.0</v>
      </c>
      <c r="G30" s="8">
        <f>Base!Q307</f>
        <v>96322.0</v>
      </c>
      <c r="H30" s="8">
        <f>D30-G30</f>
        <v>63678.0</v>
      </c>
      <c r="I30" s="29">
        <f>IF(D30=0,0,G30/D30)</f>
        <v>0.6020125</v>
      </c>
      <c r="J30" s="7" t="str">
        <f>Base!AH307</f>
        <v>Equipamiento / Contrata</v>
      </c>
      <c r="K30" s="28" t="str">
        <f>Base!I307</f>
        <v>PROCOMPITE</v>
      </c>
      <c r="L30" s="8" t="str">
        <f>Base!AA307</f>
        <v>No registrado en cartera</v>
      </c>
      <c r="M30" s="8" t="str">
        <f>Base!AB307</f>
        <v>No registrado en cartera</v>
      </c>
      <c r="N30" s="8" t="str">
        <f>Base!AC307</f>
        <v>No registrado en cartera</v>
      </c>
      <c r="O30" s="8" t="str">
        <f>Base!AD307</f>
        <v>No registrado en cartera</v>
      </c>
      <c r="P30" s="7">
        <f>IF(Base!AI307="","",Base!AI307)</f>
        <v/>
      </c>
      <c r="Q30" s="28" t="str">
        <f>Base!J307</f>
        <v>Restringido</v>
      </c>
      <c r="R30" s="29" t="str">
        <f>Base!X307</f>
        <v>s/d</v>
      </c>
      <c r="S30" s="8">
        <f>Base!K307</f>
        <v>8678.0</v>
      </c>
      <c r="T30" s="7" t="str">
        <f>Base!M307</f>
        <v>PROCOMPITE</v>
      </c>
    </row>
    <row r="31" spans="1:20">
      <c r="A31" s="28">
        <f>SUBTOTAL(103,$B$6:B31)</f>
        <v>22</v>
      </c>
      <c r="B31" s="28">
        <v>412</v>
      </c>
      <c r="C31" s="7" t="s">
        <v>1170</v>
      </c>
      <c r="D31" s="8">
        <f>Base!N308</f>
        <v>160000.0</v>
      </c>
      <c r="E31" s="8">
        <f>Base!O308</f>
        <v>145570.62</v>
      </c>
      <c r="F31" s="8">
        <f>D31-E31</f>
        <v>14429.380000000005</v>
      </c>
      <c r="G31" s="8">
        <f>Base!Q308</f>
        <v>10545.0</v>
      </c>
      <c r="H31" s="8">
        <f>D31-G31</f>
        <v>149455.0</v>
      </c>
      <c r="I31" s="29">
        <f>IF(D31=0,0,G31/D31)</f>
        <v>0.06590625</v>
      </c>
      <c r="J31" s="7" t="str">
        <f>Base!AH308</f>
        <v>Equipamiento / Contrata</v>
      </c>
      <c r="K31" s="28" t="str">
        <f>Base!I308</f>
        <v>PROCOMPITE</v>
      </c>
      <c r="L31" s="8" t="str">
        <f>Base!AA308</f>
        <v>No registrado en cartera</v>
      </c>
      <c r="M31" s="8" t="str">
        <f>Base!AB308</f>
        <v>No registrado en cartera</v>
      </c>
      <c r="N31" s="8" t="str">
        <f>Base!AC308</f>
        <v>No registrado en cartera</v>
      </c>
      <c r="O31" s="8" t="str">
        <f>Base!AD308</f>
        <v>No registrado en cartera</v>
      </c>
      <c r="P31" s="7">
        <f>IF(Base!AI308="","",Base!AI308)</f>
        <v/>
      </c>
      <c r="Q31" s="28" t="str">
        <f>Base!J308</f>
        <v>Restringido</v>
      </c>
      <c r="R31" s="29" t="str">
        <f>Base!X308</f>
        <v>s/d</v>
      </c>
      <c r="S31" s="8">
        <f>Base!K308</f>
        <v>14429.380000000005</v>
      </c>
      <c r="T31" s="7" t="str">
        <f>Base!M308</f>
        <v>PROCOMPITE</v>
      </c>
    </row>
    <row r="32" spans="1:20">
      <c r="A32" s="28">
        <f>SUBTOTAL(103,$B$6:B32)</f>
        <v>23</v>
      </c>
      <c r="B32" s="28">
        <v>420</v>
      </c>
      <c r="C32" s="7" t="s">
        <v>1173</v>
      </c>
      <c r="D32" s="8">
        <f>Base!N309</f>
        <v>160000.0</v>
      </c>
      <c r="E32" s="8">
        <f>Base!O309</f>
        <v>154450.0</v>
      </c>
      <c r="F32" s="8">
        <f>D32-E32</f>
        <v>5550.0</v>
      </c>
      <c r="G32" s="8">
        <f>Base!Q309</f>
        <v>129270.0</v>
      </c>
      <c r="H32" s="8">
        <f>D32-G32</f>
        <v>30730.0</v>
      </c>
      <c r="I32" s="29">
        <f>IF(D32=0,0,G32/D32)</f>
        <v>0.8079375</v>
      </c>
      <c r="J32" s="7" t="str">
        <f>Base!AH309</f>
        <v>Equipamiento / Contrata</v>
      </c>
      <c r="K32" s="28" t="str">
        <f>Base!I309</f>
        <v>PROCOMPITE</v>
      </c>
      <c r="L32" s="8" t="str">
        <f>Base!AA309</f>
        <v>No registrado en cartera</v>
      </c>
      <c r="M32" s="8" t="str">
        <f>Base!AB309</f>
        <v>No registrado en cartera</v>
      </c>
      <c r="N32" s="8" t="str">
        <f>Base!AC309</f>
        <v>No registrado en cartera</v>
      </c>
      <c r="O32" s="8" t="str">
        <f>Base!AD309</f>
        <v>No registrado en cartera</v>
      </c>
      <c r="P32" s="7">
        <f>IF(Base!AI309="","",Base!AI309)</f>
        <v/>
      </c>
      <c r="Q32" s="28" t="str">
        <f>Base!J309</f>
        <v>Restringido</v>
      </c>
      <c r="R32" s="29" t="str">
        <f>Base!X309</f>
        <v>s/d</v>
      </c>
      <c r="S32" s="8">
        <f>Base!K309</f>
        <v>5550.0</v>
      </c>
      <c r="T32" s="7" t="str">
        <f>Base!M309</f>
        <v>PROCOMPITE</v>
      </c>
    </row>
    <row r="33" spans="1:20">
      <c r="A33" s="28">
        <f>SUBTOTAL(103,$B$6:B33)</f>
        <v>24</v>
      </c>
      <c r="B33" s="28">
        <v>423</v>
      </c>
      <c r="C33" s="7" t="s">
        <v>1176</v>
      </c>
      <c r="D33" s="8">
        <f>Base!N310</f>
        <v>160000.0</v>
      </c>
      <c r="E33" s="8">
        <f>Base!O310</f>
        <v>152000.0</v>
      </c>
      <c r="F33" s="8">
        <f>D33-E33</f>
        <v>8000.0</v>
      </c>
      <c r="G33" s="8">
        <f>Base!Q310</f>
        <v>2000.0</v>
      </c>
      <c r="H33" s="8">
        <f>D33-G33</f>
        <v>158000.0</v>
      </c>
      <c r="I33" s="29">
        <f>IF(D33=0,0,G33/D33)</f>
        <v>0.0125</v>
      </c>
      <c r="J33" s="7" t="str">
        <f>Base!AH310</f>
        <v>Equipamiento / Contrata</v>
      </c>
      <c r="K33" s="28" t="str">
        <f>Base!I310</f>
        <v>PROCOMPITE</v>
      </c>
      <c r="L33" s="8" t="str">
        <f>Base!AA310</f>
        <v>No registrado en cartera</v>
      </c>
      <c r="M33" s="8" t="str">
        <f>Base!AB310</f>
        <v>No registrado en cartera</v>
      </c>
      <c r="N33" s="8" t="str">
        <f>Base!AC310</f>
        <v>No registrado en cartera</v>
      </c>
      <c r="O33" s="8" t="str">
        <f>Base!AD310</f>
        <v>No registrado en cartera</v>
      </c>
      <c r="P33" s="7">
        <f>IF(Base!AI310="","",Base!AI310)</f>
        <v/>
      </c>
      <c r="Q33" s="28" t="str">
        <f>Base!J310</f>
        <v>Restringido</v>
      </c>
      <c r="R33" s="29" t="str">
        <f>Base!X310</f>
        <v>s/d</v>
      </c>
      <c r="S33" s="8">
        <f>Base!K310</f>
        <v>8000.0</v>
      </c>
      <c r="T33" s="7" t="str">
        <f>Base!M310</f>
        <v>PROCOMPITE</v>
      </c>
    </row>
    <row r="34" spans="1:20">
      <c r="A34" s="28">
        <f>SUBTOTAL(103,$B$6:B34)</f>
        <v>25</v>
      </c>
      <c r="B34" s="28">
        <v>425</v>
      </c>
      <c r="C34" s="7" t="s">
        <v>1179</v>
      </c>
      <c r="D34" s="8">
        <f>Base!N311</f>
        <v>160000.0</v>
      </c>
      <c r="E34" s="8">
        <f>Base!O311</f>
        <v>134958.0</v>
      </c>
      <c r="F34" s="8">
        <f>D34-E34</f>
        <v>25042.0</v>
      </c>
      <c r="G34" s="8">
        <f>Base!Q311</f>
        <v>89300.0</v>
      </c>
      <c r="H34" s="8">
        <f>D34-G34</f>
        <v>70700.0</v>
      </c>
      <c r="I34" s="29">
        <f>IF(D34=0,0,G34/D34)</f>
        <v>0.558125</v>
      </c>
      <c r="J34" s="7" t="str">
        <f>Base!AH311</f>
        <v>Equipamiento / Contrata</v>
      </c>
      <c r="K34" s="28" t="str">
        <f>Base!I311</f>
        <v>PROCOMPITE</v>
      </c>
      <c r="L34" s="8" t="str">
        <f>Base!AA311</f>
        <v>No registrado en cartera</v>
      </c>
      <c r="M34" s="8" t="str">
        <f>Base!AB311</f>
        <v>No registrado en cartera</v>
      </c>
      <c r="N34" s="8" t="str">
        <f>Base!AC311</f>
        <v>No registrado en cartera</v>
      </c>
      <c r="O34" s="8" t="str">
        <f>Base!AD311</f>
        <v>No registrado en cartera</v>
      </c>
      <c r="P34" s="7">
        <f>IF(Base!AI311="","",Base!AI311)</f>
        <v/>
      </c>
      <c r="Q34" s="28" t="str">
        <f>Base!J311</f>
        <v>Restringido</v>
      </c>
      <c r="R34" s="29" t="str">
        <f>Base!X311</f>
        <v>s/d</v>
      </c>
      <c r="S34" s="8">
        <f>Base!K311</f>
        <v>25042.0</v>
      </c>
      <c r="T34" s="7" t="str">
        <f>Base!M311</f>
        <v>PROCOMPITE</v>
      </c>
    </row>
    <row r="35" spans="1:20">
      <c r="A35" s="28">
        <f>SUBTOTAL(103,$B$6:B35)</f>
        <v>26</v>
      </c>
      <c r="B35" s="28">
        <v>351</v>
      </c>
      <c r="C35" s="7" t="s">
        <v>1182</v>
      </c>
      <c r="D35" s="8">
        <f>Base!N312</f>
        <v>61500.0</v>
      </c>
      <c r="E35" s="8">
        <f>Base!O312</f>
        <v>59000.0</v>
      </c>
      <c r="F35" s="8">
        <f>D35-E35</f>
        <v>2500.0</v>
      </c>
      <c r="G35" s="8">
        <f>Base!Q312</f>
        <v>0.0</v>
      </c>
      <c r="H35" s="8">
        <f>D35-G35</f>
        <v>61500.0</v>
      </c>
      <c r="I35" s="29">
        <f>IF(D35=0,0,G35/D35)</f>
        <v>0.0</v>
      </c>
      <c r="J35" s="7" t="str">
        <f>Base!AH312</f>
        <v>Equipamiento</v>
      </c>
      <c r="K35" s="28" t="str">
        <f>Base!I312</f>
        <v>PROCOMPITE</v>
      </c>
      <c r="L35" s="8" t="str">
        <f>Base!AA312</f>
        <v>No registrado en cartera</v>
      </c>
      <c r="M35" s="8" t="str">
        <f>Base!AB312</f>
        <v>No registrado en cartera</v>
      </c>
      <c r="N35" s="8" t="str">
        <f>Base!AC312</f>
        <v>No registrado en cartera</v>
      </c>
      <c r="O35" s="8" t="str">
        <f>Base!AD312</f>
        <v>No registrado en cartera</v>
      </c>
      <c r="P35" s="7">
        <f>IF(Base!AI312="","",Base!AI312)</f>
        <v/>
      </c>
      <c r="Q35" s="28" t="str">
        <f>Base!J312</f>
        <v>Restringido</v>
      </c>
      <c r="R35" s="29" t="str">
        <f>Base!X312</f>
        <v>s/d</v>
      </c>
      <c r="S35" s="8">
        <f>Base!K312</f>
        <v>2500.0</v>
      </c>
      <c r="T35" s="7" t="str">
        <f>Base!M312</f>
        <v>PROCOMPITE</v>
      </c>
    </row>
    <row r="36" spans="1:20">
      <c r="A36" s="28">
        <f>SUBTOTAL(103,$B$6:B36)</f>
        <v>27</v>
      </c>
      <c r="B36" s="28">
        <v>352</v>
      </c>
      <c r="C36" s="7" t="s">
        <v>1185</v>
      </c>
      <c r="D36" s="8">
        <f>Base!N313</f>
        <v>62000.0</v>
      </c>
      <c r="E36" s="8">
        <f>Base!O313</f>
        <v>61766.67</v>
      </c>
      <c r="F36" s="8">
        <f>D36-E36</f>
        <v>233.33000000000175</v>
      </c>
      <c r="G36" s="8">
        <f>Base!Q313</f>
        <v>0.0</v>
      </c>
      <c r="H36" s="8">
        <f>D36-G36</f>
        <v>62000.0</v>
      </c>
      <c r="I36" s="29">
        <f>IF(D36=0,0,G36/D36)</f>
        <v>0.0</v>
      </c>
      <c r="J36" s="7" t="str">
        <f>Base!AH313</f>
        <v>Equipamiento</v>
      </c>
      <c r="K36" s="28" t="str">
        <f>Base!I313</f>
        <v>PROCOMPITE</v>
      </c>
      <c r="L36" s="8" t="str">
        <f>Base!AA313</f>
        <v>No registrado en cartera</v>
      </c>
      <c r="M36" s="8" t="str">
        <f>Base!AB313</f>
        <v>No registrado en cartera</v>
      </c>
      <c r="N36" s="8" t="str">
        <f>Base!AC313</f>
        <v>No registrado en cartera</v>
      </c>
      <c r="O36" s="8" t="str">
        <f>Base!AD313</f>
        <v>No registrado en cartera</v>
      </c>
      <c r="P36" s="7">
        <f>IF(Base!AI313="","",Base!AI313)</f>
        <v/>
      </c>
      <c r="Q36" s="28" t="str">
        <f>Base!J313</f>
        <v>Restringido</v>
      </c>
      <c r="R36" s="29" t="str">
        <f>Base!X313</f>
        <v>s/d</v>
      </c>
      <c r="S36" s="8">
        <f>Base!K313</f>
        <v>233.33000000000175</v>
      </c>
      <c r="T36" s="7" t="str">
        <f>Base!M313</f>
        <v>PROCOMPITE</v>
      </c>
    </row>
    <row r="37" spans="1:20">
      <c r="A37" s="28">
        <f>SUBTOTAL(103,$B$6:B37)</f>
        <v>28</v>
      </c>
      <c r="B37" s="28">
        <v>353</v>
      </c>
      <c r="C37" s="7" t="s">
        <v>1188</v>
      </c>
      <c r="D37" s="8">
        <f>Base!N314</f>
        <v>63755.0</v>
      </c>
      <c r="E37" s="8">
        <f>Base!O314</f>
        <v>60139.48</v>
      </c>
      <c r="F37" s="8">
        <f>D37-E37</f>
        <v>3615.519999999997</v>
      </c>
      <c r="G37" s="8">
        <f>Base!Q314</f>
        <v>2139.48</v>
      </c>
      <c r="H37" s="8">
        <f>D37-G37</f>
        <v>61615.52</v>
      </c>
      <c r="I37" s="29">
        <f>IF(D37=0,0,G37/D37)</f>
        <v>0.03355783860089405</v>
      </c>
      <c r="J37" s="7" t="str">
        <f>Base!AH314</f>
        <v>Equipamiento / Contrata</v>
      </c>
      <c r="K37" s="28" t="str">
        <f>Base!I314</f>
        <v>PROCOMPITE</v>
      </c>
      <c r="L37" s="8" t="str">
        <f>Base!AA314</f>
        <v>No registrado en cartera</v>
      </c>
      <c r="M37" s="8" t="str">
        <f>Base!AB314</f>
        <v>No registrado en cartera</v>
      </c>
      <c r="N37" s="8" t="str">
        <f>Base!AC314</f>
        <v>No registrado en cartera</v>
      </c>
      <c r="O37" s="8" t="str">
        <f>Base!AD314</f>
        <v>No registrado en cartera</v>
      </c>
      <c r="P37" s="7">
        <f>IF(Base!AI314="","",Base!AI314)</f>
        <v/>
      </c>
      <c r="Q37" s="28" t="str">
        <f>Base!J314</f>
        <v>Restringido</v>
      </c>
      <c r="R37" s="29" t="str">
        <f>Base!X314</f>
        <v>s/d</v>
      </c>
      <c r="S37" s="8">
        <f>Base!K314</f>
        <v>3615.519999999997</v>
      </c>
      <c r="T37" s="7" t="str">
        <f>Base!M314</f>
        <v>PROCOMPITE</v>
      </c>
    </row>
    <row r="38" spans="1:20">
      <c r="A38" s="28">
        <f>SUBTOTAL(103,$B$6:B38)</f>
        <v>29</v>
      </c>
      <c r="B38" s="28">
        <v>354</v>
      </c>
      <c r="C38" s="7" t="s">
        <v>1191</v>
      </c>
      <c r="D38" s="8">
        <f>Base!N315</f>
        <v>65438.0</v>
      </c>
      <c r="E38" s="8">
        <f>Base!O315</f>
        <v>59650.0</v>
      </c>
      <c r="F38" s="8">
        <f>D38-E38</f>
        <v>5788.0</v>
      </c>
      <c r="G38" s="8">
        <f>Base!Q315</f>
        <v>0.0</v>
      </c>
      <c r="H38" s="8">
        <f>D38-G38</f>
        <v>65438.0</v>
      </c>
      <c r="I38" s="29">
        <f>IF(D38=0,0,G38/D38)</f>
        <v>0.0</v>
      </c>
      <c r="J38" s="7" t="str">
        <f>Base!AH315</f>
        <v>Equipamiento / Contrata</v>
      </c>
      <c r="K38" s="28" t="str">
        <f>Base!I315</f>
        <v>PROCOMPITE</v>
      </c>
      <c r="L38" s="8" t="str">
        <f>Base!AA315</f>
        <v>No registrado en cartera</v>
      </c>
      <c r="M38" s="8" t="str">
        <f>Base!AB315</f>
        <v>No registrado en cartera</v>
      </c>
      <c r="N38" s="8" t="str">
        <f>Base!AC315</f>
        <v>No registrado en cartera</v>
      </c>
      <c r="O38" s="8" t="str">
        <f>Base!AD315</f>
        <v>No registrado en cartera</v>
      </c>
      <c r="P38" s="7">
        <f>IF(Base!AI315="","",Base!AI315)</f>
        <v/>
      </c>
      <c r="Q38" s="28" t="str">
        <f>Base!J315</f>
        <v>Restringido</v>
      </c>
      <c r="R38" s="29" t="str">
        <f>Base!X315</f>
        <v>s/d</v>
      </c>
      <c r="S38" s="8">
        <f>Base!K315</f>
        <v>5788.0</v>
      </c>
      <c r="T38" s="7" t="str">
        <f>Base!M315</f>
        <v>PROCOMPITE</v>
      </c>
    </row>
    <row r="39" spans="1:20">
      <c r="A39" s="28">
        <f>SUBTOTAL(103,$B$6:B39)</f>
        <v>30</v>
      </c>
      <c r="B39" s="28">
        <v>355</v>
      </c>
      <c r="C39" s="7" t="s">
        <v>1194</v>
      </c>
      <c r="D39" s="8">
        <f>Base!N316</f>
        <v>61200.0</v>
      </c>
      <c r="E39" s="8">
        <f>Base!O316</f>
        <v>59150.0</v>
      </c>
      <c r="F39" s="8">
        <f>D39-E39</f>
        <v>2050.0</v>
      </c>
      <c r="G39" s="8">
        <f>Base!Q316</f>
        <v>59150.0</v>
      </c>
      <c r="H39" s="8">
        <f>D39-G39</f>
        <v>2050.0</v>
      </c>
      <c r="I39" s="29">
        <f>IF(D39=0,0,G39/D39)</f>
        <v>0.9665032679738562</v>
      </c>
      <c r="J39" s="7" t="str">
        <f>Base!AH316</f>
        <v>Equipamiento / Contrata</v>
      </c>
      <c r="K39" s="28" t="str">
        <f>Base!I316</f>
        <v>PROCOMPITE</v>
      </c>
      <c r="L39" s="8" t="str">
        <f>Base!AA316</f>
        <v>No registrado en cartera</v>
      </c>
      <c r="M39" s="8" t="str">
        <f>Base!AB316</f>
        <v>No registrado en cartera</v>
      </c>
      <c r="N39" s="8" t="str">
        <f>Base!AC316</f>
        <v>No registrado en cartera</v>
      </c>
      <c r="O39" s="8" t="str">
        <f>Base!AD316</f>
        <v>No registrado en cartera</v>
      </c>
      <c r="P39" s="7">
        <f>IF(Base!AI316="","",Base!AI316)</f>
        <v/>
      </c>
      <c r="Q39" s="28" t="str">
        <f>Base!J316</f>
        <v>No mover</v>
      </c>
      <c r="R39" s="29" t="str">
        <f>Base!X316</f>
        <v>s/d</v>
      </c>
      <c r="S39" s="8">
        <f>Base!K316</f>
        <v>0.0</v>
      </c>
      <c r="T39" s="7" t="str">
        <f>Base!M316</f>
        <v>Devengado 2026 ≥ 90% del PIM</v>
      </c>
    </row>
    <row r="40" spans="1:20">
      <c r="A40" s="28">
        <f>SUBTOTAL(103,$B$6:B40)</f>
        <v>31</v>
      </c>
      <c r="B40" s="28">
        <v>357</v>
      </c>
      <c r="C40" s="7" t="s">
        <v>1197</v>
      </c>
      <c r="D40" s="8">
        <f>Base!N317</f>
        <v>2936.0</v>
      </c>
      <c r="E40" s="8">
        <f>Base!O317</f>
        <v>2936.0</v>
      </c>
      <c r="F40" s="8">
        <f>D40-E40</f>
        <v>0.0</v>
      </c>
      <c r="G40" s="8">
        <f>Base!Q317</f>
        <v>2936.0</v>
      </c>
      <c r="H40" s="8">
        <f>D40-G40</f>
        <v>0.0</v>
      </c>
      <c r="I40" s="29">
        <f>IF(D40=0,0,G40/D40)</f>
        <v>1.0</v>
      </c>
      <c r="J40" s="7" t="str">
        <f>Base!AH317</f>
        <v>Contrata</v>
      </c>
      <c r="K40" s="28" t="str">
        <f>Base!I317</f>
        <v>PROCOMPITE</v>
      </c>
      <c r="L40" s="8" t="str">
        <f>Base!AA317</f>
        <v>No registrado en cartera</v>
      </c>
      <c r="M40" s="8" t="str">
        <f>Base!AB317</f>
        <v>No registrado en cartera</v>
      </c>
      <c r="N40" s="8" t="str">
        <f>Base!AC317</f>
        <v>No registrado en cartera</v>
      </c>
      <c r="O40" s="8" t="str">
        <f>Base!AD317</f>
        <v>No registrado en cartera</v>
      </c>
      <c r="P40" s="7">
        <f>IF(Base!AI317="","",Base!AI317)</f>
        <v/>
      </c>
      <c r="Q40" s="28" t="str">
        <f>Base!J317</f>
        <v>No mover</v>
      </c>
      <c r="R40" s="29" t="str">
        <f>Base!X317</f>
        <v>s/d</v>
      </c>
      <c r="S40" s="8">
        <f>Base!K317</f>
        <v>0.0</v>
      </c>
      <c r="T40" s="7" t="str">
        <f>Base!M317</f>
        <v>Devengado 2026 ≥ 90% del PIM</v>
      </c>
    </row>
    <row r="41" spans="1:20">
      <c r="A41" s="28">
        <f>SUBTOTAL(103,$B$6:B41)</f>
        <v>32</v>
      </c>
      <c r="B41" s="28">
        <v>358</v>
      </c>
      <c r="C41" s="7" t="s">
        <v>1200</v>
      </c>
      <c r="D41" s="8">
        <f>Base!N318</f>
        <v>10692.0</v>
      </c>
      <c r="E41" s="8">
        <f>Base!O318</f>
        <v>10691.76</v>
      </c>
      <c r="F41" s="8">
        <f>D41-E41</f>
        <v>0.23999999999978172</v>
      </c>
      <c r="G41" s="8">
        <f>Base!Q318</f>
        <v>10691.76</v>
      </c>
      <c r="H41" s="8">
        <f>D41-G41</f>
        <v>0.23999999999978172</v>
      </c>
      <c r="I41" s="29">
        <f>IF(D41=0,0,G41/D41)</f>
        <v>0.9999775533108867</v>
      </c>
      <c r="J41" s="7" t="str">
        <f>Base!AH318</f>
        <v>Contrata</v>
      </c>
      <c r="K41" s="28" t="str">
        <f>Base!I318</f>
        <v>PROCOMPITE</v>
      </c>
      <c r="L41" s="8" t="str">
        <f>Base!AA318</f>
        <v>No registrado en cartera</v>
      </c>
      <c r="M41" s="8" t="str">
        <f>Base!AB318</f>
        <v>No registrado en cartera</v>
      </c>
      <c r="N41" s="8" t="str">
        <f>Base!AC318</f>
        <v>No registrado en cartera</v>
      </c>
      <c r="O41" s="8" t="str">
        <f>Base!AD318</f>
        <v>No registrado en cartera</v>
      </c>
      <c r="P41" s="7">
        <f>IF(Base!AI318="","",Base!AI318)</f>
        <v/>
      </c>
      <c r="Q41" s="28" t="str">
        <f>Base!J318</f>
        <v>No mover</v>
      </c>
      <c r="R41" s="29" t="str">
        <f>Base!X318</f>
        <v>s/d</v>
      </c>
      <c r="S41" s="8">
        <f>Base!K318</f>
        <v>0.0</v>
      </c>
      <c r="T41" s="7" t="str">
        <f>Base!M318</f>
        <v>Devengado 2026 ≥ 90% del PIM</v>
      </c>
    </row>
    <row r="42" spans="1:20">
      <c r="A42" s="28">
        <f>SUBTOTAL(103,$B$6:B42)</f>
        <v>33</v>
      </c>
      <c r="B42" s="28">
        <v>359</v>
      </c>
      <c r="C42" s="7" t="s">
        <v>1203</v>
      </c>
      <c r="D42" s="8">
        <f>Base!N319</f>
        <v>7816.0</v>
      </c>
      <c r="E42" s="8">
        <f>Base!O319</f>
        <v>4500.0</v>
      </c>
      <c r="F42" s="8">
        <f>D42-E42</f>
        <v>3316.0</v>
      </c>
      <c r="G42" s="8">
        <f>Base!Q319</f>
        <v>3000.0</v>
      </c>
      <c r="H42" s="8">
        <f>D42-G42</f>
        <v>4816.0</v>
      </c>
      <c r="I42" s="29">
        <f>IF(D42=0,0,G42/D42)</f>
        <v>0.38382804503582396</v>
      </c>
      <c r="J42" s="7" t="str">
        <f>Base!AH319</f>
        <v>Contrata</v>
      </c>
      <c r="K42" s="28" t="str">
        <f>Base!I319</f>
        <v>PROCOMPITE</v>
      </c>
      <c r="L42" s="8" t="str">
        <f>Base!AA319</f>
        <v>No registrado en cartera</v>
      </c>
      <c r="M42" s="8" t="str">
        <f>Base!AB319</f>
        <v>No registrado en cartera</v>
      </c>
      <c r="N42" s="8" t="str">
        <f>Base!AC319</f>
        <v>No registrado en cartera</v>
      </c>
      <c r="O42" s="8" t="str">
        <f>Base!AD319</f>
        <v>No registrado en cartera</v>
      </c>
      <c r="P42" s="7">
        <f>IF(Base!AI319="","",Base!AI319)</f>
        <v/>
      </c>
      <c r="Q42" s="28" t="str">
        <f>Base!J319</f>
        <v>Restringido</v>
      </c>
      <c r="R42" s="29" t="str">
        <f>Base!X319</f>
        <v>s/d</v>
      </c>
      <c r="S42" s="8">
        <f>Base!K319</f>
        <v>3316.0</v>
      </c>
      <c r="T42" s="7" t="str">
        <f>Base!M319</f>
        <v>PROCOMPITE</v>
      </c>
    </row>
    <row r="43" spans="1:20">
      <c r="A43" s="28">
        <f>SUBTOTAL(103,$B$6:B43)</f>
        <v>34</v>
      </c>
      <c r="B43" s="28">
        <v>360</v>
      </c>
      <c r="C43" s="7" t="s">
        <v>1206</v>
      </c>
      <c r="D43" s="8">
        <f>Base!N320</f>
        <v>3546.0</v>
      </c>
      <c r="E43" s="8">
        <f>Base!O320</f>
        <v>3546.0</v>
      </c>
      <c r="F43" s="8">
        <f>D43-E43</f>
        <v>0.0</v>
      </c>
      <c r="G43" s="8">
        <f>Base!Q320</f>
        <v>3546.0</v>
      </c>
      <c r="H43" s="8">
        <f>D43-G43</f>
        <v>0.0</v>
      </c>
      <c r="I43" s="29">
        <f>IF(D43=0,0,G43/D43)</f>
        <v>1.0</v>
      </c>
      <c r="J43" s="7" t="str">
        <f>Base!AH320</f>
        <v>Contrata</v>
      </c>
      <c r="K43" s="28" t="str">
        <f>Base!I320</f>
        <v>PROCOMPITE</v>
      </c>
      <c r="L43" s="8" t="str">
        <f>Base!AA320</f>
        <v>No registrado en cartera</v>
      </c>
      <c r="M43" s="8" t="str">
        <f>Base!AB320</f>
        <v>No registrado en cartera</v>
      </c>
      <c r="N43" s="8" t="str">
        <f>Base!AC320</f>
        <v>No registrado en cartera</v>
      </c>
      <c r="O43" s="8" t="str">
        <f>Base!AD320</f>
        <v>No registrado en cartera</v>
      </c>
      <c r="P43" s="7">
        <f>IF(Base!AI320="","",Base!AI320)</f>
        <v/>
      </c>
      <c r="Q43" s="28" t="str">
        <f>Base!J320</f>
        <v>No mover</v>
      </c>
      <c r="R43" s="29" t="str">
        <f>Base!X320</f>
        <v>s/d</v>
      </c>
      <c r="S43" s="8">
        <f>Base!K320</f>
        <v>0.0</v>
      </c>
      <c r="T43" s="7" t="str">
        <f>Base!M320</f>
        <v>Devengado 2026 ≥ 90% del PIM</v>
      </c>
    </row>
    <row r="44" spans="1:20">
      <c r="A44" s="28">
        <f>SUBTOTAL(103,$B$6:B44)</f>
        <v>35</v>
      </c>
      <c r="B44" s="28">
        <v>361</v>
      </c>
      <c r="C44" s="7" t="s">
        <v>1209</v>
      </c>
      <c r="D44" s="8">
        <f>Base!N321</f>
        <v>2555.0</v>
      </c>
      <c r="E44" s="8">
        <f>Base!O321</f>
        <v>2550.0</v>
      </c>
      <c r="F44" s="8">
        <f>D44-E44</f>
        <v>5.0</v>
      </c>
      <c r="G44" s="8">
        <f>Base!Q321</f>
        <v>2550.0</v>
      </c>
      <c r="H44" s="8">
        <f>D44-G44</f>
        <v>5.0</v>
      </c>
      <c r="I44" s="29">
        <f>IF(D44=0,0,G44/D44)</f>
        <v>0.9980430528375733</v>
      </c>
      <c r="J44" s="7" t="str">
        <f>Base!AH321</f>
        <v>Contrata</v>
      </c>
      <c r="K44" s="28" t="str">
        <f>Base!I321</f>
        <v>PROCOMPITE</v>
      </c>
      <c r="L44" s="8" t="str">
        <f>Base!AA321</f>
        <v>No registrado en cartera</v>
      </c>
      <c r="M44" s="8" t="str">
        <f>Base!AB321</f>
        <v>No registrado en cartera</v>
      </c>
      <c r="N44" s="8" t="str">
        <f>Base!AC321</f>
        <v>No registrado en cartera</v>
      </c>
      <c r="O44" s="8" t="str">
        <f>Base!AD321</f>
        <v>No registrado en cartera</v>
      </c>
      <c r="P44" s="7">
        <f>IF(Base!AI321="","",Base!AI321)</f>
        <v/>
      </c>
      <c r="Q44" s="28" t="str">
        <f>Base!J321</f>
        <v>No mover</v>
      </c>
      <c r="R44" s="29" t="str">
        <f>Base!X321</f>
        <v>s/d</v>
      </c>
      <c r="S44" s="8">
        <f>Base!K321</f>
        <v>0.0</v>
      </c>
      <c r="T44" s="7" t="str">
        <f>Base!M321</f>
        <v>Devengado 2026 ≥ 90% del PIM</v>
      </c>
    </row>
    <row r="45" spans="1:20">
      <c r="A45" s="28">
        <f>SUBTOTAL(103,$B$6:B45)</f>
        <v>36</v>
      </c>
      <c r="B45" s="28">
        <v>362</v>
      </c>
      <c r="C45" s="7" t="s">
        <v>1212</v>
      </c>
      <c r="D45" s="8">
        <f>Base!N322</f>
        <v>73376.0</v>
      </c>
      <c r="E45" s="8">
        <f>Base!O322</f>
        <v>69875.75</v>
      </c>
      <c r="F45" s="8">
        <f>D45-E45</f>
        <v>3500.25</v>
      </c>
      <c r="G45" s="8">
        <f>Base!Q322</f>
        <v>69875.75</v>
      </c>
      <c r="H45" s="8">
        <f>D45-G45</f>
        <v>3500.25</v>
      </c>
      <c r="I45" s="29">
        <f>IF(D45=0,0,G45/D45)</f>
        <v>0.9522970726122983</v>
      </c>
      <c r="J45" s="7" t="str">
        <f>Base!AH322</f>
        <v>Equipamiento / Contrata</v>
      </c>
      <c r="K45" s="28" t="str">
        <f>Base!I322</f>
        <v>PROCOMPITE</v>
      </c>
      <c r="L45" s="8" t="str">
        <f>Base!AA322</f>
        <v>No registrado en cartera</v>
      </c>
      <c r="M45" s="8" t="str">
        <f>Base!AB322</f>
        <v>No registrado en cartera</v>
      </c>
      <c r="N45" s="8" t="str">
        <f>Base!AC322</f>
        <v>No registrado en cartera</v>
      </c>
      <c r="O45" s="8" t="str">
        <f>Base!AD322</f>
        <v>No registrado en cartera</v>
      </c>
      <c r="P45" s="7">
        <f>IF(Base!AI322="","",Base!AI322)</f>
        <v/>
      </c>
      <c r="Q45" s="28" t="str">
        <f>Base!J322</f>
        <v>No mover</v>
      </c>
      <c r="R45" s="29" t="str">
        <f>Base!X322</f>
        <v>s/d</v>
      </c>
      <c r="S45" s="8">
        <f>Base!K322</f>
        <v>0.0</v>
      </c>
      <c r="T45" s="7" t="str">
        <f>Base!M322</f>
        <v>Devengado 2026 ≥ 90% del PIM</v>
      </c>
    </row>
    <row r="46" spans="1:20">
      <c r="A46" s="28">
        <f>SUBTOTAL(103,$B$6:B46)</f>
        <v>37</v>
      </c>
      <c r="B46" s="28">
        <v>363</v>
      </c>
      <c r="C46" s="7" t="s">
        <v>1215</v>
      </c>
      <c r="D46" s="8">
        <f>Base!N323</f>
        <v>54964.0</v>
      </c>
      <c r="E46" s="8">
        <f>Base!O323</f>
        <v>1977.5</v>
      </c>
      <c r="F46" s="8">
        <f>D46-E46</f>
        <v>52986.5</v>
      </c>
      <c r="G46" s="8">
        <f>Base!Q323</f>
        <v>1977.5</v>
      </c>
      <c r="H46" s="8">
        <f>D46-G46</f>
        <v>52986.5</v>
      </c>
      <c r="I46" s="29">
        <f>IF(D46=0,0,G46/D46)</f>
        <v>0.03597809475292919</v>
      </c>
      <c r="J46" s="7" t="str">
        <f>Base!AH323</f>
        <v>Equipamiento / Contrata</v>
      </c>
      <c r="K46" s="28" t="str">
        <f>Base!I323</f>
        <v>PROCOMPITE</v>
      </c>
      <c r="L46" s="8" t="str">
        <f>Base!AA323</f>
        <v>No registrado en cartera</v>
      </c>
      <c r="M46" s="8" t="str">
        <f>Base!AB323</f>
        <v>No registrado en cartera</v>
      </c>
      <c r="N46" s="8" t="str">
        <f>Base!AC323</f>
        <v>No registrado en cartera</v>
      </c>
      <c r="O46" s="8" t="str">
        <f>Base!AD323</f>
        <v>No registrado en cartera</v>
      </c>
      <c r="P46" s="7">
        <f>IF(Base!AI323="","",Base!AI323)</f>
        <v/>
      </c>
      <c r="Q46" s="28" t="str">
        <f>Base!J323</f>
        <v>Restringido</v>
      </c>
      <c r="R46" s="29" t="str">
        <f>Base!X323</f>
        <v>s/d</v>
      </c>
      <c r="S46" s="8">
        <f>Base!K323</f>
        <v>52986.5</v>
      </c>
      <c r="T46" s="7" t="str">
        <f>Base!M323</f>
        <v>PROCOMPITE</v>
      </c>
    </row>
    <row r="47" spans="1:20">
      <c r="A47" s="28">
        <f>SUBTOTAL(103,$B$6:B47)</f>
        <v>38</v>
      </c>
      <c r="B47" s="28">
        <v>364</v>
      </c>
      <c r="C47" s="7" t="s">
        <v>1218</v>
      </c>
      <c r="D47" s="8">
        <f>Base!N324</f>
        <v>73915.0</v>
      </c>
      <c r="E47" s="8">
        <f>Base!O324</f>
        <v>71560.0</v>
      </c>
      <c r="F47" s="8">
        <f>D47-E47</f>
        <v>2355.0</v>
      </c>
      <c r="G47" s="8">
        <f>Base!Q324</f>
        <v>69710.0</v>
      </c>
      <c r="H47" s="8">
        <f>D47-G47</f>
        <v>4205.0</v>
      </c>
      <c r="I47" s="29">
        <f>IF(D47=0,0,G47/D47)</f>
        <v>0.9431103294324562</v>
      </c>
      <c r="J47" s="7" t="str">
        <f>Base!AH324</f>
        <v>Equipamiento / Contrata</v>
      </c>
      <c r="K47" s="28" t="str">
        <f>Base!I324</f>
        <v>PROCOMPITE</v>
      </c>
      <c r="L47" s="8" t="str">
        <f>Base!AA324</f>
        <v>No registrado en cartera</v>
      </c>
      <c r="M47" s="8" t="str">
        <f>Base!AB324</f>
        <v>No registrado en cartera</v>
      </c>
      <c r="N47" s="8" t="str">
        <f>Base!AC324</f>
        <v>No registrado en cartera</v>
      </c>
      <c r="O47" s="8" t="str">
        <f>Base!AD324</f>
        <v>No registrado en cartera</v>
      </c>
      <c r="P47" s="7">
        <f>IF(Base!AI324="","",Base!AI324)</f>
        <v/>
      </c>
      <c r="Q47" s="28" t="str">
        <f>Base!J324</f>
        <v>No mover</v>
      </c>
      <c r="R47" s="29" t="str">
        <f>Base!X324</f>
        <v>s/d</v>
      </c>
      <c r="S47" s="8">
        <f>Base!K324</f>
        <v>0.0</v>
      </c>
      <c r="T47" s="7" t="str">
        <f>Base!M324</f>
        <v>Devengado 2026 ≥ 90% del PIM</v>
      </c>
    </row>
    <row r="48" spans="1:20">
      <c r="A48" s="28">
        <f>SUBTOTAL(103,$B$6:B48)</f>
        <v>39</v>
      </c>
      <c r="B48" s="28">
        <v>365</v>
      </c>
      <c r="C48" s="7" t="s">
        <v>1221</v>
      </c>
      <c r="D48" s="8">
        <f>Base!N325</f>
        <v>5098.0</v>
      </c>
      <c r="E48" s="8">
        <f>Base!O325</f>
        <v>5097.0</v>
      </c>
      <c r="F48" s="8">
        <f>D48-E48</f>
        <v>1.0</v>
      </c>
      <c r="G48" s="8">
        <f>Base!Q325</f>
        <v>5097.0</v>
      </c>
      <c r="H48" s="8">
        <f>D48-G48</f>
        <v>1.0</v>
      </c>
      <c r="I48" s="29">
        <f>IF(D48=0,0,G48/D48)</f>
        <v>0.9998038446449589</v>
      </c>
      <c r="J48" s="7" t="str">
        <f>Base!AH325</f>
        <v>Contrata</v>
      </c>
      <c r="K48" s="28" t="str">
        <f>Base!I325</f>
        <v>PROCOMPITE</v>
      </c>
      <c r="L48" s="8" t="str">
        <f>Base!AA325</f>
        <v>No registrado en cartera</v>
      </c>
      <c r="M48" s="8" t="str">
        <f>Base!AB325</f>
        <v>No registrado en cartera</v>
      </c>
      <c r="N48" s="8" t="str">
        <f>Base!AC325</f>
        <v>No registrado en cartera</v>
      </c>
      <c r="O48" s="8" t="str">
        <f>Base!AD325</f>
        <v>No registrado en cartera</v>
      </c>
      <c r="P48" s="7">
        <f>IF(Base!AI325="","",Base!AI325)</f>
        <v/>
      </c>
      <c r="Q48" s="28" t="str">
        <f>Base!J325</f>
        <v>No mover</v>
      </c>
      <c r="R48" s="29" t="str">
        <f>Base!X325</f>
        <v>s/d</v>
      </c>
      <c r="S48" s="8">
        <f>Base!K325</f>
        <v>0.0</v>
      </c>
      <c r="T48" s="7" t="str">
        <f>Base!M325</f>
        <v>Devengado 2026 ≥ 90% del PIM</v>
      </c>
    </row>
    <row r="49" spans="1:20">
      <c r="A49" s="28">
        <f>SUBTOTAL(103,$B$6:B49)</f>
        <v>40</v>
      </c>
      <c r="B49" s="28">
        <v>366</v>
      </c>
      <c r="C49" s="7" t="s">
        <v>1224</v>
      </c>
      <c r="D49" s="8">
        <f>Base!N326</f>
        <v>4800.0</v>
      </c>
      <c r="E49" s="8">
        <f>Base!O326</f>
        <v>4800.0</v>
      </c>
      <c r="F49" s="8">
        <f>D49-E49</f>
        <v>0.0</v>
      </c>
      <c r="G49" s="8">
        <f>Base!Q326</f>
        <v>4800.0</v>
      </c>
      <c r="H49" s="8">
        <f>D49-G49</f>
        <v>0.0</v>
      </c>
      <c r="I49" s="29">
        <f>IF(D49=0,0,G49/D49)</f>
        <v>1.0</v>
      </c>
      <c r="J49" s="7" t="str">
        <f>Base!AH326</f>
        <v>Contrata</v>
      </c>
      <c r="K49" s="28" t="str">
        <f>Base!I326</f>
        <v>PROCOMPITE</v>
      </c>
      <c r="L49" s="8" t="str">
        <f>Base!AA326</f>
        <v>No registrado en cartera</v>
      </c>
      <c r="M49" s="8" t="str">
        <f>Base!AB326</f>
        <v>No registrado en cartera</v>
      </c>
      <c r="N49" s="8" t="str">
        <f>Base!AC326</f>
        <v>No registrado en cartera</v>
      </c>
      <c r="O49" s="8" t="str">
        <f>Base!AD326</f>
        <v>No registrado en cartera</v>
      </c>
      <c r="P49" s="7">
        <f>IF(Base!AI326="","",Base!AI326)</f>
        <v/>
      </c>
      <c r="Q49" s="28" t="str">
        <f>Base!J326</f>
        <v>No mover</v>
      </c>
      <c r="R49" s="29" t="str">
        <f>Base!X326</f>
        <v>s/d</v>
      </c>
      <c r="S49" s="8">
        <f>Base!K326</f>
        <v>0.0</v>
      </c>
      <c r="T49" s="7" t="str">
        <f>Base!M326</f>
        <v>Devengado 2026 ≥ 90% del PIM</v>
      </c>
    </row>
    <row r="50" spans="1:20">
      <c r="A50" s="28">
        <f>SUBTOTAL(103,$B$6:B50)</f>
        <v>41</v>
      </c>
      <c r="B50" s="28">
        <v>367</v>
      </c>
      <c r="C50" s="7" t="s">
        <v>1227</v>
      </c>
      <c r="D50" s="8">
        <f>Base!N327</f>
        <v>12800.0</v>
      </c>
      <c r="E50" s="8">
        <f>Base!O327</f>
        <v>12800.0</v>
      </c>
      <c r="F50" s="8">
        <f>D50-E50</f>
        <v>0.0</v>
      </c>
      <c r="G50" s="8">
        <f>Base!Q327</f>
        <v>12800.0</v>
      </c>
      <c r="H50" s="8">
        <f>D50-G50</f>
        <v>0.0</v>
      </c>
      <c r="I50" s="29">
        <f>IF(D50=0,0,G50/D50)</f>
        <v>1.0</v>
      </c>
      <c r="J50" s="7" t="str">
        <f>Base!AH327</f>
        <v>Contrata</v>
      </c>
      <c r="K50" s="28" t="str">
        <f>Base!I327</f>
        <v>PROCOMPITE</v>
      </c>
      <c r="L50" s="8" t="str">
        <f>Base!AA327</f>
        <v>No registrado en cartera</v>
      </c>
      <c r="M50" s="8" t="str">
        <f>Base!AB327</f>
        <v>No registrado en cartera</v>
      </c>
      <c r="N50" s="8" t="str">
        <f>Base!AC327</f>
        <v>No registrado en cartera</v>
      </c>
      <c r="O50" s="8" t="str">
        <f>Base!AD327</f>
        <v>No registrado en cartera</v>
      </c>
      <c r="P50" s="7">
        <f>IF(Base!AI327="","",Base!AI327)</f>
        <v/>
      </c>
      <c r="Q50" s="28" t="str">
        <f>Base!J327</f>
        <v>No mover</v>
      </c>
      <c r="R50" s="29" t="str">
        <f>Base!X327</f>
        <v>s/d</v>
      </c>
      <c r="S50" s="8">
        <f>Base!K327</f>
        <v>0.0</v>
      </c>
      <c r="T50" s="7" t="str">
        <f>Base!M327</f>
        <v>Devengado 2026 ≥ 90% del PIM</v>
      </c>
    </row>
    <row r="51" spans="1:20">
      <c r="A51" s="28">
        <f>SUBTOTAL(103,$B$6:B51)</f>
        <v>42</v>
      </c>
      <c r="B51" s="28">
        <v>369</v>
      </c>
      <c r="C51" s="7" t="s">
        <v>1230</v>
      </c>
      <c r="D51" s="8">
        <f>Base!N328</f>
        <v>57400.0</v>
      </c>
      <c r="E51" s="8">
        <f>Base!O328</f>
        <v>57400.0</v>
      </c>
      <c r="F51" s="8">
        <f>D51-E51</f>
        <v>0.0</v>
      </c>
      <c r="G51" s="8">
        <f>Base!Q328</f>
        <v>57400.0</v>
      </c>
      <c r="H51" s="8">
        <f>D51-G51</f>
        <v>0.0</v>
      </c>
      <c r="I51" s="29">
        <f>IF(D51=0,0,G51/D51)</f>
        <v>1.0</v>
      </c>
      <c r="J51" s="7" t="str">
        <f>Base!AH328</f>
        <v>Equipamiento / Contrata</v>
      </c>
      <c r="K51" s="28" t="str">
        <f>Base!I328</f>
        <v>PROCOMPITE</v>
      </c>
      <c r="L51" s="8" t="str">
        <f>Base!AA328</f>
        <v>No registrado en cartera</v>
      </c>
      <c r="M51" s="8" t="str">
        <f>Base!AB328</f>
        <v>No registrado en cartera</v>
      </c>
      <c r="N51" s="8" t="str">
        <f>Base!AC328</f>
        <v>No registrado en cartera</v>
      </c>
      <c r="O51" s="8" t="str">
        <f>Base!AD328</f>
        <v>No registrado en cartera</v>
      </c>
      <c r="P51" s="7">
        <f>IF(Base!AI328="","",Base!AI328)</f>
        <v/>
      </c>
      <c r="Q51" s="28" t="str">
        <f>Base!J328</f>
        <v>No mover</v>
      </c>
      <c r="R51" s="29" t="str">
        <f>Base!X328</f>
        <v>s/d</v>
      </c>
      <c r="S51" s="8">
        <f>Base!K328</f>
        <v>0.0</v>
      </c>
      <c r="T51" s="7" t="str">
        <f>Base!M328</f>
        <v>Devengado 2026 ≥ 90% del PIM</v>
      </c>
    </row>
    <row r="52" spans="1:20">
      <c r="A52" s="28">
        <f>SUBTOTAL(103,$B$6:B52)</f>
        <v>43</v>
      </c>
      <c r="B52" s="28">
        <v>370</v>
      </c>
      <c r="C52" s="7" t="s">
        <v>1233</v>
      </c>
      <c r="D52" s="8">
        <f>Base!N329</f>
        <v>5898.0</v>
      </c>
      <c r="E52" s="8">
        <f>Base!O329</f>
        <v>5898.0</v>
      </c>
      <c r="F52" s="8">
        <f>D52-E52</f>
        <v>0.0</v>
      </c>
      <c r="G52" s="8">
        <f>Base!Q329</f>
        <v>5898.0</v>
      </c>
      <c r="H52" s="8">
        <f>D52-G52</f>
        <v>0.0</v>
      </c>
      <c r="I52" s="29">
        <f>IF(D52=0,0,G52/D52)</f>
        <v>1.0</v>
      </c>
      <c r="J52" s="7" t="str">
        <f>Base!AH329</f>
        <v>Contrata</v>
      </c>
      <c r="K52" s="28" t="str">
        <f>Base!I329</f>
        <v>PROCOMPITE</v>
      </c>
      <c r="L52" s="8" t="str">
        <f>Base!AA329</f>
        <v>No registrado en cartera</v>
      </c>
      <c r="M52" s="8" t="str">
        <f>Base!AB329</f>
        <v>No registrado en cartera</v>
      </c>
      <c r="N52" s="8" t="str">
        <f>Base!AC329</f>
        <v>No registrado en cartera</v>
      </c>
      <c r="O52" s="8" t="str">
        <f>Base!AD329</f>
        <v>No registrado en cartera</v>
      </c>
      <c r="P52" s="7">
        <f>IF(Base!AI329="","",Base!AI329)</f>
        <v/>
      </c>
      <c r="Q52" s="28" t="str">
        <f>Base!J329</f>
        <v>No mover</v>
      </c>
      <c r="R52" s="29" t="str">
        <f>Base!X329</f>
        <v>s/d</v>
      </c>
      <c r="S52" s="8">
        <f>Base!K329</f>
        <v>0.0</v>
      </c>
      <c r="T52" s="7" t="str">
        <f>Base!M329</f>
        <v>Devengado 2026 ≥ 90% del PIM</v>
      </c>
    </row>
    <row r="53" spans="1:20">
      <c r="A53" s="28">
        <f>SUBTOTAL(103,$B$6:B53)</f>
        <v>44</v>
      </c>
      <c r="B53" s="28">
        <v>371</v>
      </c>
      <c r="C53" s="7" t="s">
        <v>1236</v>
      </c>
      <c r="D53" s="8">
        <f>Base!N330</f>
        <v>3000.0</v>
      </c>
      <c r="E53" s="8">
        <f>Base!O330</f>
        <v>3000.0</v>
      </c>
      <c r="F53" s="8">
        <f>D53-E53</f>
        <v>0.0</v>
      </c>
      <c r="G53" s="8">
        <f>Base!Q330</f>
        <v>3000.0</v>
      </c>
      <c r="H53" s="8">
        <f>D53-G53</f>
        <v>0.0</v>
      </c>
      <c r="I53" s="29">
        <f>IF(D53=0,0,G53/D53)</f>
        <v>1.0</v>
      </c>
      <c r="J53" s="7" t="str">
        <f>Base!AH330</f>
        <v>Contrata</v>
      </c>
      <c r="K53" s="28" t="str">
        <f>Base!I330</f>
        <v>PROCOMPITE</v>
      </c>
      <c r="L53" s="8" t="str">
        <f>Base!AA330</f>
        <v>No registrado en cartera</v>
      </c>
      <c r="M53" s="8" t="str">
        <f>Base!AB330</f>
        <v>No registrado en cartera</v>
      </c>
      <c r="N53" s="8" t="str">
        <f>Base!AC330</f>
        <v>No registrado en cartera</v>
      </c>
      <c r="O53" s="8" t="str">
        <f>Base!AD330</f>
        <v>No registrado en cartera</v>
      </c>
      <c r="P53" s="7">
        <f>IF(Base!AI330="","",Base!AI330)</f>
        <v/>
      </c>
      <c r="Q53" s="28" t="str">
        <f>Base!J330</f>
        <v>No mover</v>
      </c>
      <c r="R53" s="29" t="str">
        <f>Base!X330</f>
        <v>s/d</v>
      </c>
      <c r="S53" s="8">
        <f>Base!K330</f>
        <v>0.0</v>
      </c>
      <c r="T53" s="7" t="str">
        <f>Base!M330</f>
        <v>Devengado 2026 ≥ 90% del PIM</v>
      </c>
    </row>
    <row r="54" spans="1:20">
      <c r="A54" s="28">
        <f>SUBTOTAL(103,$B$6:B54)</f>
        <v>45</v>
      </c>
      <c r="B54" s="28">
        <v>372</v>
      </c>
      <c r="C54" s="7" t="s">
        <v>1239</v>
      </c>
      <c r="D54" s="8">
        <f>Base!N331</f>
        <v>87790.0</v>
      </c>
      <c r="E54" s="8">
        <f>Base!O331</f>
        <v>87438.0</v>
      </c>
      <c r="F54" s="8">
        <f>D54-E54</f>
        <v>352.0</v>
      </c>
      <c r="G54" s="8">
        <f>Base!Q331</f>
        <v>77990.0</v>
      </c>
      <c r="H54" s="8">
        <f>D54-G54</f>
        <v>9800.0</v>
      </c>
      <c r="I54" s="29">
        <f>IF(D54=0,0,G54/D54)</f>
        <v>0.8883699738011163</v>
      </c>
      <c r="J54" s="7" t="str">
        <f>Base!AH331</f>
        <v>Equipamiento / Contrata</v>
      </c>
      <c r="K54" s="28" t="str">
        <f>Base!I331</f>
        <v>PROCOMPITE</v>
      </c>
      <c r="L54" s="8" t="str">
        <f>Base!AA331</f>
        <v>No registrado en cartera</v>
      </c>
      <c r="M54" s="8" t="str">
        <f>Base!AB331</f>
        <v>No registrado en cartera</v>
      </c>
      <c r="N54" s="8" t="str">
        <f>Base!AC331</f>
        <v>No registrado en cartera</v>
      </c>
      <c r="O54" s="8" t="str">
        <f>Base!AD331</f>
        <v>No registrado en cartera</v>
      </c>
      <c r="P54" s="7">
        <f>IF(Base!AI331="","",Base!AI331)</f>
        <v/>
      </c>
      <c r="Q54" s="28" t="str">
        <f>Base!J331</f>
        <v>Restringido</v>
      </c>
      <c r="R54" s="29" t="str">
        <f>Base!X331</f>
        <v>s/d</v>
      </c>
      <c r="S54" s="8">
        <f>Base!K331</f>
        <v>352.0</v>
      </c>
      <c r="T54" s="7" t="str">
        <f>Base!M331</f>
        <v>PROCOMPITE</v>
      </c>
    </row>
    <row r="55" spans="1:20">
      <c r="A55" s="28">
        <f>SUBTOTAL(103,$B$6:B55)</f>
        <v>46</v>
      </c>
      <c r="B55" s="28">
        <v>376</v>
      </c>
      <c r="C55" s="7" t="s">
        <v>1242</v>
      </c>
      <c r="D55" s="8">
        <f>Base!N332</f>
        <v>14715.0</v>
      </c>
      <c r="E55" s="8">
        <f>Base!O332</f>
        <v>14714.0</v>
      </c>
      <c r="F55" s="8">
        <f>D55-E55</f>
        <v>1.0</v>
      </c>
      <c r="G55" s="8">
        <f>Base!Q332</f>
        <v>14714.0</v>
      </c>
      <c r="H55" s="8">
        <f>D55-G55</f>
        <v>1.0</v>
      </c>
      <c r="I55" s="29">
        <f>IF(D55=0,0,G55/D55)</f>
        <v>0.999932042133877</v>
      </c>
      <c r="J55" s="7" t="str">
        <f>Base!AH332</f>
        <v>Contrata</v>
      </c>
      <c r="K55" s="28" t="str">
        <f>Base!I332</f>
        <v>PROCOMPITE</v>
      </c>
      <c r="L55" s="8" t="str">
        <f>Base!AA332</f>
        <v>No registrado en cartera</v>
      </c>
      <c r="M55" s="8" t="str">
        <f>Base!AB332</f>
        <v>No registrado en cartera</v>
      </c>
      <c r="N55" s="8" t="str">
        <f>Base!AC332</f>
        <v>No registrado en cartera</v>
      </c>
      <c r="O55" s="8" t="str">
        <f>Base!AD332</f>
        <v>No registrado en cartera</v>
      </c>
      <c r="P55" s="7">
        <f>IF(Base!AI332="","",Base!AI332)</f>
        <v/>
      </c>
      <c r="Q55" s="28" t="str">
        <f>Base!J332</f>
        <v>No mover</v>
      </c>
      <c r="R55" s="29" t="str">
        <f>Base!X332</f>
        <v>s/d</v>
      </c>
      <c r="S55" s="8">
        <f>Base!K332</f>
        <v>0.0</v>
      </c>
      <c r="T55" s="7" t="str">
        <f>Base!M332</f>
        <v>Devengado 2026 ≥ 90% del PIM</v>
      </c>
    </row>
    <row r="56" spans="1:20">
      <c r="A56" s="28">
        <f>SUBTOTAL(103,$B$6:B56)</f>
        <v>47</v>
      </c>
      <c r="B56" s="28">
        <v>384</v>
      </c>
      <c r="C56" s="7" t="s">
        <v>1245</v>
      </c>
      <c r="D56" s="8">
        <f>Base!N333</f>
        <v>159547.0</v>
      </c>
      <c r="E56" s="8">
        <f>Base!O333</f>
        <v>154167.0</v>
      </c>
      <c r="F56" s="8">
        <f>D56-E56</f>
        <v>5380.0</v>
      </c>
      <c r="G56" s="8">
        <f>Base!Q333</f>
        <v>116817.0</v>
      </c>
      <c r="H56" s="8">
        <f>D56-G56</f>
        <v>42730.0</v>
      </c>
      <c r="I56" s="29">
        <f>IF(D56=0,0,G56/D56)</f>
        <v>0.7321792324518794</v>
      </c>
      <c r="J56" s="7" t="str">
        <f>Base!AH333</f>
        <v>Equipamiento / Contrata</v>
      </c>
      <c r="K56" s="28" t="str">
        <f>Base!I333</f>
        <v>PROCOMPITE</v>
      </c>
      <c r="L56" s="8" t="str">
        <f>Base!AA333</f>
        <v>No registrado en cartera</v>
      </c>
      <c r="M56" s="8" t="str">
        <f>Base!AB333</f>
        <v>No registrado en cartera</v>
      </c>
      <c r="N56" s="8" t="str">
        <f>Base!AC333</f>
        <v>No registrado en cartera</v>
      </c>
      <c r="O56" s="8" t="str">
        <f>Base!AD333</f>
        <v>No registrado en cartera</v>
      </c>
      <c r="P56" s="7">
        <f>IF(Base!AI333="","",Base!AI333)</f>
        <v/>
      </c>
      <c r="Q56" s="28" t="str">
        <f>Base!J333</f>
        <v>Restringido</v>
      </c>
      <c r="R56" s="29" t="str">
        <f>Base!X333</f>
        <v>s/d</v>
      </c>
      <c r="S56" s="8">
        <f>Base!K333</f>
        <v>5380.0</v>
      </c>
      <c r="T56" s="7" t="str">
        <f>Base!M333</f>
        <v>PROCOMPITE</v>
      </c>
    </row>
    <row r="57" spans="1:20">
      <c r="A57" s="28">
        <f>SUBTOTAL(103,$B$6:B57)</f>
        <v>48</v>
      </c>
      <c r="B57" s="28">
        <v>385</v>
      </c>
      <c r="C57" s="7" t="s">
        <v>1248</v>
      </c>
      <c r="D57" s="8">
        <f>Base!N334</f>
        <v>158642.0</v>
      </c>
      <c r="E57" s="8">
        <f>Base!O334</f>
        <v>95797.62</v>
      </c>
      <c r="F57" s="8">
        <f>D57-E57</f>
        <v>62844.380000000005</v>
      </c>
      <c r="G57" s="8">
        <f>Base!Q334</f>
        <v>0.0</v>
      </c>
      <c r="H57" s="8">
        <f>D57-G57</f>
        <v>158642.0</v>
      </c>
      <c r="I57" s="29">
        <f>IF(D57=0,0,G57/D57)</f>
        <v>0.0</v>
      </c>
      <c r="J57" s="7" t="str">
        <f>Base!AH334</f>
        <v>Equipamiento / Contrata</v>
      </c>
      <c r="K57" s="28" t="str">
        <f>Base!I334</f>
        <v>PROCOMPITE</v>
      </c>
      <c r="L57" s="8" t="str">
        <f>Base!AA334</f>
        <v>No registrado en cartera</v>
      </c>
      <c r="M57" s="8" t="str">
        <f>Base!AB334</f>
        <v>No registrado en cartera</v>
      </c>
      <c r="N57" s="8" t="str">
        <f>Base!AC334</f>
        <v>No registrado en cartera</v>
      </c>
      <c r="O57" s="8" t="str">
        <f>Base!AD334</f>
        <v>No registrado en cartera</v>
      </c>
      <c r="P57" s="7">
        <f>IF(Base!AI334="","",Base!AI334)</f>
        <v/>
      </c>
      <c r="Q57" s="28" t="str">
        <f>Base!J334</f>
        <v>Restringido</v>
      </c>
      <c r="R57" s="29" t="str">
        <f>Base!X334</f>
        <v>s/d</v>
      </c>
      <c r="S57" s="8">
        <f>Base!K334</f>
        <v>62844.380000000005</v>
      </c>
      <c r="T57" s="7" t="str">
        <f>Base!M334</f>
        <v>PROCOMPITE</v>
      </c>
    </row>
    <row r="58" spans="1:20">
      <c r="A58" s="28">
        <f>SUBTOTAL(103,$B$6:B58)</f>
        <v>49</v>
      </c>
      <c r="B58" s="28">
        <v>388</v>
      </c>
      <c r="C58" s="7" t="s">
        <v>1251</v>
      </c>
      <c r="D58" s="8">
        <f>Base!N335</f>
        <v>159352.0</v>
      </c>
      <c r="E58" s="8">
        <f>Base!O335</f>
        <v>154000.0</v>
      </c>
      <c r="F58" s="8">
        <f>D58-E58</f>
        <v>5352.0</v>
      </c>
      <c r="G58" s="8">
        <f>Base!Q335</f>
        <v>150220.0</v>
      </c>
      <c r="H58" s="8">
        <f>D58-G58</f>
        <v>9132.0</v>
      </c>
      <c r="I58" s="29">
        <f>IF(D58=0,0,G58/D58)</f>
        <v>0.9426929062703951</v>
      </c>
      <c r="J58" s="7" t="str">
        <f>Base!AH335</f>
        <v>Equipamiento / Contrata</v>
      </c>
      <c r="K58" s="28" t="str">
        <f>Base!I335</f>
        <v>PROCOMPITE</v>
      </c>
      <c r="L58" s="8" t="str">
        <f>Base!AA335</f>
        <v>No registrado en cartera</v>
      </c>
      <c r="M58" s="8" t="str">
        <f>Base!AB335</f>
        <v>No registrado en cartera</v>
      </c>
      <c r="N58" s="8" t="str">
        <f>Base!AC335</f>
        <v>No registrado en cartera</v>
      </c>
      <c r="O58" s="8" t="str">
        <f>Base!AD335</f>
        <v>No registrado en cartera</v>
      </c>
      <c r="P58" s="7">
        <f>IF(Base!AI335="","",Base!AI335)</f>
        <v/>
      </c>
      <c r="Q58" s="28" t="str">
        <f>Base!J335</f>
        <v>No mover</v>
      </c>
      <c r="R58" s="29" t="str">
        <f>Base!X335</f>
        <v>s/d</v>
      </c>
      <c r="S58" s="8">
        <f>Base!K335</f>
        <v>0.0</v>
      </c>
      <c r="T58" s="7" t="str">
        <f>Base!M335</f>
        <v>Devengado 2026 ≥ 90% del PIM</v>
      </c>
    </row>
    <row r="59" spans="1:20">
      <c r="A59" s="28">
        <f>SUBTOTAL(103,$B$6:B59)</f>
        <v>50</v>
      </c>
      <c r="B59" s="28">
        <v>389</v>
      </c>
      <c r="C59" s="7" t="s">
        <v>1254</v>
      </c>
      <c r="D59" s="8">
        <f>Base!N336</f>
        <v>159613.0</v>
      </c>
      <c r="E59" s="8">
        <f>Base!O336</f>
        <v>149133.25</v>
      </c>
      <c r="F59" s="8">
        <f>D59-E59</f>
        <v>10479.75</v>
      </c>
      <c r="G59" s="8">
        <f>Base!Q336</f>
        <v>7133.25</v>
      </c>
      <c r="H59" s="8">
        <f>D59-G59</f>
        <v>152479.75</v>
      </c>
      <c r="I59" s="29">
        <f>IF(D59=0,0,G59/D59)</f>
        <v>0.04469090863526154</v>
      </c>
      <c r="J59" s="7" t="str">
        <f>Base!AH336</f>
        <v>Equipamiento / Contrata</v>
      </c>
      <c r="K59" s="28" t="str">
        <f>Base!I336</f>
        <v>PROCOMPITE</v>
      </c>
      <c r="L59" s="8" t="str">
        <f>Base!AA336</f>
        <v>No registrado en cartera</v>
      </c>
      <c r="M59" s="8" t="str">
        <f>Base!AB336</f>
        <v>No registrado en cartera</v>
      </c>
      <c r="N59" s="8" t="str">
        <f>Base!AC336</f>
        <v>No registrado en cartera</v>
      </c>
      <c r="O59" s="8" t="str">
        <f>Base!AD336</f>
        <v>No registrado en cartera</v>
      </c>
      <c r="P59" s="7">
        <f>IF(Base!AI336="","",Base!AI336)</f>
        <v/>
      </c>
      <c r="Q59" s="28" t="str">
        <f>Base!J336</f>
        <v>Restringido</v>
      </c>
      <c r="R59" s="29" t="str">
        <f>Base!X336</f>
        <v>s/d</v>
      </c>
      <c r="S59" s="8">
        <f>Base!K336</f>
        <v>10479.75</v>
      </c>
      <c r="T59" s="7" t="str">
        <f>Base!M336</f>
        <v>PROCOMPITE</v>
      </c>
    </row>
    <row r="60" spans="1:20">
      <c r="A60" s="28">
        <f>SUBTOTAL(103,$B$6:B60)</f>
        <v>51</v>
      </c>
      <c r="B60" s="28">
        <v>390</v>
      </c>
      <c r="C60" s="7" t="s">
        <v>1257</v>
      </c>
      <c r="D60" s="8">
        <f>Base!N337</f>
        <v>159555.0</v>
      </c>
      <c r="E60" s="8">
        <f>Base!O337</f>
        <v>132645.0</v>
      </c>
      <c r="F60" s="8">
        <f>D60-E60</f>
        <v>26910.0</v>
      </c>
      <c r="G60" s="8">
        <f>Base!Q337</f>
        <v>100745.0</v>
      </c>
      <c r="H60" s="8">
        <f>D60-G60</f>
        <v>58810.0</v>
      </c>
      <c r="I60" s="29">
        <f>IF(D60=0,0,G60/D60)</f>
        <v>0.6314123656419417</v>
      </c>
      <c r="J60" s="7" t="str">
        <f>Base!AH337</f>
        <v>Equipamiento / Contrata</v>
      </c>
      <c r="K60" s="28" t="str">
        <f>Base!I337</f>
        <v>PROCOMPITE</v>
      </c>
      <c r="L60" s="8" t="str">
        <f>Base!AA337</f>
        <v>No registrado en cartera</v>
      </c>
      <c r="M60" s="8" t="str">
        <f>Base!AB337</f>
        <v>No registrado en cartera</v>
      </c>
      <c r="N60" s="8" t="str">
        <f>Base!AC337</f>
        <v>No registrado en cartera</v>
      </c>
      <c r="O60" s="8" t="str">
        <f>Base!AD337</f>
        <v>No registrado en cartera</v>
      </c>
      <c r="P60" s="7">
        <f>IF(Base!AI337="","",Base!AI337)</f>
        <v/>
      </c>
      <c r="Q60" s="28" t="str">
        <f>Base!J337</f>
        <v>Restringido</v>
      </c>
      <c r="R60" s="29" t="str">
        <f>Base!X337</f>
        <v>s/d</v>
      </c>
      <c r="S60" s="8">
        <f>Base!K337</f>
        <v>26910.0</v>
      </c>
      <c r="T60" s="7" t="str">
        <f>Base!M337</f>
        <v>PROCOMPITE</v>
      </c>
    </row>
    <row r="61" spans="1:20">
      <c r="A61" s="28">
        <f>SUBTOTAL(103,$B$6:B61)</f>
        <v>52</v>
      </c>
      <c r="B61" s="28">
        <v>391</v>
      </c>
      <c r="C61" s="7" t="s">
        <v>1260</v>
      </c>
      <c r="D61" s="8">
        <f>Base!N338</f>
        <v>154799.0</v>
      </c>
      <c r="E61" s="8">
        <f>Base!O338</f>
        <v>147492.0</v>
      </c>
      <c r="F61" s="8">
        <f>D61-E61</f>
        <v>7307.0</v>
      </c>
      <c r="G61" s="8">
        <f>Base!Q338</f>
        <v>143262.0</v>
      </c>
      <c r="H61" s="8">
        <f>D61-G61</f>
        <v>11537.0</v>
      </c>
      <c r="I61" s="29">
        <f>IF(D61=0,0,G61/D61)</f>
        <v>0.9254710947745141</v>
      </c>
      <c r="J61" s="7" t="str">
        <f>Base!AH338</f>
        <v>Equipamiento / Contrata</v>
      </c>
      <c r="K61" s="28" t="str">
        <f>Base!I338</f>
        <v>PROCOMPITE</v>
      </c>
      <c r="L61" s="8" t="str">
        <f>Base!AA338</f>
        <v>No registrado en cartera</v>
      </c>
      <c r="M61" s="8" t="str">
        <f>Base!AB338</f>
        <v>No registrado en cartera</v>
      </c>
      <c r="N61" s="8" t="str">
        <f>Base!AC338</f>
        <v>No registrado en cartera</v>
      </c>
      <c r="O61" s="8" t="str">
        <f>Base!AD338</f>
        <v>No registrado en cartera</v>
      </c>
      <c r="P61" s="7">
        <f>IF(Base!AI338="","",Base!AI338)</f>
        <v/>
      </c>
      <c r="Q61" s="28" t="str">
        <f>Base!J338</f>
        <v>No mover</v>
      </c>
      <c r="R61" s="29" t="str">
        <f>Base!X338</f>
        <v>s/d</v>
      </c>
      <c r="S61" s="8">
        <f>Base!K338</f>
        <v>0.0</v>
      </c>
      <c r="T61" s="7" t="str">
        <f>Base!M338</f>
        <v>Devengado 2026 ≥ 90% del PIM</v>
      </c>
    </row>
    <row r="62" spans="1:20">
      <c r="A62" s="28">
        <f>SUBTOTAL(103,$B$6:B62)</f>
        <v>53</v>
      </c>
      <c r="B62" s="28">
        <v>395</v>
      </c>
      <c r="C62" s="7" t="s">
        <v>1263</v>
      </c>
      <c r="D62" s="8">
        <f>Base!N339</f>
        <v>155278.0</v>
      </c>
      <c r="E62" s="8">
        <f>Base!O339</f>
        <v>149541.0</v>
      </c>
      <c r="F62" s="8">
        <f>D62-E62</f>
        <v>5737.0</v>
      </c>
      <c r="G62" s="8">
        <f>Base!Q339</f>
        <v>113190.0</v>
      </c>
      <c r="H62" s="8">
        <f>D62-G62</f>
        <v>42088.0</v>
      </c>
      <c r="I62" s="29">
        <f>IF(D62=0,0,G62/D62)</f>
        <v>0.7289506562423524</v>
      </c>
      <c r="J62" s="7" t="str">
        <f>Base!AH339</f>
        <v>Equipamiento / Contrata</v>
      </c>
      <c r="K62" s="28" t="str">
        <f>Base!I339</f>
        <v>PROCOMPITE</v>
      </c>
      <c r="L62" s="8" t="str">
        <f>Base!AA339</f>
        <v>No registrado en cartera</v>
      </c>
      <c r="M62" s="8" t="str">
        <f>Base!AB339</f>
        <v>No registrado en cartera</v>
      </c>
      <c r="N62" s="8" t="str">
        <f>Base!AC339</f>
        <v>No registrado en cartera</v>
      </c>
      <c r="O62" s="8" t="str">
        <f>Base!AD339</f>
        <v>No registrado en cartera</v>
      </c>
      <c r="P62" s="7">
        <f>IF(Base!AI339="","",Base!AI339)</f>
        <v/>
      </c>
      <c r="Q62" s="28" t="str">
        <f>Base!J339</f>
        <v>Restringido</v>
      </c>
      <c r="R62" s="29" t="str">
        <f>Base!X339</f>
        <v>s/d</v>
      </c>
      <c r="S62" s="8">
        <f>Base!K339</f>
        <v>5737.0</v>
      </c>
      <c r="T62" s="7" t="str">
        <f>Base!M339</f>
        <v>PROCOMPITE</v>
      </c>
    </row>
    <row r="63" spans="1:20">
      <c r="A63" s="28">
        <f>SUBTOTAL(103,$B$6:B63)</f>
        <v>54</v>
      </c>
      <c r="B63" s="28">
        <v>396</v>
      </c>
      <c r="C63" s="7" t="s">
        <v>1266</v>
      </c>
      <c r="D63" s="8">
        <f>Base!N340</f>
        <v>159890.0</v>
      </c>
      <c r="E63" s="8">
        <f>Base!O340</f>
        <v>150349.0</v>
      </c>
      <c r="F63" s="8">
        <f>D63-E63</f>
        <v>9541.0</v>
      </c>
      <c r="G63" s="8">
        <f>Base!Q340</f>
        <v>5349.0</v>
      </c>
      <c r="H63" s="8">
        <f>D63-G63</f>
        <v>154541.0</v>
      </c>
      <c r="I63" s="29">
        <f>IF(D63=0,0,G63/D63)</f>
        <v>0.03345424979673525</v>
      </c>
      <c r="J63" s="7" t="str">
        <f>Base!AH340</f>
        <v>Equipamiento / Contrata</v>
      </c>
      <c r="K63" s="28" t="str">
        <f>Base!I340</f>
        <v>PROCOMPITE</v>
      </c>
      <c r="L63" s="8" t="str">
        <f>Base!AA340</f>
        <v>No registrado en cartera</v>
      </c>
      <c r="M63" s="8" t="str">
        <f>Base!AB340</f>
        <v>No registrado en cartera</v>
      </c>
      <c r="N63" s="8" t="str">
        <f>Base!AC340</f>
        <v>No registrado en cartera</v>
      </c>
      <c r="O63" s="8" t="str">
        <f>Base!AD340</f>
        <v>No registrado en cartera</v>
      </c>
      <c r="P63" s="7">
        <f>IF(Base!AI340="","",Base!AI340)</f>
        <v/>
      </c>
      <c r="Q63" s="28" t="str">
        <f>Base!J340</f>
        <v>Restringido</v>
      </c>
      <c r="R63" s="29" t="str">
        <f>Base!X340</f>
        <v>s/d</v>
      </c>
      <c r="S63" s="8">
        <f>Base!K340</f>
        <v>9541.0</v>
      </c>
      <c r="T63" s="7" t="str">
        <f>Base!M340</f>
        <v>PROCOMPITE</v>
      </c>
    </row>
    <row r="64" spans="1:20">
      <c r="A64" s="28">
        <f>SUBTOTAL(103,$B$6:B64)</f>
        <v>55</v>
      </c>
      <c r="B64" s="28">
        <v>398</v>
      </c>
      <c r="C64" s="7" t="s">
        <v>1269</v>
      </c>
      <c r="D64" s="8">
        <f>Base!N341</f>
        <v>159321.0</v>
      </c>
      <c r="E64" s="8">
        <f>Base!O341</f>
        <v>152810.0</v>
      </c>
      <c r="F64" s="8">
        <f>D64-E64</f>
        <v>6511.0</v>
      </c>
      <c r="G64" s="8">
        <f>Base!Q341</f>
        <v>130010.0</v>
      </c>
      <c r="H64" s="8">
        <f>D64-G64</f>
        <v>29311.0</v>
      </c>
      <c r="I64" s="29">
        <f>IF(D64=0,0,G64/D64)</f>
        <v>0.8160255082506387</v>
      </c>
      <c r="J64" s="7" t="str">
        <f>Base!AH341</f>
        <v>Equipamiento / Contrata</v>
      </c>
      <c r="K64" s="28" t="str">
        <f>Base!I341</f>
        <v>PROCOMPITE</v>
      </c>
      <c r="L64" s="8" t="str">
        <f>Base!AA341</f>
        <v>No registrado en cartera</v>
      </c>
      <c r="M64" s="8" t="str">
        <f>Base!AB341</f>
        <v>No registrado en cartera</v>
      </c>
      <c r="N64" s="8" t="str">
        <f>Base!AC341</f>
        <v>No registrado en cartera</v>
      </c>
      <c r="O64" s="8" t="str">
        <f>Base!AD341</f>
        <v>No registrado en cartera</v>
      </c>
      <c r="P64" s="7">
        <f>IF(Base!AI341="","",Base!AI341)</f>
        <v/>
      </c>
      <c r="Q64" s="28" t="str">
        <f>Base!J341</f>
        <v>Restringido</v>
      </c>
      <c r="R64" s="29" t="str">
        <f>Base!X341</f>
        <v>s/d</v>
      </c>
      <c r="S64" s="8">
        <f>Base!K341</f>
        <v>6511.0</v>
      </c>
      <c r="T64" s="7" t="str">
        <f>Base!M341</f>
        <v>PROCOMPITE</v>
      </c>
    </row>
    <row r="65" spans="1:20">
      <c r="A65" s="28">
        <f>SUBTOTAL(103,$B$6:B65)</f>
        <v>56</v>
      </c>
      <c r="B65" s="28">
        <v>400</v>
      </c>
      <c r="C65" s="7" t="s">
        <v>1272</v>
      </c>
      <c r="D65" s="8">
        <f>Base!N342</f>
        <v>146532.0</v>
      </c>
      <c r="E65" s="8">
        <f>Base!O342</f>
        <v>140645.0</v>
      </c>
      <c r="F65" s="8">
        <f>D65-E65</f>
        <v>5887.0</v>
      </c>
      <c r="G65" s="8">
        <f>Base!Q342</f>
        <v>109445.0</v>
      </c>
      <c r="H65" s="8">
        <f>D65-G65</f>
        <v>37087.0</v>
      </c>
      <c r="I65" s="29">
        <f>IF(D65=0,0,G65/D65)</f>
        <v>0.7469017006524172</v>
      </c>
      <c r="J65" s="7" t="str">
        <f>Base!AH342</f>
        <v>Equipamiento / Contrata</v>
      </c>
      <c r="K65" s="28" t="str">
        <f>Base!I342</f>
        <v>PROCOMPITE</v>
      </c>
      <c r="L65" s="8" t="str">
        <f>Base!AA342</f>
        <v>No registrado en cartera</v>
      </c>
      <c r="M65" s="8" t="str">
        <f>Base!AB342</f>
        <v>No registrado en cartera</v>
      </c>
      <c r="N65" s="8" t="str">
        <f>Base!AC342</f>
        <v>No registrado en cartera</v>
      </c>
      <c r="O65" s="8" t="str">
        <f>Base!AD342</f>
        <v>No registrado en cartera</v>
      </c>
      <c r="P65" s="7">
        <f>IF(Base!AI342="","",Base!AI342)</f>
        <v/>
      </c>
      <c r="Q65" s="28" t="str">
        <f>Base!J342</f>
        <v>Restringido</v>
      </c>
      <c r="R65" s="29" t="str">
        <f>Base!X342</f>
        <v>s/d</v>
      </c>
      <c r="S65" s="8">
        <f>Base!K342</f>
        <v>5887.0</v>
      </c>
      <c r="T65" s="7" t="str">
        <f>Base!M342</f>
        <v>PROCOMPITE</v>
      </c>
    </row>
    <row r="66" spans="1:20">
      <c r="A66" s="28">
        <f>SUBTOTAL(103,$B$6:B66)</f>
        <v>57</v>
      </c>
      <c r="B66" s="28">
        <v>401</v>
      </c>
      <c r="C66" s="7" t="s">
        <v>1275</v>
      </c>
      <c r="D66" s="8">
        <f>Base!N343</f>
        <v>155656.0</v>
      </c>
      <c r="E66" s="8">
        <f>Base!O343</f>
        <v>151053.0</v>
      </c>
      <c r="F66" s="8">
        <f>D66-E66</f>
        <v>4603.0</v>
      </c>
      <c r="G66" s="8">
        <f>Base!Q343</f>
        <v>0.0</v>
      </c>
      <c r="H66" s="8">
        <f>D66-G66</f>
        <v>155656.0</v>
      </c>
      <c r="I66" s="29">
        <f>IF(D66=0,0,G66/D66)</f>
        <v>0.0</v>
      </c>
      <c r="J66" s="7" t="str">
        <f>Base!AH343</f>
        <v>Equipamiento / Contrata</v>
      </c>
      <c r="K66" s="28" t="str">
        <f>Base!I343</f>
        <v>PROCOMPITE</v>
      </c>
      <c r="L66" s="8" t="str">
        <f>Base!AA343</f>
        <v>No registrado en cartera</v>
      </c>
      <c r="M66" s="8" t="str">
        <f>Base!AB343</f>
        <v>No registrado en cartera</v>
      </c>
      <c r="N66" s="8" t="str">
        <f>Base!AC343</f>
        <v>No registrado en cartera</v>
      </c>
      <c r="O66" s="8" t="str">
        <f>Base!AD343</f>
        <v>No registrado en cartera</v>
      </c>
      <c r="P66" s="7">
        <f>IF(Base!AI343="","",Base!AI343)</f>
        <v/>
      </c>
      <c r="Q66" s="28" t="str">
        <f>Base!J343</f>
        <v>Restringido</v>
      </c>
      <c r="R66" s="29" t="str">
        <f>Base!X343</f>
        <v>s/d</v>
      </c>
      <c r="S66" s="8">
        <f>Base!K343</f>
        <v>4603.0</v>
      </c>
      <c r="T66" s="7" t="str">
        <f>Base!M343</f>
        <v>PROCOMPITE</v>
      </c>
    </row>
    <row r="67" spans="1:20">
      <c r="A67" s="28">
        <f>SUBTOTAL(103,$B$6:B67)</f>
        <v>58</v>
      </c>
      <c r="B67" s="28">
        <v>402</v>
      </c>
      <c r="C67" s="7" t="s">
        <v>1278</v>
      </c>
      <c r="D67" s="8">
        <f>Base!N344</f>
        <v>159060.0</v>
      </c>
      <c r="E67" s="8">
        <f>Base!O344</f>
        <v>151725.0</v>
      </c>
      <c r="F67" s="8">
        <f>D67-E67</f>
        <v>7335.0</v>
      </c>
      <c r="G67" s="8">
        <f>Base!Q344</f>
        <v>124900.0</v>
      </c>
      <c r="H67" s="8">
        <f>D67-G67</f>
        <v>34160.0</v>
      </c>
      <c r="I67" s="29">
        <f>IF(D67=0,0,G67/D67)</f>
        <v>0.7852382748648309</v>
      </c>
      <c r="J67" s="7" t="str">
        <f>Base!AH344</f>
        <v>Equipamiento / Contrata</v>
      </c>
      <c r="K67" s="28" t="str">
        <f>Base!I344</f>
        <v>PROCOMPITE</v>
      </c>
      <c r="L67" s="8" t="str">
        <f>Base!AA344</f>
        <v>No registrado en cartera</v>
      </c>
      <c r="M67" s="8" t="str">
        <f>Base!AB344</f>
        <v>No registrado en cartera</v>
      </c>
      <c r="N67" s="8" t="str">
        <f>Base!AC344</f>
        <v>No registrado en cartera</v>
      </c>
      <c r="O67" s="8" t="str">
        <f>Base!AD344</f>
        <v>No registrado en cartera</v>
      </c>
      <c r="P67" s="7">
        <f>IF(Base!AI344="","",Base!AI344)</f>
        <v/>
      </c>
      <c r="Q67" s="28" t="str">
        <f>Base!J344</f>
        <v>Restringido</v>
      </c>
      <c r="R67" s="29" t="str">
        <f>Base!X344</f>
        <v>s/d</v>
      </c>
      <c r="S67" s="8">
        <f>Base!K344</f>
        <v>7335.0</v>
      </c>
      <c r="T67" s="7" t="str">
        <f>Base!M344</f>
        <v>PROCOMPITE</v>
      </c>
    </row>
    <row r="68" spans="1:20">
      <c r="A68" s="28">
        <f>SUBTOTAL(103,$B$6:B68)</f>
        <v>59</v>
      </c>
      <c r="B68" s="28">
        <v>403</v>
      </c>
      <c r="C68" s="7" t="s">
        <v>1281</v>
      </c>
      <c r="D68" s="8">
        <f>Base!N345</f>
        <v>159862.0</v>
      </c>
      <c r="E68" s="8">
        <f>Base!O345</f>
        <v>86882.5</v>
      </c>
      <c r="F68" s="8">
        <f>D68-E68</f>
        <v>72979.5</v>
      </c>
      <c r="G68" s="8">
        <f>Base!Q345</f>
        <v>86872.5</v>
      </c>
      <c r="H68" s="8">
        <f>D68-G68</f>
        <v>72989.5</v>
      </c>
      <c r="I68" s="29">
        <f>IF(D68=0,0,G68/D68)</f>
        <v>0.5434218263252055</v>
      </c>
      <c r="J68" s="7" t="str">
        <f>Base!AH345</f>
        <v>Equipamiento / Contrata</v>
      </c>
      <c r="K68" s="28" t="str">
        <f>Base!I345</f>
        <v>PROCOMPITE</v>
      </c>
      <c r="L68" s="8" t="str">
        <f>Base!AA345</f>
        <v>No registrado en cartera</v>
      </c>
      <c r="M68" s="8" t="str">
        <f>Base!AB345</f>
        <v>No registrado en cartera</v>
      </c>
      <c r="N68" s="8" t="str">
        <f>Base!AC345</f>
        <v>No registrado en cartera</v>
      </c>
      <c r="O68" s="8" t="str">
        <f>Base!AD345</f>
        <v>No registrado en cartera</v>
      </c>
      <c r="P68" s="7">
        <f>IF(Base!AI345="","",Base!AI345)</f>
        <v/>
      </c>
      <c r="Q68" s="28" t="str">
        <f>Base!J345</f>
        <v>Restringido</v>
      </c>
      <c r="R68" s="29" t="str">
        <f>Base!X345</f>
        <v>s/d</v>
      </c>
      <c r="S68" s="8">
        <f>Base!K345</f>
        <v>72979.5</v>
      </c>
      <c r="T68" s="7" t="str">
        <f>Base!M345</f>
        <v>PROCOMPITE</v>
      </c>
    </row>
    <row r="69" spans="1:20">
      <c r="A69" s="28">
        <f>SUBTOTAL(103,$B$6:B69)</f>
        <v>60</v>
      </c>
      <c r="B69" s="28">
        <v>405</v>
      </c>
      <c r="C69" s="7" t="s">
        <v>1284</v>
      </c>
      <c r="D69" s="8">
        <f>Base!N346</f>
        <v>157300.0</v>
      </c>
      <c r="E69" s="8">
        <f>Base!O346</f>
        <v>149830.0</v>
      </c>
      <c r="F69" s="8">
        <f>D69-E69</f>
        <v>7470.0</v>
      </c>
      <c r="G69" s="8">
        <f>Base!Q346</f>
        <v>149790.0</v>
      </c>
      <c r="H69" s="8">
        <f>D69-G69</f>
        <v>7510.0</v>
      </c>
      <c r="I69" s="29">
        <f>IF(D69=0,0,G69/D69)</f>
        <v>0.9522568340750159</v>
      </c>
      <c r="J69" s="7" t="str">
        <f>Base!AH346</f>
        <v>Equipamiento / Contrata</v>
      </c>
      <c r="K69" s="28" t="str">
        <f>Base!I346</f>
        <v>PROCOMPITE</v>
      </c>
      <c r="L69" s="8" t="str">
        <f>Base!AA346</f>
        <v>No registrado en cartera</v>
      </c>
      <c r="M69" s="8" t="str">
        <f>Base!AB346</f>
        <v>No registrado en cartera</v>
      </c>
      <c r="N69" s="8" t="str">
        <f>Base!AC346</f>
        <v>No registrado en cartera</v>
      </c>
      <c r="O69" s="8" t="str">
        <f>Base!AD346</f>
        <v>No registrado en cartera</v>
      </c>
      <c r="P69" s="7">
        <f>IF(Base!AI346="","",Base!AI346)</f>
        <v/>
      </c>
      <c r="Q69" s="28" t="str">
        <f>Base!J346</f>
        <v>No mover</v>
      </c>
      <c r="R69" s="29" t="str">
        <f>Base!X346</f>
        <v>s/d</v>
      </c>
      <c r="S69" s="8">
        <f>Base!K346</f>
        <v>0.0</v>
      </c>
      <c r="T69" s="7" t="str">
        <f>Base!M346</f>
        <v>Devengado 2026 ≥ 90% del PIM</v>
      </c>
    </row>
    <row r="70" spans="1:20">
      <c r="A70" s="28">
        <f>SUBTOTAL(103,$B$6:B70)</f>
        <v>61</v>
      </c>
      <c r="B70" s="28">
        <v>406</v>
      </c>
      <c r="C70" s="7" t="s">
        <v>1287</v>
      </c>
      <c r="D70" s="8">
        <f>Base!N347</f>
        <v>159720.0</v>
      </c>
      <c r="E70" s="8">
        <f>Base!O347</f>
        <v>152944.0</v>
      </c>
      <c r="F70" s="8">
        <f>D70-E70</f>
        <v>6776.0</v>
      </c>
      <c r="G70" s="8">
        <f>Base!Q347</f>
        <v>146395.0</v>
      </c>
      <c r="H70" s="8">
        <f>D70-G70</f>
        <v>13325.0</v>
      </c>
      <c r="I70" s="29">
        <f>IF(D70=0,0,G70/D70)</f>
        <v>0.916572752316554</v>
      </c>
      <c r="J70" s="7" t="str">
        <f>Base!AH347</f>
        <v>Equipamiento / Contrata</v>
      </c>
      <c r="K70" s="28" t="str">
        <f>Base!I347</f>
        <v>PROCOMPITE</v>
      </c>
      <c r="L70" s="8" t="str">
        <f>Base!AA347</f>
        <v>No registrado en cartera</v>
      </c>
      <c r="M70" s="8" t="str">
        <f>Base!AB347</f>
        <v>No registrado en cartera</v>
      </c>
      <c r="N70" s="8" t="str">
        <f>Base!AC347</f>
        <v>No registrado en cartera</v>
      </c>
      <c r="O70" s="8" t="str">
        <f>Base!AD347</f>
        <v>No registrado en cartera</v>
      </c>
      <c r="P70" s="7">
        <f>IF(Base!AI347="","",Base!AI347)</f>
        <v/>
      </c>
      <c r="Q70" s="28" t="str">
        <f>Base!J347</f>
        <v>No mover</v>
      </c>
      <c r="R70" s="29" t="str">
        <f>Base!X347</f>
        <v>s/d</v>
      </c>
      <c r="S70" s="8">
        <f>Base!K347</f>
        <v>0.0</v>
      </c>
      <c r="T70" s="7" t="str">
        <f>Base!M347</f>
        <v>Devengado 2026 ≥ 90% del PIM</v>
      </c>
    </row>
    <row r="71" spans="1:20">
      <c r="A71" s="28">
        <f>SUBTOTAL(103,$B$6:B71)</f>
        <v>62</v>
      </c>
      <c r="B71" s="28">
        <v>409</v>
      </c>
      <c r="C71" s="7" t="s">
        <v>1290</v>
      </c>
      <c r="D71" s="8">
        <f>Base!N348</f>
        <v>159007.0</v>
      </c>
      <c r="E71" s="8">
        <f>Base!O348</f>
        <v>49260.0</v>
      </c>
      <c r="F71" s="8">
        <f>D71-E71</f>
        <v>109747.0</v>
      </c>
      <c r="G71" s="8">
        <f>Base!Q348</f>
        <v>49260.0</v>
      </c>
      <c r="H71" s="8">
        <f>D71-G71</f>
        <v>109747.0</v>
      </c>
      <c r="I71" s="29">
        <f>IF(D71=0,0,G71/D71)</f>
        <v>0.3097976818630626</v>
      </c>
      <c r="J71" s="7" t="str">
        <f>Base!AH348</f>
        <v>Equipamiento / Contrata</v>
      </c>
      <c r="K71" s="28" t="str">
        <f>Base!I348</f>
        <v>PROCOMPITE</v>
      </c>
      <c r="L71" s="8" t="str">
        <f>Base!AA348</f>
        <v>No registrado en cartera</v>
      </c>
      <c r="M71" s="8" t="str">
        <f>Base!AB348</f>
        <v>No registrado en cartera</v>
      </c>
      <c r="N71" s="8" t="str">
        <f>Base!AC348</f>
        <v>No registrado en cartera</v>
      </c>
      <c r="O71" s="8" t="str">
        <f>Base!AD348</f>
        <v>No registrado en cartera</v>
      </c>
      <c r="P71" s="7">
        <f>IF(Base!AI348="","",Base!AI348)</f>
        <v/>
      </c>
      <c r="Q71" s="28" t="str">
        <f>Base!J348</f>
        <v>Restringido</v>
      </c>
      <c r="R71" s="29" t="str">
        <f>Base!X348</f>
        <v>s/d</v>
      </c>
      <c r="S71" s="8">
        <f>Base!K348</f>
        <v>109747.0</v>
      </c>
      <c r="T71" s="7" t="str">
        <f>Base!M348</f>
        <v>PROCOMPITE</v>
      </c>
    </row>
    <row r="72" spans="1:20">
      <c r="A72" s="28">
        <f>SUBTOTAL(103,$B$6:B72)</f>
        <v>63</v>
      </c>
      <c r="B72" s="28">
        <v>411</v>
      </c>
      <c r="C72" s="7" t="s">
        <v>1293</v>
      </c>
      <c r="D72" s="8">
        <f>Base!N349</f>
        <v>159876.0</v>
      </c>
      <c r="E72" s="8">
        <f>Base!O349</f>
        <v>122810.0</v>
      </c>
      <c r="F72" s="8">
        <f>D72-E72</f>
        <v>37066.0</v>
      </c>
      <c r="G72" s="8">
        <f>Base!Q349</f>
        <v>113200.0</v>
      </c>
      <c r="H72" s="8">
        <f>D72-G72</f>
        <v>46676.0</v>
      </c>
      <c r="I72" s="29">
        <f>IF(D72=0,0,G72/D72)</f>
        <v>0.7080487377717731</v>
      </c>
      <c r="J72" s="7" t="str">
        <f>Base!AH349</f>
        <v>Equipamiento / Contrata</v>
      </c>
      <c r="K72" s="28" t="str">
        <f>Base!I349</f>
        <v>PROCOMPITE</v>
      </c>
      <c r="L72" s="8" t="str">
        <f>Base!AA349</f>
        <v>No registrado en cartera</v>
      </c>
      <c r="M72" s="8" t="str">
        <f>Base!AB349</f>
        <v>No registrado en cartera</v>
      </c>
      <c r="N72" s="8" t="str">
        <f>Base!AC349</f>
        <v>No registrado en cartera</v>
      </c>
      <c r="O72" s="8" t="str">
        <f>Base!AD349</f>
        <v>No registrado en cartera</v>
      </c>
      <c r="P72" s="7">
        <f>IF(Base!AI349="","",Base!AI349)</f>
        <v/>
      </c>
      <c r="Q72" s="28" t="str">
        <f>Base!J349</f>
        <v>Restringido</v>
      </c>
      <c r="R72" s="29" t="str">
        <f>Base!X349</f>
        <v>s/d</v>
      </c>
      <c r="S72" s="8">
        <f>Base!K349</f>
        <v>37066.0</v>
      </c>
      <c r="T72" s="7" t="str">
        <f>Base!M349</f>
        <v>PROCOMPITE</v>
      </c>
    </row>
    <row r="73" spans="1:20">
      <c r="A73" s="28">
        <f>SUBTOTAL(103,$B$6:B73)</f>
        <v>64</v>
      </c>
      <c r="B73" s="28">
        <v>414</v>
      </c>
      <c r="C73" s="7" t="s">
        <v>1296</v>
      </c>
      <c r="D73" s="8">
        <f>Base!N350</f>
        <v>158527.0</v>
      </c>
      <c r="E73" s="8">
        <f>Base!O350</f>
        <v>152744.0</v>
      </c>
      <c r="F73" s="8">
        <f>D73-E73</f>
        <v>5783.0</v>
      </c>
      <c r="G73" s="8">
        <f>Base!Q350</f>
        <v>146576.0</v>
      </c>
      <c r="H73" s="8">
        <f>D73-G73</f>
        <v>11951.0</v>
      </c>
      <c r="I73" s="29">
        <f>IF(D73=0,0,G73/D73)</f>
        <v>0.9246122111690753</v>
      </c>
      <c r="J73" s="7" t="str">
        <f>Base!AH350</f>
        <v>Equipamiento / Contrata</v>
      </c>
      <c r="K73" s="28" t="str">
        <f>Base!I350</f>
        <v>PROCOMPITE</v>
      </c>
      <c r="L73" s="8" t="str">
        <f>Base!AA350</f>
        <v>No registrado en cartera</v>
      </c>
      <c r="M73" s="8" t="str">
        <f>Base!AB350</f>
        <v>No registrado en cartera</v>
      </c>
      <c r="N73" s="8" t="str">
        <f>Base!AC350</f>
        <v>No registrado en cartera</v>
      </c>
      <c r="O73" s="8" t="str">
        <f>Base!AD350</f>
        <v>No registrado en cartera</v>
      </c>
      <c r="P73" s="7">
        <f>IF(Base!AI350="","",Base!AI350)</f>
        <v/>
      </c>
      <c r="Q73" s="28" t="str">
        <f>Base!J350</f>
        <v>No mover</v>
      </c>
      <c r="R73" s="29" t="str">
        <f>Base!X350</f>
        <v>s/d</v>
      </c>
      <c r="S73" s="8">
        <f>Base!K350</f>
        <v>0.0</v>
      </c>
      <c r="T73" s="7" t="str">
        <f>Base!M350</f>
        <v>Devengado 2026 ≥ 90% del PIM</v>
      </c>
    </row>
    <row r="74" spans="1:20">
      <c r="A74" s="28">
        <f>SUBTOTAL(103,$B$6:B74)</f>
        <v>65</v>
      </c>
      <c r="B74" s="28">
        <v>415</v>
      </c>
      <c r="C74" s="7" t="s">
        <v>1299</v>
      </c>
      <c r="D74" s="8">
        <f>Base!N351</f>
        <v>158640.0</v>
      </c>
      <c r="E74" s="8">
        <f>Base!O351</f>
        <v>136115.0</v>
      </c>
      <c r="F74" s="8">
        <f>D74-E74</f>
        <v>22525.0</v>
      </c>
      <c r="G74" s="8">
        <f>Base!Q351</f>
        <v>43095.0</v>
      </c>
      <c r="H74" s="8">
        <f>D74-G74</f>
        <v>115545.0</v>
      </c>
      <c r="I74" s="29">
        <f>IF(D74=0,0,G74/D74)</f>
        <v>0.27165279878971255</v>
      </c>
      <c r="J74" s="7" t="str">
        <f>Base!AH351</f>
        <v>Equipamiento / Contrata</v>
      </c>
      <c r="K74" s="28" t="str">
        <f>Base!I351</f>
        <v>PROCOMPITE</v>
      </c>
      <c r="L74" s="8" t="str">
        <f>Base!AA351</f>
        <v>No registrado en cartera</v>
      </c>
      <c r="M74" s="8" t="str">
        <f>Base!AB351</f>
        <v>No registrado en cartera</v>
      </c>
      <c r="N74" s="8" t="str">
        <f>Base!AC351</f>
        <v>No registrado en cartera</v>
      </c>
      <c r="O74" s="8" t="str">
        <f>Base!AD351</f>
        <v>No registrado en cartera</v>
      </c>
      <c r="P74" s="7">
        <f>IF(Base!AI351="","",Base!AI351)</f>
        <v/>
      </c>
      <c r="Q74" s="28" t="str">
        <f>Base!J351</f>
        <v>Restringido</v>
      </c>
      <c r="R74" s="29" t="str">
        <f>Base!X351</f>
        <v>s/d</v>
      </c>
      <c r="S74" s="8">
        <f>Base!K351</f>
        <v>22525.0</v>
      </c>
      <c r="T74" s="7" t="str">
        <f>Base!M351</f>
        <v>PROCOMPITE</v>
      </c>
    </row>
    <row r="75" spans="1:20">
      <c r="A75" s="28">
        <f>SUBTOTAL(103,$B$6:B75)</f>
        <v>66</v>
      </c>
      <c r="B75" s="28">
        <v>416</v>
      </c>
      <c r="C75" s="7" t="s">
        <v>1302</v>
      </c>
      <c r="D75" s="8">
        <f>Base!N352</f>
        <v>159041.0</v>
      </c>
      <c r="E75" s="8">
        <f>Base!O352</f>
        <v>146000.0</v>
      </c>
      <c r="F75" s="8">
        <f>D75-E75</f>
        <v>13041.0</v>
      </c>
      <c r="G75" s="8">
        <f>Base!Q352</f>
        <v>139000.0</v>
      </c>
      <c r="H75" s="8">
        <f>D75-G75</f>
        <v>20041.0</v>
      </c>
      <c r="I75" s="29">
        <f>IF(D75=0,0,G75/D75)</f>
        <v>0.8739884683823668</v>
      </c>
      <c r="J75" s="7" t="str">
        <f>Base!AH352</f>
        <v>Equipamiento / Contrata</v>
      </c>
      <c r="K75" s="28" t="str">
        <f>Base!I352</f>
        <v>PROCOMPITE</v>
      </c>
      <c r="L75" s="8" t="str">
        <f>Base!AA352</f>
        <v>No registrado en cartera</v>
      </c>
      <c r="M75" s="8" t="str">
        <f>Base!AB352</f>
        <v>No registrado en cartera</v>
      </c>
      <c r="N75" s="8" t="str">
        <f>Base!AC352</f>
        <v>No registrado en cartera</v>
      </c>
      <c r="O75" s="8" t="str">
        <f>Base!AD352</f>
        <v>No registrado en cartera</v>
      </c>
      <c r="P75" s="7">
        <f>IF(Base!AI352="","",Base!AI352)</f>
        <v/>
      </c>
      <c r="Q75" s="28" t="str">
        <f>Base!J352</f>
        <v>Restringido</v>
      </c>
      <c r="R75" s="29" t="str">
        <f>Base!X352</f>
        <v>s/d</v>
      </c>
      <c r="S75" s="8">
        <f>Base!K352</f>
        <v>13041.0</v>
      </c>
      <c r="T75" s="7" t="str">
        <f>Base!M352</f>
        <v>PROCOMPITE</v>
      </c>
    </row>
    <row r="76" spans="1:20">
      <c r="A76" s="28">
        <f>SUBTOTAL(103,$B$6:B76)</f>
        <v>67</v>
      </c>
      <c r="B76" s="28">
        <v>419</v>
      </c>
      <c r="C76" s="7" t="s">
        <v>1305</v>
      </c>
      <c r="D76" s="8">
        <f>Base!N353</f>
        <v>159584.0</v>
      </c>
      <c r="E76" s="8">
        <f>Base!O353</f>
        <v>152800.0</v>
      </c>
      <c r="F76" s="8">
        <f>D76-E76</f>
        <v>6784.0</v>
      </c>
      <c r="G76" s="8">
        <f>Base!Q353</f>
        <v>152800.0</v>
      </c>
      <c r="H76" s="8">
        <f>D76-G76</f>
        <v>6784.0</v>
      </c>
      <c r="I76" s="29">
        <f>IF(D76=0,0,G76/D76)</f>
        <v>0.957489472628835</v>
      </c>
      <c r="J76" s="7" t="str">
        <f>Base!AH353</f>
        <v>Equipamiento / Contrata</v>
      </c>
      <c r="K76" s="28" t="str">
        <f>Base!I353</f>
        <v>PROCOMPITE</v>
      </c>
      <c r="L76" s="8" t="str">
        <f>Base!AA353</f>
        <v>No registrado en cartera</v>
      </c>
      <c r="M76" s="8" t="str">
        <f>Base!AB353</f>
        <v>No registrado en cartera</v>
      </c>
      <c r="N76" s="8" t="str">
        <f>Base!AC353</f>
        <v>No registrado en cartera</v>
      </c>
      <c r="O76" s="8" t="str">
        <f>Base!AD353</f>
        <v>No registrado en cartera</v>
      </c>
      <c r="P76" s="7">
        <f>IF(Base!AI353="","",Base!AI353)</f>
        <v/>
      </c>
      <c r="Q76" s="28" t="str">
        <f>Base!J353</f>
        <v>No mover</v>
      </c>
      <c r="R76" s="29" t="str">
        <f>Base!X353</f>
        <v>s/d</v>
      </c>
      <c r="S76" s="8">
        <f>Base!K353</f>
        <v>0.0</v>
      </c>
      <c r="T76" s="7" t="str">
        <f>Base!M353</f>
        <v>Devengado 2026 ≥ 90% del PIM</v>
      </c>
    </row>
    <row r="77" spans="1:20">
      <c r="A77" s="28">
        <f>SUBTOTAL(103,$B$6:B77)</f>
        <v>68</v>
      </c>
      <c r="B77" s="28">
        <v>422</v>
      </c>
      <c r="C77" s="7" t="s">
        <v>1308</v>
      </c>
      <c r="D77" s="8">
        <f>Base!N354</f>
        <v>159830.0</v>
      </c>
      <c r="E77" s="8">
        <f>Base!O354</f>
        <v>152085.0</v>
      </c>
      <c r="F77" s="8">
        <f>D77-E77</f>
        <v>7745.0</v>
      </c>
      <c r="G77" s="8">
        <f>Base!Q354</f>
        <v>97085.0</v>
      </c>
      <c r="H77" s="8">
        <f>D77-G77</f>
        <v>62745.0</v>
      </c>
      <c r="I77" s="29">
        <f>IF(D77=0,0,G77/D77)</f>
        <v>0.6074266408058562</v>
      </c>
      <c r="J77" s="7" t="str">
        <f>Base!AH354</f>
        <v>Equipamiento / Contrata</v>
      </c>
      <c r="K77" s="28" t="str">
        <f>Base!I354</f>
        <v>PROCOMPITE</v>
      </c>
      <c r="L77" s="8" t="str">
        <f>Base!AA354</f>
        <v>No registrado en cartera</v>
      </c>
      <c r="M77" s="8" t="str">
        <f>Base!AB354</f>
        <v>No registrado en cartera</v>
      </c>
      <c r="N77" s="8" t="str">
        <f>Base!AC354</f>
        <v>No registrado en cartera</v>
      </c>
      <c r="O77" s="8" t="str">
        <f>Base!AD354</f>
        <v>No registrado en cartera</v>
      </c>
      <c r="P77" s="7">
        <f>IF(Base!AI354="","",Base!AI354)</f>
        <v/>
      </c>
      <c r="Q77" s="28" t="str">
        <f>Base!J354</f>
        <v>Restringido</v>
      </c>
      <c r="R77" s="29" t="str">
        <f>Base!X354</f>
        <v>s/d</v>
      </c>
      <c r="S77" s="8">
        <f>Base!K354</f>
        <v>7745.0</v>
      </c>
      <c r="T77" s="7" t="str">
        <f>Base!M354</f>
        <v>PROCOMPITE</v>
      </c>
    </row>
    <row r="78" spans="1:20">
      <c r="A78" s="28">
        <f>SUBTOTAL(103,$B$6:B78)</f>
        <v>69</v>
      </c>
      <c r="B78" s="28">
        <v>426</v>
      </c>
      <c r="C78" s="7" t="s">
        <v>1311</v>
      </c>
      <c r="D78" s="8">
        <f>Base!N355</f>
        <v>159880.0</v>
      </c>
      <c r="E78" s="8">
        <f>Base!O355</f>
        <v>154030.0</v>
      </c>
      <c r="F78" s="8">
        <f>D78-E78</f>
        <v>5850.0</v>
      </c>
      <c r="G78" s="8">
        <f>Base!Q355</f>
        <v>50840.0</v>
      </c>
      <c r="H78" s="8">
        <f>D78-G78</f>
        <v>109040.0</v>
      </c>
      <c r="I78" s="29">
        <f>IF(D78=0,0,G78/D78)</f>
        <v>0.3179884913685264</v>
      </c>
      <c r="J78" s="7" t="str">
        <f>Base!AH355</f>
        <v>Equipamiento / Contrata</v>
      </c>
      <c r="K78" s="28" t="str">
        <f>Base!I355</f>
        <v>PROCOMPITE</v>
      </c>
      <c r="L78" s="8" t="str">
        <f>Base!AA355</f>
        <v>No registrado en cartera</v>
      </c>
      <c r="M78" s="8" t="str">
        <f>Base!AB355</f>
        <v>No registrado en cartera</v>
      </c>
      <c r="N78" s="8" t="str">
        <f>Base!AC355</f>
        <v>No registrado en cartera</v>
      </c>
      <c r="O78" s="8" t="str">
        <f>Base!AD355</f>
        <v>No registrado en cartera</v>
      </c>
      <c r="P78" s="7">
        <f>IF(Base!AI355="","",Base!AI355)</f>
        <v/>
      </c>
      <c r="Q78" s="28" t="str">
        <f>Base!J355</f>
        <v>Restringido</v>
      </c>
      <c r="R78" s="29" t="str">
        <f>Base!X355</f>
        <v>s/d</v>
      </c>
      <c r="S78" s="8">
        <f>Base!K355</f>
        <v>5850.0</v>
      </c>
      <c r="T78" s="7" t="str">
        <f>Base!M355</f>
        <v>PROCOMPITE</v>
      </c>
    </row>
    <row r="79" spans="1:20">
      <c r="A79" s="28">
        <f>SUBTOTAL(103,$B$6:B79)</f>
        <v>70</v>
      </c>
      <c r="B79" s="28">
        <v>478</v>
      </c>
      <c r="C79" s="7" t="s">
        <v>1314</v>
      </c>
      <c r="D79" s="8">
        <f>Base!N356</f>
        <v>159978.0</v>
      </c>
      <c r="E79" s="8">
        <f>Base!O356</f>
        <v>153229.0</v>
      </c>
      <c r="F79" s="8">
        <f>D79-E79</f>
        <v>6749.0</v>
      </c>
      <c r="G79" s="8">
        <f>Base!Q356</f>
        <v>129240.0</v>
      </c>
      <c r="H79" s="8">
        <f>D79-G79</f>
        <v>30738.0</v>
      </c>
      <c r="I79" s="29">
        <f>IF(D79=0,0,G79/D79)</f>
        <v>0.8078610808986235</v>
      </c>
      <c r="J79" s="7" t="str">
        <f>Base!AH356</f>
        <v>Equipamiento / Contrata</v>
      </c>
      <c r="K79" s="28" t="str">
        <f>Base!I356</f>
        <v>PROCOMPITE</v>
      </c>
      <c r="L79" s="8" t="str">
        <f>Base!AA356</f>
        <v>No registrado en cartera</v>
      </c>
      <c r="M79" s="8" t="str">
        <f>Base!AB356</f>
        <v>No registrado en cartera</v>
      </c>
      <c r="N79" s="8" t="str">
        <f>Base!AC356</f>
        <v>No registrado en cartera</v>
      </c>
      <c r="O79" s="8" t="str">
        <f>Base!AD356</f>
        <v>No registrado en cartera</v>
      </c>
      <c r="P79" s="7">
        <f>IF(Base!AI356="","",Base!AI356)</f>
        <v/>
      </c>
      <c r="Q79" s="28" t="str">
        <f>Base!J356</f>
        <v>Restringido</v>
      </c>
      <c r="R79" s="29" t="str">
        <f>Base!X356</f>
        <v>s/d</v>
      </c>
      <c r="S79" s="8">
        <f>Base!K356</f>
        <v>6749.0</v>
      </c>
      <c r="T79" s="7" t="str">
        <f>Base!M356</f>
        <v>PROCOMPITE</v>
      </c>
    </row>
    <row r="80" spans="1:20">
      <c r="A80" s="28">
        <f>SUBTOTAL(103,$B$6:B80)</f>
        <v>71</v>
      </c>
      <c r="B80" s="28">
        <v>487</v>
      </c>
      <c r="C80" s="7" t="s">
        <v>1317</v>
      </c>
      <c r="D80" s="8">
        <f>Base!N357</f>
        <v>44000.0</v>
      </c>
      <c r="E80" s="8">
        <f>Base!O357</f>
        <v>43500.0</v>
      </c>
      <c r="F80" s="8">
        <f>D80-E80</f>
        <v>500.0</v>
      </c>
      <c r="G80" s="8">
        <f>Base!Q357</f>
        <v>17400.0</v>
      </c>
      <c r="H80" s="8">
        <f>D80-G80</f>
        <v>26600.0</v>
      </c>
      <c r="I80" s="29">
        <f>IF(D80=0,0,G80/D80)</f>
        <v>0.39545454545454545</v>
      </c>
      <c r="J80" s="7" t="str">
        <f>Base!AH357</f>
        <v>Contrata</v>
      </c>
      <c r="K80" s="28" t="str">
        <f>Base!I357</f>
        <v>Proyecto de inversión</v>
      </c>
      <c r="L80" s="8">
        <f>Base!AA357</f>
        <v>44000.0</v>
      </c>
      <c r="M80" s="8">
        <f>Base!AB357</f>
        <v>291221.0</v>
      </c>
      <c r="N80" s="8">
        <f>Base!AC357</f>
        <v>0</v>
      </c>
      <c r="O80" s="8">
        <f>Base!AD357</f>
        <v>0</v>
      </c>
      <c r="P80" s="7">
        <f>IF(Base!AI357="","",Base!AI357)</f>
        <v/>
      </c>
      <c r="Q80" s="28" t="str">
        <f>Base!J357</f>
        <v>No mover</v>
      </c>
      <c r="R80" s="29">
        <f>Base!X357</f>
        <v>0.977531778929981</v>
      </c>
      <c r="S80" s="8">
        <f>Base!K357</f>
        <v>0.0</v>
      </c>
      <c r="T80" s="7" t="str">
        <f>Base!M357</f>
        <v>Avance financiero acumulado 98% (&gt; 90%)</v>
      </c>
    </row>
    <row r="81" spans="1:20">
      <c r="A81" s="28">
        <f>SUBTOTAL(103,$B$6:B81)</f>
        <v>72</v>
      </c>
      <c r="B81" s="28">
        <v>526</v>
      </c>
      <c r="C81" s="7" t="s">
        <v>1320</v>
      </c>
      <c r="D81" s="8">
        <f>Base!N358</f>
        <v>2795.0</v>
      </c>
      <c r="E81" s="8">
        <f>Base!O358</f>
        <v>2795.0</v>
      </c>
      <c r="F81" s="8">
        <f>D81-E81</f>
        <v>0.0</v>
      </c>
      <c r="G81" s="8">
        <f>Base!Q358</f>
        <v>0.0</v>
      </c>
      <c r="H81" s="8">
        <f>D81-G81</f>
        <v>2795.0</v>
      </c>
      <c r="I81" s="29">
        <f>IF(D81=0,0,G81/D81)</f>
        <v>0.0</v>
      </c>
      <c r="J81" s="7" t="str">
        <f>Base!AH358</f>
        <v>Contrata</v>
      </c>
      <c r="K81" s="28" t="str">
        <f>Base!I358</f>
        <v>PROCOMPITE</v>
      </c>
      <c r="L81" s="8" t="str">
        <f>Base!AA358</f>
        <v>No registrado en cartera</v>
      </c>
      <c r="M81" s="8" t="str">
        <f>Base!AB358</f>
        <v>No registrado en cartera</v>
      </c>
      <c r="N81" s="8" t="str">
        <f>Base!AC358</f>
        <v>No registrado en cartera</v>
      </c>
      <c r="O81" s="8" t="str">
        <f>Base!AD358</f>
        <v>No registrado en cartera</v>
      </c>
      <c r="P81" s="7">
        <f>IF(Base!AI358="","",Base!AI358)</f>
        <v/>
      </c>
      <c r="Q81" s="28" t="str">
        <f>Base!J358</f>
        <v>Restringido</v>
      </c>
      <c r="R81" s="29" t="str">
        <f>Base!X358</f>
        <v>s/d</v>
      </c>
      <c r="S81" s="8">
        <f>Base!K358</f>
        <v>0.0</v>
      </c>
      <c r="T81" s="7" t="str">
        <f>Base!M358</f>
        <v>PROCOMPITE</v>
      </c>
    </row>
    <row r="82" spans="1:20">
      <c r="A82" s="25" t="s">
        <v>1321</v>
      </c>
      <c r="B82" s="25"/>
      <c r="C82" s="25"/>
      <c r="D82" s="26">
        <f>SUM(D83:D86)</f>
        <v>1054126.0</v>
      </c>
      <c r="E82" s="26">
        <f>SUM(E83:E86)</f>
        <v>893638.67</v>
      </c>
      <c r="F82" s="26">
        <f>D82-E82</f>
        <v>160487.32999999996</v>
      </c>
      <c r="G82" s="26">
        <f>SUM(G83:G86)</f>
        <v>30322.0</v>
      </c>
      <c r="H82" s="26">
        <f>D82-G82</f>
        <v>1023804.0</v>
      </c>
      <c r="I82" s="27">
        <f>IF(D82=0,0,G82/D82)</f>
        <v>0.028765062241136258</v>
      </c>
      <c r="J82" s="25"/>
      <c r="K82" s="25"/>
      <c r="L82" s="25"/>
      <c r="M82" s="25"/>
      <c r="N82" s="25"/>
      <c r="O82" s="25"/>
      <c r="P82" s="25"/>
      <c r="Q82" s="25"/>
      <c r="R82" s="25"/>
      <c r="S82" s="26">
        <f>SUM(S83:S86)</f>
        <v>160487.33</v>
      </c>
      <c r="T82" s="25"/>
    </row>
    <row r="83" spans="1:20">
      <c r="A83" s="28">
        <f>SUBTOTAL(103,$B$6:B83)</f>
        <v>73</v>
      </c>
      <c r="B83" s="28">
        <v>368</v>
      </c>
      <c r="C83" s="7" t="s">
        <v>1324</v>
      </c>
      <c r="D83" s="8">
        <f>Base!N359</f>
        <v>179500.0</v>
      </c>
      <c r="E83" s="8">
        <f>Base!O359</f>
        <v>163750.0</v>
      </c>
      <c r="F83" s="8">
        <f>D83-E83</f>
        <v>15750.0</v>
      </c>
      <c r="G83" s="8">
        <f>Base!Q359</f>
        <v>3750.0</v>
      </c>
      <c r="H83" s="8">
        <f>D83-G83</f>
        <v>175750.0</v>
      </c>
      <c r="I83" s="29">
        <f>IF(D83=0,0,G83/D83)</f>
        <v>0.020891364902506964</v>
      </c>
      <c r="J83" s="7" t="str">
        <f>Base!AH359</f>
        <v>Equipamiento / Contrata</v>
      </c>
      <c r="K83" s="28" t="str">
        <f>Base!I359</f>
        <v>PROCOMPITE</v>
      </c>
      <c r="L83" s="8" t="str">
        <f>Base!AA359</f>
        <v>No registrado en cartera</v>
      </c>
      <c r="M83" s="8" t="str">
        <f>Base!AB359</f>
        <v>No registrado en cartera</v>
      </c>
      <c r="N83" s="8" t="str">
        <f>Base!AC359</f>
        <v>No registrado en cartera</v>
      </c>
      <c r="O83" s="8" t="str">
        <f>Base!AD359</f>
        <v>No registrado en cartera</v>
      </c>
      <c r="P83" s="7">
        <f>IF(Base!AI359="","",Base!AI359)</f>
        <v/>
      </c>
      <c r="Q83" s="28" t="str">
        <f>Base!J359</f>
        <v>Restringido</v>
      </c>
      <c r="R83" s="29" t="str">
        <f>Base!X359</f>
        <v>s/d</v>
      </c>
      <c r="S83" s="8">
        <f>Base!K359</f>
        <v>15750.0</v>
      </c>
      <c r="T83" s="7" t="str">
        <f>Base!M359</f>
        <v>PROCOMPITE</v>
      </c>
    </row>
    <row r="84" spans="1:20">
      <c r="A84" s="28">
        <f>SUBTOTAL(103,$B$6:B84)</f>
        <v>74</v>
      </c>
      <c r="B84" s="28">
        <v>375</v>
      </c>
      <c r="C84" s="7" t="s">
        <v>1327</v>
      </c>
      <c r="D84" s="8">
        <f>Base!N360</f>
        <v>175166.0</v>
      </c>
      <c r="E84" s="8">
        <f>Base!O360</f>
        <v>166872.0</v>
      </c>
      <c r="F84" s="8">
        <f>D84-E84</f>
        <v>8294.0</v>
      </c>
      <c r="G84" s="8">
        <f>Base!Q360</f>
        <v>5872.0</v>
      </c>
      <c r="H84" s="8">
        <f>D84-G84</f>
        <v>169294.0</v>
      </c>
      <c r="I84" s="29">
        <f>IF(D84=0,0,G84/D84)</f>
        <v>0.03352248724067456</v>
      </c>
      <c r="J84" s="7" t="str">
        <f>Base!AH360</f>
        <v>Equipamiento / Contrata</v>
      </c>
      <c r="K84" s="28" t="str">
        <f>Base!I360</f>
        <v>PROCOMPITE</v>
      </c>
      <c r="L84" s="8" t="str">
        <f>Base!AA360</f>
        <v>No registrado en cartera</v>
      </c>
      <c r="M84" s="8" t="str">
        <f>Base!AB360</f>
        <v>No registrado en cartera</v>
      </c>
      <c r="N84" s="8" t="str">
        <f>Base!AC360</f>
        <v>No registrado en cartera</v>
      </c>
      <c r="O84" s="8" t="str">
        <f>Base!AD360</f>
        <v>No registrado en cartera</v>
      </c>
      <c r="P84" s="7">
        <f>IF(Base!AI360="","",Base!AI360)</f>
        <v/>
      </c>
      <c r="Q84" s="28" t="str">
        <f>Base!J360</f>
        <v>Restringido</v>
      </c>
      <c r="R84" s="29" t="str">
        <f>Base!X360</f>
        <v>s/d</v>
      </c>
      <c r="S84" s="8">
        <f>Base!K360</f>
        <v>8294.0</v>
      </c>
      <c r="T84" s="7" t="str">
        <f>Base!M360</f>
        <v>PROCOMPITE</v>
      </c>
    </row>
    <row r="85" spans="1:20">
      <c r="A85" s="28">
        <f>SUBTOTAL(103,$B$6:B85)</f>
        <v>75</v>
      </c>
      <c r="B85" s="28">
        <v>417</v>
      </c>
      <c r="C85" s="7" t="s">
        <v>1330</v>
      </c>
      <c r="D85" s="8">
        <f>Base!N361</f>
        <v>349792.0</v>
      </c>
      <c r="E85" s="8">
        <f>Base!O361</f>
        <v>325833.33</v>
      </c>
      <c r="F85" s="8">
        <f>D85-E85</f>
        <v>23958.669999999984</v>
      </c>
      <c r="G85" s="8">
        <f>Base!Q361</f>
        <v>0.0</v>
      </c>
      <c r="H85" s="8">
        <f>D85-G85</f>
        <v>349792.0</v>
      </c>
      <c r="I85" s="29">
        <f>IF(D85=0,0,G85/D85)</f>
        <v>0.0</v>
      </c>
      <c r="J85" s="7" t="str">
        <f>Base!AH361</f>
        <v>Equipamiento / Contrata</v>
      </c>
      <c r="K85" s="28" t="str">
        <f>Base!I361</f>
        <v>PROCOMPITE</v>
      </c>
      <c r="L85" s="8" t="str">
        <f>Base!AA361</f>
        <v>No registrado en cartera</v>
      </c>
      <c r="M85" s="8" t="str">
        <f>Base!AB361</f>
        <v>No registrado en cartera</v>
      </c>
      <c r="N85" s="8" t="str">
        <f>Base!AC361</f>
        <v>No registrado en cartera</v>
      </c>
      <c r="O85" s="8" t="str">
        <f>Base!AD361</f>
        <v>No registrado en cartera</v>
      </c>
      <c r="P85" s="7">
        <f>IF(Base!AI361="","",Base!AI361)</f>
        <v/>
      </c>
      <c r="Q85" s="28" t="str">
        <f>Base!J361</f>
        <v>Restringido</v>
      </c>
      <c r="R85" s="29" t="str">
        <f>Base!X361</f>
        <v>s/d</v>
      </c>
      <c r="S85" s="8">
        <f>Base!K361</f>
        <v>23958.669999999984</v>
      </c>
      <c r="T85" s="7" t="str">
        <f>Base!M361</f>
        <v>PROCOMPITE</v>
      </c>
    </row>
    <row r="86" spans="1:20">
      <c r="A86" s="28">
        <f>SUBTOTAL(103,$B$6:B86)</f>
        <v>76</v>
      </c>
      <c r="B86" s="28">
        <v>474</v>
      </c>
      <c r="C86" s="7" t="s">
        <v>1333</v>
      </c>
      <c r="D86" s="8">
        <f>Base!N362</f>
        <v>349668.0</v>
      </c>
      <c r="E86" s="8">
        <f>Base!O362</f>
        <v>237183.34</v>
      </c>
      <c r="F86" s="8">
        <f>D86-E86</f>
        <v>112484.66</v>
      </c>
      <c r="G86" s="8">
        <f>Base!Q362</f>
        <v>20700.0</v>
      </c>
      <c r="H86" s="8">
        <f>D86-G86</f>
        <v>328968.0</v>
      </c>
      <c r="I86" s="29">
        <f>IF(D86=0,0,G86/D86)</f>
        <v>0.05919901163389272</v>
      </c>
      <c r="J86" s="7" t="str">
        <f>Base!AH362</f>
        <v>Equipamiento / Contrata</v>
      </c>
      <c r="K86" s="28" t="str">
        <f>Base!I362</f>
        <v>PROCOMPITE</v>
      </c>
      <c r="L86" s="8" t="str">
        <f>Base!AA362</f>
        <v>No registrado en cartera</v>
      </c>
      <c r="M86" s="8" t="str">
        <f>Base!AB362</f>
        <v>No registrado en cartera</v>
      </c>
      <c r="N86" s="8" t="str">
        <f>Base!AC362</f>
        <v>No registrado en cartera</v>
      </c>
      <c r="O86" s="8" t="str">
        <f>Base!AD362</f>
        <v>No registrado en cartera</v>
      </c>
      <c r="P86" s="7">
        <f>IF(Base!AI362="","",Base!AI362)</f>
        <v/>
      </c>
      <c r="Q86" s="28" t="str">
        <f>Base!J362</f>
        <v>Restringido</v>
      </c>
      <c r="R86" s="29" t="str">
        <f>Base!X362</f>
        <v>s/d</v>
      </c>
      <c r="S86" s="8">
        <f>Base!K362</f>
        <v>112484.66</v>
      </c>
      <c r="T86" s="7" t="str">
        <f>Base!M362</f>
        <v>PROCOMPITE</v>
      </c>
    </row>
    <row r="87" spans="1:20">
      <c r="A87" s="25" t="s">
        <v>1334</v>
      </c>
      <c r="B87" s="25"/>
      <c r="C87" s="25"/>
      <c r="D87" s="26">
        <f>SUM(D88:D94)</f>
        <v>1308816.0</v>
      </c>
      <c r="E87" s="26">
        <f>SUM(E88:E94)</f>
        <v>1209080.0</v>
      </c>
      <c r="F87" s="26">
        <f>D87-E87</f>
        <v>99736.0</v>
      </c>
      <c r="G87" s="26">
        <f>SUM(G88:G94)</f>
        <v>538610.0</v>
      </c>
      <c r="H87" s="26">
        <f>D87-G87</f>
        <v>770206.0</v>
      </c>
      <c r="I87" s="27">
        <f>IF(D87=0,0,G87/D87)</f>
        <v>0.4115246146135133</v>
      </c>
      <c r="J87" s="25"/>
      <c r="K87" s="25"/>
      <c r="L87" s="25"/>
      <c r="M87" s="25"/>
      <c r="N87" s="25"/>
      <c r="O87" s="25"/>
      <c r="P87" s="25"/>
      <c r="Q87" s="25"/>
      <c r="R87" s="25"/>
      <c r="S87" s="26">
        <f>SUM(S88:S94)</f>
        <v>90933.0</v>
      </c>
      <c r="T87" s="25"/>
    </row>
    <row r="88" spans="1:20">
      <c r="A88" s="28">
        <f>SUBTOTAL(103,$B$6:B88)</f>
        <v>77</v>
      </c>
      <c r="B88" s="28">
        <v>356</v>
      </c>
      <c r="C88" s="7" t="s">
        <v>1337</v>
      </c>
      <c r="D88" s="8">
        <f>Base!N363</f>
        <v>5365.0</v>
      </c>
      <c r="E88" s="8">
        <f>Base!O363</f>
        <v>5364.0</v>
      </c>
      <c r="F88" s="8">
        <f>D88-E88</f>
        <v>1.0</v>
      </c>
      <c r="G88" s="8">
        <f>Base!Q363</f>
        <v>5364.0</v>
      </c>
      <c r="H88" s="8">
        <f>D88-G88</f>
        <v>1.0</v>
      </c>
      <c r="I88" s="29">
        <f>IF(D88=0,0,G88/D88)</f>
        <v>0.9998136067101584</v>
      </c>
      <c r="J88" s="7" t="str">
        <f>Base!AH363</f>
        <v>Contrata</v>
      </c>
      <c r="K88" s="28" t="str">
        <f>Base!I363</f>
        <v>PROCOMPITE</v>
      </c>
      <c r="L88" s="8" t="str">
        <f>Base!AA363</f>
        <v>No registrado en cartera</v>
      </c>
      <c r="M88" s="8" t="str">
        <f>Base!AB363</f>
        <v>No registrado en cartera</v>
      </c>
      <c r="N88" s="8" t="str">
        <f>Base!AC363</f>
        <v>No registrado en cartera</v>
      </c>
      <c r="O88" s="8" t="str">
        <f>Base!AD363</f>
        <v>No registrado en cartera</v>
      </c>
      <c r="P88" s="7">
        <f>IF(Base!AI363="","",Base!AI363)</f>
        <v/>
      </c>
      <c r="Q88" s="28" t="str">
        <f>Base!J363</f>
        <v>No mover</v>
      </c>
      <c r="R88" s="29" t="str">
        <f>Base!X363</f>
        <v>s/d</v>
      </c>
      <c r="S88" s="8">
        <f>Base!K363</f>
        <v>0.0</v>
      </c>
      <c r="T88" s="7" t="str">
        <f>Base!M363</f>
        <v>Devengado 2026 ≥ 90% del PIM</v>
      </c>
    </row>
    <row r="89" spans="1:20">
      <c r="A89" s="28">
        <f>SUBTOTAL(103,$B$6:B89)</f>
        <v>78</v>
      </c>
      <c r="B89" s="28">
        <v>374</v>
      </c>
      <c r="C89" s="7" t="s">
        <v>1340</v>
      </c>
      <c r="D89" s="8">
        <f>Base!N364</f>
        <v>335890.0</v>
      </c>
      <c r="E89" s="8">
        <f>Base!O364</f>
        <v>314900.0</v>
      </c>
      <c r="F89" s="8">
        <f>D89-E89</f>
        <v>20990.0</v>
      </c>
      <c r="G89" s="8">
        <f>Base!Q364</f>
        <v>0.0</v>
      </c>
      <c r="H89" s="8">
        <f>D89-G89</f>
        <v>335890.0</v>
      </c>
      <c r="I89" s="29">
        <f>IF(D89=0,0,G89/D89)</f>
        <v>0.0</v>
      </c>
      <c r="J89" s="7" t="str">
        <f>Base!AH364</f>
        <v>Equipamiento / Contrata</v>
      </c>
      <c r="K89" s="28" t="str">
        <f>Base!I364</f>
        <v>PROCOMPITE</v>
      </c>
      <c r="L89" s="8" t="str">
        <f>Base!AA364</f>
        <v>No registrado en cartera</v>
      </c>
      <c r="M89" s="8" t="str">
        <f>Base!AB364</f>
        <v>No registrado en cartera</v>
      </c>
      <c r="N89" s="8" t="str">
        <f>Base!AC364</f>
        <v>No registrado en cartera</v>
      </c>
      <c r="O89" s="8" t="str">
        <f>Base!AD364</f>
        <v>No registrado en cartera</v>
      </c>
      <c r="P89" s="7">
        <f>IF(Base!AI364="","",Base!AI364)</f>
        <v/>
      </c>
      <c r="Q89" s="28" t="str">
        <f>Base!J364</f>
        <v>Restringido</v>
      </c>
      <c r="R89" s="29" t="str">
        <f>Base!X364</f>
        <v>s/d</v>
      </c>
      <c r="S89" s="8">
        <f>Base!K364</f>
        <v>20990.0</v>
      </c>
      <c r="T89" s="7" t="str">
        <f>Base!M364</f>
        <v>PROCOMPITE</v>
      </c>
    </row>
    <row r="90" spans="1:20">
      <c r="A90" s="28">
        <f>SUBTOTAL(103,$B$6:B90)</f>
        <v>79</v>
      </c>
      <c r="B90" s="28">
        <v>377</v>
      </c>
      <c r="C90" s="7" t="s">
        <v>1343</v>
      </c>
      <c r="D90" s="8">
        <f>Base!N365</f>
        <v>157066.0</v>
      </c>
      <c r="E90" s="8">
        <f>Base!O365</f>
        <v>157066.0</v>
      </c>
      <c r="F90" s="8">
        <f>D90-E90</f>
        <v>0.0</v>
      </c>
      <c r="G90" s="8">
        <f>Base!Q365</f>
        <v>157066.0</v>
      </c>
      <c r="H90" s="8">
        <f>D90-G90</f>
        <v>0.0</v>
      </c>
      <c r="I90" s="29">
        <f>IF(D90=0,0,G90/D90)</f>
        <v>1.0</v>
      </c>
      <c r="J90" s="7" t="str">
        <f>Base!AH365</f>
        <v>Equipamiento / Contrata</v>
      </c>
      <c r="K90" s="28" t="str">
        <f>Base!I365</f>
        <v>PROCOMPITE</v>
      </c>
      <c r="L90" s="8" t="str">
        <f>Base!AA365</f>
        <v>No registrado en cartera</v>
      </c>
      <c r="M90" s="8" t="str">
        <f>Base!AB365</f>
        <v>No registrado en cartera</v>
      </c>
      <c r="N90" s="8" t="str">
        <f>Base!AC365</f>
        <v>No registrado en cartera</v>
      </c>
      <c r="O90" s="8" t="str">
        <f>Base!AD365</f>
        <v>No registrado en cartera</v>
      </c>
      <c r="P90" s="7">
        <f>IF(Base!AI365="","",Base!AI365)</f>
        <v/>
      </c>
      <c r="Q90" s="28" t="str">
        <f>Base!J365</f>
        <v>No mover</v>
      </c>
      <c r="R90" s="29" t="str">
        <f>Base!X365</f>
        <v>s/d</v>
      </c>
      <c r="S90" s="8">
        <f>Base!K365</f>
        <v>0.0</v>
      </c>
      <c r="T90" s="7" t="str">
        <f>Base!M365</f>
        <v>Devengado 2026 ≥ 90% del PIM</v>
      </c>
    </row>
    <row r="91" spans="1:20">
      <c r="A91" s="28">
        <f>SUBTOTAL(103,$B$6:B91)</f>
        <v>80</v>
      </c>
      <c r="B91" s="28">
        <v>386</v>
      </c>
      <c r="C91" s="7" t="s">
        <v>1346</v>
      </c>
      <c r="D91" s="8">
        <f>Base!N366</f>
        <v>159345.0</v>
      </c>
      <c r="E91" s="8">
        <f>Base!O366</f>
        <v>150543.0</v>
      </c>
      <c r="F91" s="8">
        <f>D91-E91</f>
        <v>8802.0</v>
      </c>
      <c r="G91" s="8">
        <f>Base!Q366</f>
        <v>150263.0</v>
      </c>
      <c r="H91" s="8">
        <f>D91-G91</f>
        <v>9082.0</v>
      </c>
      <c r="I91" s="29">
        <f>IF(D91=0,0,G91/D91)</f>
        <v>0.9430041733345885</v>
      </c>
      <c r="J91" s="7" t="str">
        <f>Base!AH366</f>
        <v>Equipamiento / Contrata</v>
      </c>
      <c r="K91" s="28" t="str">
        <f>Base!I366</f>
        <v>PROCOMPITE</v>
      </c>
      <c r="L91" s="8" t="str">
        <f>Base!AA366</f>
        <v>No registrado en cartera</v>
      </c>
      <c r="M91" s="8" t="str">
        <f>Base!AB366</f>
        <v>No registrado en cartera</v>
      </c>
      <c r="N91" s="8" t="str">
        <f>Base!AC366</f>
        <v>No registrado en cartera</v>
      </c>
      <c r="O91" s="8" t="str">
        <f>Base!AD366</f>
        <v>No registrado en cartera</v>
      </c>
      <c r="P91" s="7">
        <f>IF(Base!AI366="","",Base!AI366)</f>
        <v/>
      </c>
      <c r="Q91" s="28" t="str">
        <f>Base!J366</f>
        <v>No mover</v>
      </c>
      <c r="R91" s="29" t="str">
        <f>Base!X366</f>
        <v>s/d</v>
      </c>
      <c r="S91" s="8">
        <f>Base!K366</f>
        <v>0.0</v>
      </c>
      <c r="T91" s="7" t="str">
        <f>Base!M366</f>
        <v>Devengado 2026 ≥ 90% del PIM</v>
      </c>
    </row>
    <row r="92" spans="1:20">
      <c r="A92" s="28">
        <f>SUBTOTAL(103,$B$6:B92)</f>
        <v>81</v>
      </c>
      <c r="B92" s="28">
        <v>473</v>
      </c>
      <c r="C92" s="7" t="s">
        <v>1349</v>
      </c>
      <c r="D92" s="8">
        <f>Base!N367</f>
        <v>160000.0</v>
      </c>
      <c r="E92" s="8">
        <f>Base!O367</f>
        <v>145797.0</v>
      </c>
      <c r="F92" s="8">
        <f>D92-E92</f>
        <v>14203.0</v>
      </c>
      <c r="G92" s="8">
        <f>Base!Q367</f>
        <v>139797.0</v>
      </c>
      <c r="H92" s="8">
        <f>D92-G92</f>
        <v>20203.0</v>
      </c>
      <c r="I92" s="29">
        <f>IF(D92=0,0,G92/D92)</f>
        <v>0.87373125</v>
      </c>
      <c r="J92" s="7" t="str">
        <f>Base!AH367</f>
        <v>Equipamiento / Contrata</v>
      </c>
      <c r="K92" s="28" t="str">
        <f>Base!I367</f>
        <v>PROCOMPITE</v>
      </c>
      <c r="L92" s="8" t="str">
        <f>Base!AA367</f>
        <v>No registrado en cartera</v>
      </c>
      <c r="M92" s="8" t="str">
        <f>Base!AB367</f>
        <v>No registrado en cartera</v>
      </c>
      <c r="N92" s="8" t="str">
        <f>Base!AC367</f>
        <v>No registrado en cartera</v>
      </c>
      <c r="O92" s="8" t="str">
        <f>Base!AD367</f>
        <v>No registrado en cartera</v>
      </c>
      <c r="P92" s="7">
        <f>IF(Base!AI367="","",Base!AI367)</f>
        <v/>
      </c>
      <c r="Q92" s="28" t="str">
        <f>Base!J367</f>
        <v>Restringido</v>
      </c>
      <c r="R92" s="29" t="str">
        <f>Base!X367</f>
        <v>s/d</v>
      </c>
      <c r="S92" s="8">
        <f>Base!K367</f>
        <v>14203.0</v>
      </c>
      <c r="T92" s="7" t="str">
        <f>Base!M367</f>
        <v>PROCOMPITE</v>
      </c>
    </row>
    <row r="93" spans="1:20">
      <c r="A93" s="28">
        <f>SUBTOTAL(103,$B$6:B93)</f>
        <v>82</v>
      </c>
      <c r="B93" s="28">
        <v>476</v>
      </c>
      <c r="C93" s="7" t="s">
        <v>1352</v>
      </c>
      <c r="D93" s="8">
        <f>Base!N368</f>
        <v>141150.0</v>
      </c>
      <c r="E93" s="8">
        <f>Base!O368</f>
        <v>115290.0</v>
      </c>
      <c r="F93" s="8">
        <f>D93-E93</f>
        <v>25860.0</v>
      </c>
      <c r="G93" s="8">
        <f>Base!Q368</f>
        <v>0.0</v>
      </c>
      <c r="H93" s="8">
        <f>D93-G93</f>
        <v>141150.0</v>
      </c>
      <c r="I93" s="29">
        <f>IF(D93=0,0,G93/D93)</f>
        <v>0.0</v>
      </c>
      <c r="J93" s="7" t="str">
        <f>Base!AH368</f>
        <v>Equipamiento / Contrata</v>
      </c>
      <c r="K93" s="28" t="str">
        <f>Base!I368</f>
        <v>PROCOMPITE</v>
      </c>
      <c r="L93" s="8" t="str">
        <f>Base!AA368</f>
        <v>No registrado en cartera</v>
      </c>
      <c r="M93" s="8" t="str">
        <f>Base!AB368</f>
        <v>No registrado en cartera</v>
      </c>
      <c r="N93" s="8" t="str">
        <f>Base!AC368</f>
        <v>No registrado en cartera</v>
      </c>
      <c r="O93" s="8" t="str">
        <f>Base!AD368</f>
        <v>No registrado en cartera</v>
      </c>
      <c r="P93" s="7">
        <f>IF(Base!AI368="","",Base!AI368)</f>
        <v/>
      </c>
      <c r="Q93" s="28" t="str">
        <f>Base!J368</f>
        <v>Restringido</v>
      </c>
      <c r="R93" s="29" t="str">
        <f>Base!X368</f>
        <v>s/d</v>
      </c>
      <c r="S93" s="8">
        <f>Base!K368</f>
        <v>25860.0</v>
      </c>
      <c r="T93" s="7" t="str">
        <f>Base!M368</f>
        <v>PROCOMPITE</v>
      </c>
    </row>
    <row r="94" spans="1:20">
      <c r="A94" s="28">
        <f>SUBTOTAL(103,$B$6:B94)</f>
        <v>83</v>
      </c>
      <c r="B94" s="28">
        <v>477</v>
      </c>
      <c r="C94" s="7" t="s">
        <v>1355</v>
      </c>
      <c r="D94" s="8">
        <f>Base!N369</f>
        <v>350000.0</v>
      </c>
      <c r="E94" s="8">
        <f>Base!O369</f>
        <v>320120.0</v>
      </c>
      <c r="F94" s="8">
        <f>D94-E94</f>
        <v>29880.0</v>
      </c>
      <c r="G94" s="8">
        <f>Base!Q369</f>
        <v>86120.0</v>
      </c>
      <c r="H94" s="8">
        <f>D94-G94</f>
        <v>263880.0</v>
      </c>
      <c r="I94" s="29">
        <f>IF(D94=0,0,G94/D94)</f>
        <v>0.24605714285714286</v>
      </c>
      <c r="J94" s="7" t="str">
        <f>Base!AH369</f>
        <v>Equipamiento / Contrata</v>
      </c>
      <c r="K94" s="28" t="str">
        <f>Base!I369</f>
        <v>PROCOMPITE</v>
      </c>
      <c r="L94" s="8" t="str">
        <f>Base!AA369</f>
        <v>No registrado en cartera</v>
      </c>
      <c r="M94" s="8" t="str">
        <f>Base!AB369</f>
        <v>No registrado en cartera</v>
      </c>
      <c r="N94" s="8" t="str">
        <f>Base!AC369</f>
        <v>No registrado en cartera</v>
      </c>
      <c r="O94" s="8" t="str">
        <f>Base!AD369</f>
        <v>No registrado en cartera</v>
      </c>
      <c r="P94" s="7">
        <f>IF(Base!AI369="","",Base!AI369)</f>
        <v/>
      </c>
      <c r="Q94" s="28" t="str">
        <f>Base!J369</f>
        <v>Restringido</v>
      </c>
      <c r="R94" s="29" t="str">
        <f>Base!X369</f>
        <v>s/d</v>
      </c>
      <c r="S94" s="8">
        <f>Base!K369</f>
        <v>29880.0</v>
      </c>
      <c r="T94" s="7" t="str">
        <f>Base!M369</f>
        <v>PROCOMPITE</v>
      </c>
    </row>
    <row r="95" spans="1:20">
      <c r="A95" s="21" t="s">
        <v>1356</v>
      </c>
      <c r="B95" s="21"/>
      <c r="C95" s="21"/>
      <c r="D95" s="22">
        <f>D96+D100+D102</f>
        <v>18155027.0</v>
      </c>
      <c r="E95" s="22">
        <f>E96+E100+E102</f>
        <v>15207566.98</v>
      </c>
      <c r="F95" s="22">
        <f>D95-E95</f>
        <v>2947460.0199999996</v>
      </c>
      <c r="G95" s="22">
        <f>G96+G100+G102</f>
        <v>8757642.459999999</v>
      </c>
      <c r="H95" s="22">
        <f>D95-G95</f>
        <v>9397384.540000001</v>
      </c>
      <c r="I95" s="23">
        <f>IF(D95=0,0,G95/D95)</f>
        <v>0.4823811311324406</v>
      </c>
      <c r="J95" s="21"/>
      <c r="K95" s="21"/>
      <c r="L95" s="21"/>
      <c r="M95" s="21"/>
      <c r="N95" s="21"/>
      <c r="O95" s="21"/>
      <c r="P95" s="21"/>
      <c r="Q95" s="21"/>
      <c r="R95" s="21"/>
      <c r="S95" s="22">
        <f>S96+S100+S102</f>
        <v>19805.090000000037</v>
      </c>
      <c r="T95" s="21"/>
    </row>
    <row r="96" spans="1:20">
      <c r="A96" s="25" t="s">
        <v>1357</v>
      </c>
      <c r="B96" s="25"/>
      <c r="C96" s="25"/>
      <c r="D96" s="26">
        <f>SUM(D97:D99)</f>
        <v>16120710.0</v>
      </c>
      <c r="E96" s="26">
        <f>SUM(E97:E99)</f>
        <v>15043260.780000001</v>
      </c>
      <c r="F96" s="26">
        <f>D96-E96</f>
        <v>1077449.2199999988</v>
      </c>
      <c r="G96" s="26">
        <f>SUM(G97:G99)</f>
        <v>8626797.82</v>
      </c>
      <c r="H96" s="26">
        <f>D96-G96</f>
        <v>7493912.18</v>
      </c>
      <c r="I96" s="27">
        <f>IF(D96=0,0,G96/D96)</f>
        <v>0.535137585131176</v>
      </c>
      <c r="J96" s="25"/>
      <c r="K96" s="25"/>
      <c r="L96" s="25"/>
      <c r="M96" s="25"/>
      <c r="N96" s="25"/>
      <c r="O96" s="25"/>
      <c r="P96" s="25"/>
      <c r="Q96" s="25"/>
      <c r="R96" s="25"/>
      <c r="S96" s="26">
        <f>SUM(S97:S99)</f>
        <v>16046.090000000037</v>
      </c>
      <c r="T96" s="25"/>
    </row>
    <row r="97" spans="1:20">
      <c r="A97" s="28">
        <f>SUBTOTAL(103,$B$6:B97)</f>
        <v>84</v>
      </c>
      <c r="B97" s="28">
        <v>4</v>
      </c>
      <c r="C97" s="7" t="s">
        <v>1360</v>
      </c>
      <c r="D97" s="8">
        <f>Base!N370</f>
        <v>10918999.0</v>
      </c>
      <c r="E97" s="8">
        <f>Base!O370</f>
        <v>10081158.89</v>
      </c>
      <c r="F97" s="8">
        <f>D97-E97</f>
        <v>837840.1099999994</v>
      </c>
      <c r="G97" s="8">
        <f>Base!Q370</f>
        <v>5853517.839999999</v>
      </c>
      <c r="H97" s="8">
        <f>D97-G97</f>
        <v>5065481.160000001</v>
      </c>
      <c r="I97" s="29">
        <f>IF(D97=0,0,G97/D97)</f>
        <v>0.5360855734119949</v>
      </c>
      <c r="J97" s="7" t="str">
        <f>Base!AH370</f>
        <v>Administración directa / Contrata / Personal/bienes/servicios</v>
      </c>
      <c r="K97" s="28" t="str">
        <f>Base!I370</f>
        <v>Proyecto de inversión</v>
      </c>
      <c r="L97" s="8">
        <f>Base!AA370</f>
        <v>10517000.0</v>
      </c>
      <c r="M97" s="8">
        <f>Base!AB370</f>
        <v>7783178.0</v>
      </c>
      <c r="N97" s="8">
        <f>Base!AC370</f>
        <v>1598000.0</v>
      </c>
      <c r="O97" s="8">
        <f>Base!AD370</f>
        <v>2000000.0</v>
      </c>
      <c r="P97" s="7">
        <f>IF(Base!AI370="","",Base!AI370)</f>
        <v/>
      </c>
      <c r="Q97" s="28" t="str">
        <f>Base!J370</f>
        <v>Sin saldo útil</v>
      </c>
      <c r="R97" s="29">
        <f>Base!X370</f>
        <v>0.7269659064054487</v>
      </c>
      <c r="S97" s="8">
        <f>Base!K370</f>
        <v>0.0</v>
      </c>
      <c r="T97" s="7" t="str">
        <f>Base!M370</f>
        <v>Saldo libre menor a S/ 10,000</v>
      </c>
    </row>
    <row r="98" spans="1:20">
      <c r="A98" s="28">
        <f>SUBTOTAL(103,$B$6:B98)</f>
        <v>85</v>
      </c>
      <c r="B98" s="28">
        <v>6</v>
      </c>
      <c r="C98" s="7" t="s">
        <v>1364</v>
      </c>
      <c r="D98" s="8">
        <f>Base!N371</f>
        <v>19658.0</v>
      </c>
      <c r="E98" s="8">
        <f>Base!O371</f>
        <v>3612.0</v>
      </c>
      <c r="F98" s="8">
        <f>D98-E98</f>
        <v>16046.0</v>
      </c>
      <c r="G98" s="8">
        <f>Base!Q371</f>
        <v>0.0</v>
      </c>
      <c r="H98" s="8">
        <f>D98-G98</f>
        <v>19658.0</v>
      </c>
      <c r="I98" s="29">
        <f>IF(D98=0,0,G98/D98)</f>
        <v>0.0</v>
      </c>
      <c r="J98" s="7" t="str">
        <f>Base!AH371</f>
        <v>Expediente técnico</v>
      </c>
      <c r="K98" s="28" t="str">
        <f>Base!I371</f>
        <v>Proyecto de inversión</v>
      </c>
      <c r="L98" s="8">
        <f>Base!AA371</f>
        <v>200000.0</v>
      </c>
      <c r="M98" s="8">
        <f>Base!AB371</f>
        <v>2915452.0</v>
      </c>
      <c r="N98" s="8">
        <f>Base!AC371</f>
        <v>2124684.0</v>
      </c>
      <c r="O98" s="8">
        <f>Base!AD371</f>
        <v>2000000.0</v>
      </c>
      <c r="P98" s="7">
        <f>IF(Base!AI371="","",Base!AI371)</f>
        <v/>
      </c>
      <c r="Q98" s="28" t="str">
        <f>Base!J371</f>
        <v>Con condiciones</v>
      </c>
      <c r="R98" s="29">
        <f>Base!X371</f>
        <v>0.029585979479943698</v>
      </c>
      <c r="S98" s="8">
        <f>Base!K371</f>
        <v>16045.8</v>
      </c>
      <c r="T98" s="7" t="str">
        <f>Base!M371</f>
        <v>Está programado en el PMI 2026 · Tiene monto en el PMI 2027 (S/ 2,915,452)</v>
      </c>
    </row>
    <row r="99" spans="1:20">
      <c r="A99" s="28">
        <f>SUBTOTAL(103,$B$6:B99)</f>
        <v>86</v>
      </c>
      <c r="B99" s="28">
        <v>303</v>
      </c>
      <c r="C99" s="7" t="s">
        <v>1368</v>
      </c>
      <c r="D99" s="8">
        <f>Base!N372</f>
        <v>5182053.0</v>
      </c>
      <c r="E99" s="8">
        <f>Base!O372</f>
        <v>4958489.89</v>
      </c>
      <c r="F99" s="8">
        <f>D99-E99</f>
        <v>223563.11000000034</v>
      </c>
      <c r="G99" s="8">
        <f>Base!Q372</f>
        <v>2773279.980000001</v>
      </c>
      <c r="H99" s="8">
        <f>D99-G99</f>
        <v>2408773.019999999</v>
      </c>
      <c r="I99" s="29">
        <f>IF(D99=0,0,G99/D99)</f>
        <v>0.5351701304482993</v>
      </c>
      <c r="J99" s="7" t="str">
        <f>Base!AH372</f>
        <v>Administración directa / Contrata / Personal/bienes/servicios</v>
      </c>
      <c r="K99" s="28" t="str">
        <f>Base!I372</f>
        <v>Proyecto de inversión</v>
      </c>
      <c r="L99" s="8">
        <f>Base!AA372</f>
        <v>409040.0</v>
      </c>
      <c r="M99" s="8">
        <f>Base!AB372</f>
        <v>29865.0</v>
      </c>
      <c r="N99" s="8">
        <f>Base!AC372</f>
        <v>0</v>
      </c>
      <c r="O99" s="8">
        <f>Base!AD372</f>
        <v>0</v>
      </c>
      <c r="P99" s="7">
        <f>IF(Base!AI372="","",Base!AI372)</f>
        <v/>
      </c>
      <c r="Q99" s="28" t="str">
        <f>Base!J372</f>
        <v>Sin saldo útil</v>
      </c>
      <c r="R99" s="29">
        <f>Base!X372</f>
        <v>0.8361877987100256</v>
      </c>
      <c r="S99" s="8">
        <f>Base!K372</f>
        <v>0.2900000000372529</v>
      </c>
      <c r="T99" s="7" t="str">
        <f>Base!M372</f>
        <v>Saldo libre menor a S/ 10,000</v>
      </c>
    </row>
    <row r="100" spans="1:20">
      <c r="A100" s="25" t="s">
        <v>1128</v>
      </c>
      <c r="B100" s="25"/>
      <c r="C100" s="25"/>
      <c r="D100" s="26">
        <f>SUM(D101:D101)</f>
        <v>1800000.0</v>
      </c>
      <c r="E100" s="26">
        <f>SUM(E101:E101)</f>
        <v>26893.0</v>
      </c>
      <c r="F100" s="26">
        <f>D100-E100</f>
        <v>1773107.0</v>
      </c>
      <c r="G100" s="26">
        <f>SUM(G101:G101)</f>
        <v>26892.69</v>
      </c>
      <c r="H100" s="26">
        <f>D100-G100</f>
        <v>1773107.31</v>
      </c>
      <c r="I100" s="27">
        <f>IF(D100=0,0,G100/D100)</f>
        <v>0.014940383333333333</v>
      </c>
      <c r="J100" s="25"/>
      <c r="K100" s="25"/>
      <c r="L100" s="25"/>
      <c r="M100" s="25"/>
      <c r="N100" s="25"/>
      <c r="O100" s="25"/>
      <c r="P100" s="25"/>
      <c r="Q100" s="25"/>
      <c r="R100" s="25"/>
      <c r="S100" s="26">
        <f>SUM(S101:S101)</f>
        <v>0.0</v>
      </c>
      <c r="T100" s="25"/>
    </row>
    <row r="101" spans="1:20">
      <c r="A101" s="28">
        <f>SUBTOTAL(103,$B$6:B101)</f>
        <v>87</v>
      </c>
      <c r="B101" s="28">
        <v>5</v>
      </c>
      <c r="C101" s="7" t="s">
        <v>1371</v>
      </c>
      <c r="D101" s="8">
        <f>Base!N373</f>
        <v>1800000.0</v>
      </c>
      <c r="E101" s="8">
        <f>Base!O373</f>
        <v>26893.0</v>
      </c>
      <c r="F101" s="8">
        <f>D101-E101</f>
        <v>1773107.0</v>
      </c>
      <c r="G101" s="8">
        <f>Base!Q373</f>
        <v>26892.69</v>
      </c>
      <c r="H101" s="8">
        <f>D101-G101</f>
        <v>1773107.31</v>
      </c>
      <c r="I101" s="29">
        <f>IF(D101=0,0,G101/D101)</f>
        <v>0.014940383333333333</v>
      </c>
      <c r="J101" s="7" t="str">
        <f>Base!AH373</f>
        <v>Personal/bienes/servicios / Contrata / Equipamiento / Expediente técnico</v>
      </c>
      <c r="K101" s="28" t="str">
        <f>Base!I373</f>
        <v>Proyecto de inversión</v>
      </c>
      <c r="L101" s="8">
        <f>Base!AA373</f>
        <v>300000.0</v>
      </c>
      <c r="M101" s="8">
        <f>Base!AB373</f>
        <v>4508196.0</v>
      </c>
      <c r="N101" s="8">
        <f>Base!AC373</f>
        <v>5000000.0</v>
      </c>
      <c r="O101" s="8">
        <f>Base!AD373</f>
        <v>1000000.0</v>
      </c>
      <c r="P101" s="7">
        <f>IF(Base!AI373="","",Base!AI373)</f>
        <v/>
      </c>
      <c r="Q101" s="28" t="str">
        <f>Base!J373</f>
        <v>Sin saldo útil</v>
      </c>
      <c r="R101" s="29">
        <f>Base!X373</f>
        <v>0.00723129453753436</v>
      </c>
      <c r="S101" s="8">
        <f>Base!K373</f>
        <v>0.0</v>
      </c>
      <c r="T101" s="7" t="str">
        <f>Base!M373</f>
        <v>Saldo libre menor a S/ 10,000</v>
      </c>
    </row>
    <row r="102" spans="1:20">
      <c r="A102" s="25" t="s">
        <v>1087</v>
      </c>
      <c r="B102" s="25"/>
      <c r="C102" s="25"/>
      <c r="D102" s="26">
        <f>SUM(D103:D109)</f>
        <v>234317.0</v>
      </c>
      <c r="E102" s="26">
        <f>SUM(E103:E109)</f>
        <v>137413.2</v>
      </c>
      <c r="F102" s="26">
        <f>D102-E102</f>
        <v>96903.79999999999</v>
      </c>
      <c r="G102" s="26">
        <f>SUM(G103:G109)</f>
        <v>103951.95</v>
      </c>
      <c r="H102" s="26">
        <f>D102-G102</f>
        <v>130365.05</v>
      </c>
      <c r="I102" s="27">
        <f>IF(D102=0,0,G102/D102)</f>
        <v>0.4436381056432098</v>
      </c>
      <c r="J102" s="25"/>
      <c r="K102" s="25"/>
      <c r="L102" s="25"/>
      <c r="M102" s="25"/>
      <c r="N102" s="25"/>
      <c r="O102" s="25"/>
      <c r="P102" s="25"/>
      <c r="Q102" s="25"/>
      <c r="R102" s="25"/>
      <c r="S102" s="26">
        <f>SUM(S103:S109)</f>
        <v>3759.0</v>
      </c>
      <c r="T102" s="25"/>
    </row>
    <row r="103" spans="1:20">
      <c r="A103" s="28">
        <f>SUBTOTAL(103,$B$6:B103)</f>
        <v>88</v>
      </c>
      <c r="B103" s="28">
        <v>7</v>
      </c>
      <c r="C103" s="7" t="s">
        <v>1375</v>
      </c>
      <c r="D103" s="8">
        <f>Base!N374</f>
        <v>32099.0</v>
      </c>
      <c r="E103" s="8">
        <f>Base!O374</f>
        <v>0.0</v>
      </c>
      <c r="F103" s="8">
        <f>D103-E103</f>
        <v>32099.0</v>
      </c>
      <c r="G103" s="8">
        <f>Base!Q374</f>
        <v>0.0</v>
      </c>
      <c r="H103" s="8">
        <f>D103-G103</f>
        <v>32099.0</v>
      </c>
      <c r="I103" s="29">
        <f>IF(D103=0,0,G103/D103)</f>
        <v>0.0</v>
      </c>
      <c r="J103" s="7" t="str">
        <f>Base!AH374</f>
        <v>Contrata</v>
      </c>
      <c r="K103" s="28" t="str">
        <f>Base!I374</f>
        <v>Proyecto de inversión</v>
      </c>
      <c r="L103" s="8">
        <f>Base!AA374</f>
        <v>500000.0</v>
      </c>
      <c r="M103" s="8">
        <f>Base!AB374</f>
        <v>0</v>
      </c>
      <c r="N103" s="8">
        <f>Base!AC374</f>
        <v>0</v>
      </c>
      <c r="O103" s="8">
        <f>Base!AD374</f>
        <v>0</v>
      </c>
      <c r="P103" s="7">
        <f>IF(Base!AI374="","",Base!AI374)</f>
        <v/>
      </c>
      <c r="Q103" s="28" t="str">
        <f>Base!J374</f>
        <v>Sin saldo útil</v>
      </c>
      <c r="R103" s="29">
        <f>Base!X374</f>
        <v>0.04907334910119619</v>
      </c>
      <c r="S103" s="8">
        <f>Base!K374</f>
        <v>0.0</v>
      </c>
      <c r="T103" s="7" t="str">
        <f>Base!M374</f>
        <v>Saldo libre menor a S/ 10,000</v>
      </c>
    </row>
    <row r="104" spans="1:20">
      <c r="A104" s="28">
        <f>SUBTOTAL(103,$B$6:B104)</f>
        <v>89</v>
      </c>
      <c r="B104" s="28">
        <v>152</v>
      </c>
      <c r="C104" s="7" t="s">
        <v>1378</v>
      </c>
      <c r="D104" s="8">
        <f>Base!N375</f>
        <v>30000.0</v>
      </c>
      <c r="E104" s="8">
        <f>Base!O375</f>
        <v>23434.0</v>
      </c>
      <c r="F104" s="8">
        <f>D104-E104</f>
        <v>6566.0</v>
      </c>
      <c r="G104" s="8">
        <f>Base!Q375</f>
        <v>13106.35</v>
      </c>
      <c r="H104" s="8">
        <f>D104-G104</f>
        <v>16893.65</v>
      </c>
      <c r="I104" s="29">
        <f>IF(D104=0,0,G104/D104)</f>
        <v>0.43687833333333337</v>
      </c>
      <c r="J104" s="7" t="str">
        <f>Base!AH375</f>
        <v>Contrata / Personal/bienes/servicios</v>
      </c>
      <c r="K104" s="28" t="str">
        <f>Base!I375</f>
        <v>Proyecto de inversión</v>
      </c>
      <c r="L104" s="8">
        <f>Base!AA375</f>
        <v>2080646.0</v>
      </c>
      <c r="M104" s="8">
        <f>Base!AB375</f>
        <v>70728.0</v>
      </c>
      <c r="N104" s="8">
        <f>Base!AC375</f>
        <v>300000.0</v>
      </c>
      <c r="O104" s="8">
        <f>Base!AD375</f>
        <v>300000.0</v>
      </c>
      <c r="P104" s="7">
        <f>IF(Base!AI375="","",Base!AI375)</f>
        <v/>
      </c>
      <c r="Q104" s="28" t="str">
        <f>Base!J375</f>
        <v>Sin saldo útil</v>
      </c>
      <c r="R104" s="29">
        <f>Base!X375</f>
        <v>0.28960789798915687</v>
      </c>
      <c r="S104" s="8">
        <f>Base!K375</f>
        <v>3758.0</v>
      </c>
      <c r="T104" s="7" t="str">
        <f>Base!M375</f>
        <v>Saldo libre menor a S/ 10,000</v>
      </c>
    </row>
    <row r="105" spans="1:20">
      <c r="A105" s="28">
        <f>SUBTOTAL(103,$B$6:B105)</f>
        <v>90</v>
      </c>
      <c r="B105" s="28">
        <v>154</v>
      </c>
      <c r="C105" s="7" t="s">
        <v>1381</v>
      </c>
      <c r="D105" s="8">
        <f>Base!N376</f>
        <v>90586.0</v>
      </c>
      <c r="E105" s="8">
        <f>Base!O376</f>
        <v>90435.2</v>
      </c>
      <c r="F105" s="8">
        <f>D105-E105</f>
        <v>150.8000000000029</v>
      </c>
      <c r="G105" s="8">
        <f>Base!Q376</f>
        <v>78301.59999999999</v>
      </c>
      <c r="H105" s="8">
        <f>D105-G105</f>
        <v>12284.400000000009</v>
      </c>
      <c r="I105" s="29">
        <f>IF(D105=0,0,G105/D105)</f>
        <v>0.8643896407833439</v>
      </c>
      <c r="J105" s="7" t="str">
        <f>Base!AH376</f>
        <v>Expediente técnico</v>
      </c>
      <c r="K105" s="28" t="str">
        <f>Base!I376</f>
        <v>Proyecto de inversión</v>
      </c>
      <c r="L105" s="8">
        <f>Base!AA376</f>
        <v>100000.0</v>
      </c>
      <c r="M105" s="8">
        <f>Base!AB376</f>
        <v>0</v>
      </c>
      <c r="N105" s="8">
        <f>Base!AC376</f>
        <v>2000000.0</v>
      </c>
      <c r="O105" s="8">
        <f>Base!AD376</f>
        <v>2000000.0</v>
      </c>
      <c r="P105" s="7">
        <f>IF(Base!AI376="","",Base!AI376)</f>
        <v/>
      </c>
      <c r="Q105" s="28" t="str">
        <f>Base!J376</f>
        <v>Sin saldo útil</v>
      </c>
      <c r="R105" s="29">
        <f>Base!X376</f>
        <v>0.015005859820363919</v>
      </c>
      <c r="S105" s="8">
        <f>Base!K376</f>
        <v>1.0</v>
      </c>
      <c r="T105" s="7" t="str">
        <f>Base!M376</f>
        <v>Saldo libre menor a S/ 10,000</v>
      </c>
    </row>
    <row r="106" spans="1:20">
      <c r="A106" s="28">
        <f>SUBTOTAL(103,$B$6:B106)</f>
        <v>91</v>
      </c>
      <c r="B106" s="28">
        <v>250</v>
      </c>
      <c r="C106" s="7" t="s">
        <v>1384</v>
      </c>
      <c r="D106" s="8">
        <f>Base!N377</f>
        <v>0.0</v>
      </c>
      <c r="E106" s="8">
        <f>Base!O377</f>
        <v>0.0</v>
      </c>
      <c r="F106" s="8">
        <f>D106-E106</f>
        <v>0.0</v>
      </c>
      <c r="G106" s="8">
        <f>Base!Q377</f>
        <v>0.0</v>
      </c>
      <c r="H106" s="8">
        <f>D106-G106</f>
        <v>0.0</v>
      </c>
      <c r="I106" s="29">
        <f>IF(D106=0,0,G106/D106)</f>
        <v>0</v>
      </c>
      <c r="J106" s="7" t="str">
        <f>Base!AH377</f>
        <v>Contrata</v>
      </c>
      <c r="K106" s="28" t="str">
        <f>Base!I377</f>
        <v>Proyecto de inversión</v>
      </c>
      <c r="L106" s="8">
        <f>Base!AA377</f>
        <v>800000.0</v>
      </c>
      <c r="M106" s="8">
        <f>Base!AB377</f>
        <v>0</v>
      </c>
      <c r="N106" s="8">
        <f>Base!AC377</f>
        <v>0</v>
      </c>
      <c r="O106" s="8">
        <f>Base!AD377</f>
        <v>0</v>
      </c>
      <c r="P106" s="7">
        <f>IF(Base!AI377="","",Base!AI377)</f>
        <v/>
      </c>
      <c r="Q106" s="28" t="str">
        <f>Base!J377</f>
        <v>Sin PIM</v>
      </c>
      <c r="R106" s="29">
        <f>Base!X377</f>
        <v>0.011277932532584458</v>
      </c>
      <c r="S106" s="8">
        <f>Base!K377</f>
        <v>0.0</v>
      </c>
      <c r="T106" s="7" t="str">
        <f>Base!M377</f>
        <v>PIM igual a 0</v>
      </c>
    </row>
    <row r="107" spans="1:20">
      <c r="A107" s="28">
        <f>SUBTOTAL(103,$B$6:B107)</f>
        <v>92</v>
      </c>
      <c r="B107" s="28">
        <v>253</v>
      </c>
      <c r="C107" s="7" t="s">
        <v>1388</v>
      </c>
      <c r="D107" s="8">
        <f>Base!N378</f>
        <v>0.0</v>
      </c>
      <c r="E107" s="8">
        <f>Base!O378</f>
        <v>0.0</v>
      </c>
      <c r="F107" s="8">
        <f>D107-E107</f>
        <v>0.0</v>
      </c>
      <c r="G107" s="8">
        <f>Base!Q378</f>
        <v>0.0</v>
      </c>
      <c r="H107" s="8">
        <f>D107-G107</f>
        <v>0.0</v>
      </c>
      <c r="I107" s="29">
        <f>IF(D107=0,0,G107/D107)</f>
        <v>0</v>
      </c>
      <c r="J107" s="7" t="str">
        <f>Base!AH378</f>
        <v>Personal/bienes/servicios</v>
      </c>
      <c r="K107" s="28" t="str">
        <f>Base!I378</f>
        <v>Proyecto de inversión</v>
      </c>
      <c r="L107" s="8">
        <f>Base!AA378</f>
        <v>200000.0</v>
      </c>
      <c r="M107" s="8">
        <f>Base!AB378</f>
        <v>0</v>
      </c>
      <c r="N107" s="8">
        <f>Base!AC378</f>
        <v>0</v>
      </c>
      <c r="O107" s="8">
        <f>Base!AD378</f>
        <v>0</v>
      </c>
      <c r="P107" s="7">
        <f>IF(Base!AI378="","",Base!AI378)</f>
        <v/>
      </c>
      <c r="Q107" s="28" t="str">
        <f>Base!J378</f>
        <v>Sin PIM</v>
      </c>
      <c r="R107" s="29">
        <f>Base!X378</f>
        <v>0.0181110993147409</v>
      </c>
      <c r="S107" s="8">
        <f>Base!K378</f>
        <v>0.0</v>
      </c>
      <c r="T107" s="7" t="str">
        <f>Base!M378</f>
        <v>PIM igual a 0</v>
      </c>
    </row>
    <row r="108" spans="1:20">
      <c r="A108" s="28">
        <f>SUBTOTAL(103,$B$6:B108)</f>
        <v>93</v>
      </c>
      <c r="B108" s="28">
        <v>465</v>
      </c>
      <c r="C108" s="7" t="s">
        <v>1391</v>
      </c>
      <c r="D108" s="8">
        <f>Base!N379</f>
        <v>70632.0</v>
      </c>
      <c r="E108" s="8">
        <f>Base!O379</f>
        <v>12544.0</v>
      </c>
      <c r="F108" s="8">
        <f>D108-E108</f>
        <v>58088.0</v>
      </c>
      <c r="G108" s="8">
        <f>Base!Q379</f>
        <v>12544.0</v>
      </c>
      <c r="H108" s="8">
        <f>D108-G108</f>
        <v>58088.0</v>
      </c>
      <c r="I108" s="29">
        <f>IF(D108=0,0,G108/D108)</f>
        <v>0.17759655680144976</v>
      </c>
      <c r="J108" s="7" t="str">
        <f>Base!AH379</f>
        <v>Contrata / Personal/bienes/servicios</v>
      </c>
      <c r="K108" s="28" t="str">
        <f>Base!I379</f>
        <v>Proyecto de inversión</v>
      </c>
      <c r="L108" s="8">
        <f>Base!AA379</f>
        <v>70632.0</v>
      </c>
      <c r="M108" s="8">
        <f>Base!AB379</f>
        <v>0</v>
      </c>
      <c r="N108" s="8">
        <f>Base!AC379</f>
        <v>0</v>
      </c>
      <c r="O108" s="8">
        <f>Base!AD379</f>
        <v>0</v>
      </c>
      <c r="P108" s="7">
        <f>IF(Base!AI379="","",Base!AI379)</f>
        <v/>
      </c>
      <c r="Q108" s="28" t="str">
        <f>Base!J379</f>
        <v>No mover</v>
      </c>
      <c r="R108" s="29">
        <f>Base!X379</f>
        <v>1.0089435237512083</v>
      </c>
      <c r="S108" s="8">
        <f>Base!K379</f>
        <v>0.0</v>
      </c>
      <c r="T108" s="7" t="str">
        <f>Base!M379</f>
        <v>Avance financiero acumulado 101% (&gt; 90%)</v>
      </c>
    </row>
    <row r="109" spans="1:20">
      <c r="A109" s="28">
        <f>SUBTOTAL(103,$B$6:B109)</f>
        <v>94</v>
      </c>
      <c r="B109" s="28">
        <v>471</v>
      </c>
      <c r="C109" s="7" t="s">
        <v>1395</v>
      </c>
      <c r="D109" s="8">
        <f>Base!N380</f>
        <v>11000.0</v>
      </c>
      <c r="E109" s="8">
        <f>Base!O380</f>
        <v>11000.0</v>
      </c>
      <c r="F109" s="8">
        <f>D109-E109</f>
        <v>0.0</v>
      </c>
      <c r="G109" s="8">
        <f>Base!Q380</f>
        <v>0.0</v>
      </c>
      <c r="H109" s="8">
        <f>D109-G109</f>
        <v>11000.0</v>
      </c>
      <c r="I109" s="29">
        <f>IF(D109=0,0,G109/D109)</f>
        <v>0.0</v>
      </c>
      <c r="J109" s="7" t="str">
        <f>Base!AH380</f>
        <v>Contrata / Administración directa</v>
      </c>
      <c r="K109" s="28" t="str">
        <f>Base!I380</f>
        <v>Proyecto de inversión</v>
      </c>
      <c r="L109" s="8">
        <f>Base!AA380</f>
        <v>11000.0</v>
      </c>
      <c r="M109" s="8">
        <f>Base!AB380</f>
        <v>164792.0</v>
      </c>
      <c r="N109" s="8">
        <f>Base!AC380</f>
        <v>9322563.0</v>
      </c>
      <c r="O109" s="8">
        <f>Base!AD380</f>
        <v>9322563.0</v>
      </c>
      <c r="P109" s="7">
        <f>IF(Base!AI380="","",Base!AI380)</f>
        <v/>
      </c>
      <c r="Q109" s="28" t="str">
        <f>Base!J380</f>
        <v>Sin saldo útil</v>
      </c>
      <c r="R109" s="29">
        <f>Base!X380</f>
        <v>0.0</v>
      </c>
      <c r="S109" s="8">
        <f>Base!K380</f>
        <v>0.0</v>
      </c>
      <c r="T109" s="7" t="str">
        <f>Base!M380</f>
        <v>Saldo libre menor a S/ 10,000</v>
      </c>
    </row>
    <row r="110" spans="1:20">
      <c r="A110" s="21" t="s">
        <v>1396</v>
      </c>
      <c r="B110" s="21"/>
      <c r="C110" s="21"/>
      <c r="D110" s="22">
        <f>D111</f>
        <v>13183082.0</v>
      </c>
      <c r="E110" s="22">
        <f>E111</f>
        <v>12706540.85</v>
      </c>
      <c r="F110" s="22">
        <f>D110-E110</f>
        <v>476541.1500000004</v>
      </c>
      <c r="G110" s="22">
        <f>G111</f>
        <v>3714211.519999999</v>
      </c>
      <c r="H110" s="22">
        <f>D110-G110</f>
        <v>9468870.48</v>
      </c>
      <c r="I110" s="23">
        <f>IF(D110=0,0,G110/D110)</f>
        <v>0.28174075834467227</v>
      </c>
      <c r="J110" s="21"/>
      <c r="K110" s="21"/>
      <c r="L110" s="21"/>
      <c r="M110" s="21"/>
      <c r="N110" s="21"/>
      <c r="O110" s="21"/>
      <c r="P110" s="21"/>
      <c r="Q110" s="21"/>
      <c r="R110" s="21"/>
      <c r="S110" s="22">
        <f>S111</f>
        <v>0.0</v>
      </c>
      <c r="T110" s="21"/>
    </row>
    <row r="111" spans="1:20">
      <c r="A111" s="25" t="s">
        <v>353</v>
      </c>
      <c r="B111" s="25"/>
      <c r="C111" s="25"/>
      <c r="D111" s="26">
        <f>SUM(D112:D114)</f>
        <v>13183082.0</v>
      </c>
      <c r="E111" s="26">
        <f>SUM(E112:E114)</f>
        <v>12706540.85</v>
      </c>
      <c r="F111" s="26">
        <f>D111-E111</f>
        <v>476541.1500000004</v>
      </c>
      <c r="G111" s="26">
        <f>SUM(G112:G114)</f>
        <v>3714211.519999999</v>
      </c>
      <c r="H111" s="26">
        <f>D111-G111</f>
        <v>9468870.48</v>
      </c>
      <c r="I111" s="27">
        <f>IF(D111=0,0,G111/D111)</f>
        <v>0.28174075834467227</v>
      </c>
      <c r="J111" s="25"/>
      <c r="K111" s="25"/>
      <c r="L111" s="25"/>
      <c r="M111" s="25"/>
      <c r="N111" s="25"/>
      <c r="O111" s="25"/>
      <c r="P111" s="25"/>
      <c r="Q111" s="25"/>
      <c r="R111" s="25"/>
      <c r="S111" s="26">
        <f>SUM(S112:S114)</f>
        <v>0.0</v>
      </c>
      <c r="T111" s="25"/>
    </row>
    <row r="112" spans="1:20">
      <c r="A112" s="28">
        <f>SUBTOTAL(103,$B$6:B112)</f>
        <v>95</v>
      </c>
      <c r="B112" s="28">
        <v>59</v>
      </c>
      <c r="C112" s="7" t="s">
        <v>1399</v>
      </c>
      <c r="D112" s="8">
        <f>Base!N381</f>
        <v>550560.0</v>
      </c>
      <c r="E112" s="8">
        <f>Base!O381</f>
        <v>519500.0</v>
      </c>
      <c r="F112" s="8">
        <f>D112-E112</f>
        <v>31060.0</v>
      </c>
      <c r="G112" s="8">
        <f>Base!Q381</f>
        <v>517920.09</v>
      </c>
      <c r="H112" s="8">
        <f>D112-G112</f>
        <v>32639.909999999974</v>
      </c>
      <c r="I112" s="29">
        <f>IF(D112=0,0,G112/D112)</f>
        <v>0.9407150719267655</v>
      </c>
      <c r="J112" s="7" t="str">
        <f>Base!AH381</f>
        <v>Personal/bienes/servicios / Contrata</v>
      </c>
      <c r="K112" s="28" t="str">
        <f>Base!I381</f>
        <v>Proyecto de inversión</v>
      </c>
      <c r="L112" s="8">
        <f>Base!AA381</f>
        <v>100560.0</v>
      </c>
      <c r="M112" s="8">
        <f>Base!AB381</f>
        <v>93700.0</v>
      </c>
      <c r="N112" s="8">
        <f>Base!AC381</f>
        <v>0</v>
      </c>
      <c r="O112" s="8">
        <f>Base!AD381</f>
        <v>0</v>
      </c>
      <c r="P112" s="7">
        <f>IF(Base!AI381="","",Base!AI381)</f>
        <v/>
      </c>
      <c r="Q112" s="28" t="str">
        <f>Base!J381</f>
        <v>No mover</v>
      </c>
      <c r="R112" s="29">
        <f>Base!X381</f>
        <v>1.0014382576465484</v>
      </c>
      <c r="S112" s="8">
        <f>Base!K381</f>
        <v>0.0</v>
      </c>
      <c r="T112" s="7" t="str">
        <f>Base!M381</f>
        <v>Devengado 2026 ≥ 90% del PIM</v>
      </c>
    </row>
    <row r="113" spans="1:20">
      <c r="A113" s="28">
        <f>SUBTOTAL(103,$B$6:B113)</f>
        <v>96</v>
      </c>
      <c r="B113" s="28">
        <v>60</v>
      </c>
      <c r="C113" s="7" t="s">
        <v>1404</v>
      </c>
      <c r="D113" s="8">
        <f>Base!N382</f>
        <v>12532522.0</v>
      </c>
      <c r="E113" s="8">
        <f>Base!O382</f>
        <v>12187040.85</v>
      </c>
      <c r="F113" s="8">
        <f>D113-E113</f>
        <v>345481.1500000004</v>
      </c>
      <c r="G113" s="8">
        <f>Base!Q382</f>
        <v>3196291.4299999992</v>
      </c>
      <c r="H113" s="8">
        <f>D113-G113</f>
        <v>9336230.57</v>
      </c>
      <c r="I113" s="29">
        <f>IF(D113=0,0,G113/D113)</f>
        <v>0.25503976214843266</v>
      </c>
      <c r="J113" s="7" t="str">
        <f>Base!AH382</f>
        <v>Administración directa / Personal/bienes/servicios / Contrata / Equipamiento</v>
      </c>
      <c r="K113" s="28" t="str">
        <f>Base!I382</f>
        <v>Proyecto de inversión</v>
      </c>
      <c r="L113" s="8">
        <f>Base!AA382</f>
        <v>1000000.0</v>
      </c>
      <c r="M113" s="8">
        <f>Base!AB382</f>
        <v>4832260.0</v>
      </c>
      <c r="N113" s="8">
        <f>Base!AC382</f>
        <v>1000000.0</v>
      </c>
      <c r="O113" s="8">
        <f>Base!AD382</f>
        <v>1000000.0</v>
      </c>
      <c r="P113" s="7">
        <f>IF(Base!AI382="","",Base!AI382)</f>
        <v/>
      </c>
      <c r="Q113" s="28" t="str">
        <f>Base!J382</f>
        <v>Sin saldo útil</v>
      </c>
      <c r="R113" s="29">
        <f>Base!X382</f>
        <v>0.12968220143115056</v>
      </c>
      <c r="S113" s="8">
        <f>Base!K382</f>
        <v>0.0</v>
      </c>
      <c r="T113" s="7" t="str">
        <f>Base!M382</f>
        <v>Saldo libre menor a S/ 10,000</v>
      </c>
    </row>
    <row r="114" spans="1:20">
      <c r="A114" s="28">
        <f>SUBTOTAL(103,$B$6:B114)</f>
        <v>97</v>
      </c>
      <c r="B114" s="28">
        <v>61</v>
      </c>
      <c r="C114" s="7" t="s">
        <v>1408</v>
      </c>
      <c r="D114" s="8">
        <f>Base!N383</f>
        <v>100000.0</v>
      </c>
      <c r="E114" s="8">
        <f>Base!O383</f>
        <v>0.0</v>
      </c>
      <c r="F114" s="8">
        <f>D114-E114</f>
        <v>100000.0</v>
      </c>
      <c r="G114" s="8">
        <f>Base!Q383</f>
        <v>0.0</v>
      </c>
      <c r="H114" s="8">
        <f>D114-G114</f>
        <v>100000.0</v>
      </c>
      <c r="I114" s="29">
        <f>IF(D114=0,0,G114/D114)</f>
        <v>0.0</v>
      </c>
      <c r="J114" s="7" t="str">
        <f>Base!AH383</f>
        <v>Personal/bienes/servicios</v>
      </c>
      <c r="K114" s="28" t="str">
        <f>Base!I383</f>
        <v>Proyecto de inversión</v>
      </c>
      <c r="L114" s="8">
        <f>Base!AA383</f>
        <v>100000.0</v>
      </c>
      <c r="M114" s="8">
        <f>Base!AB383</f>
        <v>0</v>
      </c>
      <c r="N114" s="8">
        <f>Base!AC383</f>
        <v>0</v>
      </c>
      <c r="O114" s="8">
        <f>Base!AD383</f>
        <v>0</v>
      </c>
      <c r="P114" s="7">
        <f>IF(Base!AI383="","",Base!AI383)</f>
        <v/>
      </c>
      <c r="Q114" s="28" t="str">
        <f>Base!J383</f>
        <v>Sin saldo útil</v>
      </c>
      <c r="R114" s="29">
        <f>Base!X383</f>
        <v>0.02252429659395325</v>
      </c>
      <c r="S114" s="8">
        <f>Base!K383</f>
        <v>0.0</v>
      </c>
      <c r="T114" s="7" t="str">
        <f>Base!M383</f>
        <v>Saldo libre menor a S/ 10,000</v>
      </c>
    </row>
    <row r="115" spans="1:20">
      <c r="A115" s="21" t="s">
        <v>1409</v>
      </c>
      <c r="B115" s="21"/>
      <c r="C115" s="21"/>
      <c r="D115" s="22">
        <f>D116+D118</f>
        <v>5603985.0</v>
      </c>
      <c r="E115" s="22">
        <f>E116+E118</f>
        <v>5451422.95</v>
      </c>
      <c r="F115" s="22">
        <f>D115-E115</f>
        <v>152562.0499999998</v>
      </c>
      <c r="G115" s="22">
        <f>G116+G118</f>
        <v>3504541.3600000003</v>
      </c>
      <c r="H115" s="22">
        <f>D115-G115</f>
        <v>2099443.6399999997</v>
      </c>
      <c r="I115" s="23">
        <f>IF(D115=0,0,G115/D115)</f>
        <v>0.6253659422714373</v>
      </c>
      <c r="J115" s="21"/>
      <c r="K115" s="21"/>
      <c r="L115" s="21"/>
      <c r="M115" s="21"/>
      <c r="N115" s="21"/>
      <c r="O115" s="21"/>
      <c r="P115" s="21"/>
      <c r="Q115" s="21"/>
      <c r="R115" s="21"/>
      <c r="S115" s="22">
        <f>S116+S118</f>
        <v>0.0</v>
      </c>
      <c r="T115" s="21"/>
    </row>
    <row r="116" spans="1:20">
      <c r="A116" s="25" t="s">
        <v>353</v>
      </c>
      <c r="B116" s="25"/>
      <c r="C116" s="25"/>
      <c r="D116" s="26">
        <f>SUM(D117:D117)</f>
        <v>1332387.0</v>
      </c>
      <c r="E116" s="26">
        <f>SUM(E117:E117)</f>
        <v>1332216.6099999999</v>
      </c>
      <c r="F116" s="26">
        <f>D116-E116</f>
        <v>170.39000000013039</v>
      </c>
      <c r="G116" s="26">
        <f>SUM(G117:G117)</f>
        <v>1212326.0</v>
      </c>
      <c r="H116" s="26">
        <f>D116-G116</f>
        <v>120061.0</v>
      </c>
      <c r="I116" s="27">
        <f>IF(D116=0,0,G116/D116)</f>
        <v>0.9098902946366183</v>
      </c>
      <c r="J116" s="25"/>
      <c r="K116" s="25"/>
      <c r="L116" s="25"/>
      <c r="M116" s="25"/>
      <c r="N116" s="25"/>
      <c r="O116" s="25"/>
      <c r="P116" s="25"/>
      <c r="Q116" s="25"/>
      <c r="R116" s="25"/>
      <c r="S116" s="26">
        <f>SUM(S117:S117)</f>
        <v>0.0</v>
      </c>
      <c r="T116" s="25"/>
    </row>
    <row r="117" spans="1:20">
      <c r="A117" s="28">
        <f>SUBTOTAL(103,$B$6:B117)</f>
        <v>98</v>
      </c>
      <c r="B117" s="28">
        <v>218</v>
      </c>
      <c r="C117" s="7" t="s">
        <v>1412</v>
      </c>
      <c r="D117" s="8">
        <f>Base!N384</f>
        <v>1332387.0</v>
      </c>
      <c r="E117" s="8">
        <f>Base!O384</f>
        <v>1332216.6099999999</v>
      </c>
      <c r="F117" s="8">
        <f>D117-E117</f>
        <v>170.39000000013039</v>
      </c>
      <c r="G117" s="8">
        <f>Base!Q384</f>
        <v>1212326.0</v>
      </c>
      <c r="H117" s="8">
        <f>D117-G117</f>
        <v>120061.0</v>
      </c>
      <c r="I117" s="29">
        <f>IF(D117=0,0,G117/D117)</f>
        <v>0.9098902946366183</v>
      </c>
      <c r="J117" s="7" t="str">
        <f>Base!AH384</f>
        <v>Contrata / Personal/bienes/servicios</v>
      </c>
      <c r="K117" s="28" t="str">
        <f>Base!I384</f>
        <v>Proyecto de inversión</v>
      </c>
      <c r="L117" s="8">
        <f>Base!AA384</f>
        <v>630478.0</v>
      </c>
      <c r="M117" s="8">
        <f>Base!AB384</f>
        <v>188781.0</v>
      </c>
      <c r="N117" s="8">
        <f>Base!AC384</f>
        <v>2845395.0</v>
      </c>
      <c r="O117" s="8">
        <f>Base!AD384</f>
        <v>2772809.0</v>
      </c>
      <c r="P117" s="7">
        <f>IF(Base!AI384="","",Base!AI384)</f>
        <v/>
      </c>
      <c r="Q117" s="28" t="str">
        <f>Base!J384</f>
        <v>No mover</v>
      </c>
      <c r="R117" s="29">
        <f>Base!X384</f>
        <v>0.9461498184716229</v>
      </c>
      <c r="S117" s="8">
        <f>Base!K384</f>
        <v>0.0</v>
      </c>
      <c r="T117" s="7" t="str">
        <f>Base!M384</f>
        <v>Devengado 2026 ≥ 90% del PIM</v>
      </c>
    </row>
    <row r="118" spans="1:20">
      <c r="A118" s="25" t="s">
        <v>1128</v>
      </c>
      <c r="B118" s="25"/>
      <c r="C118" s="25"/>
      <c r="D118" s="26">
        <f>SUM(D119:D119)</f>
        <v>4271598.0</v>
      </c>
      <c r="E118" s="26">
        <f>SUM(E119:E119)</f>
        <v>4119206.3400000003</v>
      </c>
      <c r="F118" s="26">
        <f>D118-E118</f>
        <v>152391.65999999968</v>
      </c>
      <c r="G118" s="26">
        <f>SUM(G119:G119)</f>
        <v>2292215.3600000003</v>
      </c>
      <c r="H118" s="26">
        <f>D118-G118</f>
        <v>1979382.6399999997</v>
      </c>
      <c r="I118" s="27">
        <f>IF(D118=0,0,G118/D118)</f>
        <v>0.5366177622519723</v>
      </c>
      <c r="J118" s="25"/>
      <c r="K118" s="25"/>
      <c r="L118" s="25"/>
      <c r="M118" s="25"/>
      <c r="N118" s="25"/>
      <c r="O118" s="25"/>
      <c r="P118" s="25"/>
      <c r="Q118" s="25"/>
      <c r="R118" s="25"/>
      <c r="S118" s="26">
        <f>SUM(S119:S119)</f>
        <v>0.0</v>
      </c>
      <c r="T118" s="25"/>
    </row>
    <row r="119" spans="1:20">
      <c r="A119" s="28">
        <f>SUBTOTAL(103,$B$6:B119)</f>
        <v>99</v>
      </c>
      <c r="B119" s="28">
        <v>264</v>
      </c>
      <c r="C119" s="7" t="s">
        <v>1416</v>
      </c>
      <c r="D119" s="8">
        <f>Base!N385</f>
        <v>4271598.0</v>
      </c>
      <c r="E119" s="8">
        <f>Base!O385</f>
        <v>4119206.3400000003</v>
      </c>
      <c r="F119" s="8">
        <f>D119-E119</f>
        <v>152391.65999999968</v>
      </c>
      <c r="G119" s="8">
        <f>Base!Q385</f>
        <v>2292215.3600000003</v>
      </c>
      <c r="H119" s="8">
        <f>D119-G119</f>
        <v>1979382.6399999997</v>
      </c>
      <c r="I119" s="29">
        <f>IF(D119=0,0,G119/D119)</f>
        <v>0.5366177622519723</v>
      </c>
      <c r="J119" s="7" t="str">
        <f>Base!AH385</f>
        <v>Personal/bienes/servicios / Contrata / Equipamiento</v>
      </c>
      <c r="K119" s="28" t="str">
        <f>Base!I385</f>
        <v>Proyecto de inversión</v>
      </c>
      <c r="L119" s="8">
        <f>Base!AA385</f>
        <v>1500000.0</v>
      </c>
      <c r="M119" s="8">
        <f>Base!AB385</f>
        <v>4950944.0</v>
      </c>
      <c r="N119" s="8">
        <f>Base!AC385</f>
        <v>5144103.0</v>
      </c>
      <c r="O119" s="8">
        <f>Base!AD385</f>
        <v>4718085.0</v>
      </c>
      <c r="P119" s="7">
        <f>IF(Base!AI385="","",Base!AI385)</f>
        <v/>
      </c>
      <c r="Q119" s="28" t="str">
        <f>Base!J385</f>
        <v>Sin saldo útil</v>
      </c>
      <c r="R119" s="29">
        <f>Base!X385</f>
        <v>0.061885680609275684</v>
      </c>
      <c r="S119" s="8">
        <f>Base!K385</f>
        <v>0.0</v>
      </c>
      <c r="T119" s="7" t="str">
        <f>Base!M385</f>
        <v>Saldo libre menor a S/ 10,000</v>
      </c>
    </row>
    <row r="120" spans="1:20">
      <c r="A120" s="21" t="s">
        <v>1418</v>
      </c>
      <c r="B120" s="21"/>
      <c r="C120" s="21"/>
      <c r="D120" s="22">
        <f>D121+D149+D162+D165</f>
        <v>74669674.0</v>
      </c>
      <c r="E120" s="22">
        <f>E121+E149+E162+E165</f>
        <v>67493227.27000001</v>
      </c>
      <c r="F120" s="22">
        <f>D120-E120</f>
        <v>7176446.729999989</v>
      </c>
      <c r="G120" s="22">
        <f>G121+G149+G162+G165</f>
        <v>23519606.32</v>
      </c>
      <c r="H120" s="22">
        <f>D120-G120</f>
        <v>51150067.68</v>
      </c>
      <c r="I120" s="23">
        <f>IF(D120=0,0,G120/D120)</f>
        <v>0.31498204103582933</v>
      </c>
      <c r="J120" s="21"/>
      <c r="K120" s="21"/>
      <c r="L120" s="21"/>
      <c r="M120" s="21"/>
      <c r="N120" s="21"/>
      <c r="O120" s="21"/>
      <c r="P120" s="21"/>
      <c r="Q120" s="21"/>
      <c r="R120" s="21"/>
      <c r="S120" s="22">
        <f>S121+S149+S162+S165</f>
        <v>2464603.6000000006</v>
      </c>
      <c r="T120" s="21"/>
    </row>
    <row r="121" spans="1:20">
      <c r="A121" s="25" t="s">
        <v>78</v>
      </c>
      <c r="B121" s="25"/>
      <c r="C121" s="25"/>
      <c r="D121" s="26">
        <f>SUM(D122:D148)</f>
        <v>52935028.0</v>
      </c>
      <c r="E121" s="26">
        <f>SUM(E122:E148)</f>
        <v>48889834.080000006</v>
      </c>
      <c r="F121" s="26">
        <f>D121-E121</f>
        <v>4045193.9199999943</v>
      </c>
      <c r="G121" s="26">
        <f>SUM(G122:G148)</f>
        <v>17051814.8</v>
      </c>
      <c r="H121" s="26">
        <f>D121-G121</f>
        <v>35883213.2</v>
      </c>
      <c r="I121" s="27">
        <f>IF(D121=0,0,G121/D121)</f>
        <v>0.3221272462536527</v>
      </c>
      <c r="J121" s="25"/>
      <c r="K121" s="25"/>
      <c r="L121" s="25"/>
      <c r="M121" s="25"/>
      <c r="N121" s="25"/>
      <c r="O121" s="25"/>
      <c r="P121" s="25"/>
      <c r="Q121" s="25"/>
      <c r="R121" s="25"/>
      <c r="S121" s="26">
        <f>SUM(S122:S148)</f>
        <v>296533.0</v>
      </c>
      <c r="T121" s="25"/>
    </row>
    <row r="122" spans="1:20">
      <c r="A122" s="28">
        <f>SUBTOTAL(103,$B$6:B122)</f>
        <v>100</v>
      </c>
      <c r="B122" s="28">
        <v>195</v>
      </c>
      <c r="C122" s="7" t="s">
        <v>1421</v>
      </c>
      <c r="D122" s="8">
        <f>Base!N386</f>
        <v>0.0</v>
      </c>
      <c r="E122" s="8">
        <f>Base!O386</f>
        <v>0.0</v>
      </c>
      <c r="F122" s="8">
        <f>D122-E122</f>
        <v>0.0</v>
      </c>
      <c r="G122" s="8">
        <f>Base!Q386</f>
        <v>0.0</v>
      </c>
      <c r="H122" s="8">
        <f>D122-G122</f>
        <v>0.0</v>
      </c>
      <c r="I122" s="29">
        <f>IF(D122=0,0,G122/D122)</f>
        <v>0</v>
      </c>
      <c r="J122" s="7" t="str">
        <f>Base!AH386</f>
        <v>Personal/bienes/servicios</v>
      </c>
      <c r="K122" s="28" t="str">
        <f>Base!I386</f>
        <v>Proyecto de inversión</v>
      </c>
      <c r="L122" s="8">
        <f>Base!AA386</f>
        <v>4098.0</v>
      </c>
      <c r="M122" s="8">
        <f>Base!AB386</f>
        <v>0</v>
      </c>
      <c r="N122" s="8">
        <f>Base!AC386</f>
        <v>0</v>
      </c>
      <c r="O122" s="8">
        <f>Base!AD386</f>
        <v>0</v>
      </c>
      <c r="P122" s="7">
        <f>IF(Base!AI386="","",Base!AI386)</f>
        <v/>
      </c>
      <c r="Q122" s="28" t="str">
        <f>Base!J386</f>
        <v>Sin PIM</v>
      </c>
      <c r="R122" s="29">
        <f>Base!X386</f>
        <v>0.9995541210244867</v>
      </c>
      <c r="S122" s="8">
        <f>Base!K386</f>
        <v>0.0</v>
      </c>
      <c r="T122" s="7" t="str">
        <f>Base!M386</f>
        <v>PIM igual a 0</v>
      </c>
    </row>
    <row r="123" spans="1:20">
      <c r="A123" s="28">
        <f>SUBTOTAL(103,$B$6:B123)</f>
        <v>101</v>
      </c>
      <c r="B123" s="28">
        <v>196</v>
      </c>
      <c r="C123" s="7" t="s">
        <v>1425</v>
      </c>
      <c r="D123" s="8">
        <f>Base!N387</f>
        <v>0.0</v>
      </c>
      <c r="E123" s="8">
        <f>Base!O387</f>
        <v>0.0</v>
      </c>
      <c r="F123" s="8">
        <f>D123-E123</f>
        <v>0.0</v>
      </c>
      <c r="G123" s="8">
        <f>Base!Q387</f>
        <v>0.0</v>
      </c>
      <c r="H123" s="8">
        <f>D123-G123</f>
        <v>0.0</v>
      </c>
      <c r="I123" s="29">
        <f>IF(D123=0,0,G123/D123)</f>
        <v>0</v>
      </c>
      <c r="J123" s="7" t="str">
        <f>Base!AH387</f>
        <v>Personal/bienes/servicios</v>
      </c>
      <c r="K123" s="28" t="str">
        <f>Base!I387</f>
        <v>Proyecto de inversión</v>
      </c>
      <c r="L123" s="8">
        <f>Base!AA387</f>
        <v>87917.0</v>
      </c>
      <c r="M123" s="8">
        <f>Base!AB387</f>
        <v>0</v>
      </c>
      <c r="N123" s="8">
        <f>Base!AC387</f>
        <v>0</v>
      </c>
      <c r="O123" s="8">
        <f>Base!AD387</f>
        <v>0</v>
      </c>
      <c r="P123" s="7">
        <f>IF(Base!AI387="","",Base!AI387)</f>
        <v/>
      </c>
      <c r="Q123" s="28" t="str">
        <f>Base!J387</f>
        <v>Sin PIM</v>
      </c>
      <c r="R123" s="29">
        <f>Base!X387</f>
        <v>0.991423104654477</v>
      </c>
      <c r="S123" s="8">
        <f>Base!K387</f>
        <v>0.0</v>
      </c>
      <c r="T123" s="7" t="str">
        <f>Base!M387</f>
        <v>PIM igual a 0</v>
      </c>
    </row>
    <row r="124" spans="1:20">
      <c r="A124" s="28">
        <f>SUBTOTAL(103,$B$6:B124)</f>
        <v>102</v>
      </c>
      <c r="B124" s="28">
        <v>239</v>
      </c>
      <c r="C124" s="7" t="s">
        <v>1429</v>
      </c>
      <c r="D124" s="8">
        <f>Base!N388</f>
        <v>0.0</v>
      </c>
      <c r="E124" s="8">
        <f>Base!O388</f>
        <v>0.0</v>
      </c>
      <c r="F124" s="8">
        <f>D124-E124</f>
        <v>0.0</v>
      </c>
      <c r="G124" s="8">
        <f>Base!Q388</f>
        <v>0.0</v>
      </c>
      <c r="H124" s="8">
        <f>D124-G124</f>
        <v>0.0</v>
      </c>
      <c r="I124" s="29">
        <f>IF(D124=0,0,G124/D124)</f>
        <v>0</v>
      </c>
      <c r="J124" s="7" t="str">
        <f>Base!AH388</f>
        <v>Administración directa</v>
      </c>
      <c r="K124" s="28" t="str">
        <f>Base!I388</f>
        <v>Proyecto de inversión</v>
      </c>
      <c r="L124" s="8">
        <f>Base!AA388</f>
        <v>276105.0</v>
      </c>
      <c r="M124" s="8">
        <f>Base!AB388</f>
        <v>0</v>
      </c>
      <c r="N124" s="8">
        <f>Base!AC388</f>
        <v>0</v>
      </c>
      <c r="O124" s="8">
        <f>Base!AD388</f>
        <v>0</v>
      </c>
      <c r="P124" s="7">
        <f>IF(Base!AI388="","",Base!AI388)</f>
        <v/>
      </c>
      <c r="Q124" s="28" t="str">
        <f>Base!J388</f>
        <v>Sin PIM</v>
      </c>
      <c r="R124" s="29">
        <f>Base!X388</f>
        <v>0.9868795276884252</v>
      </c>
      <c r="S124" s="8">
        <f>Base!K388</f>
        <v>0.0</v>
      </c>
      <c r="T124" s="7" t="str">
        <f>Base!M388</f>
        <v>PIM igual a 0</v>
      </c>
    </row>
    <row r="125" spans="1:20">
      <c r="A125" s="28">
        <f>SUBTOTAL(103,$B$6:B125)</f>
        <v>103</v>
      </c>
      <c r="B125" s="28">
        <v>249</v>
      </c>
      <c r="C125" s="7" t="s">
        <v>1433</v>
      </c>
      <c r="D125" s="8">
        <f>Base!N389</f>
        <v>0.0</v>
      </c>
      <c r="E125" s="8">
        <f>Base!O389</f>
        <v>0.0</v>
      </c>
      <c r="F125" s="8">
        <f>D125-E125</f>
        <v>0.0</v>
      </c>
      <c r="G125" s="8">
        <f>Base!Q389</f>
        <v>0.0</v>
      </c>
      <c r="H125" s="8">
        <f>D125-G125</f>
        <v>0.0</v>
      </c>
      <c r="I125" s="29">
        <f>IF(D125=0,0,G125/D125)</f>
        <v>0</v>
      </c>
      <c r="J125" s="7" t="str">
        <f>Base!AH389</f>
        <v>Personal/bienes/servicios</v>
      </c>
      <c r="K125" s="28" t="str">
        <f>Base!I389</f>
        <v>IOARR</v>
      </c>
      <c r="L125" s="8">
        <f>Base!AA389</f>
        <v>89896.0</v>
      </c>
      <c r="M125" s="8">
        <f>Base!AB389</f>
        <v>0</v>
      </c>
      <c r="N125" s="8">
        <f>Base!AC389</f>
        <v>0</v>
      </c>
      <c r="O125" s="8">
        <f>Base!AD389</f>
        <v>0</v>
      </c>
      <c r="P125" s="7">
        <f>IF(Base!AI389="","",Base!AI389)</f>
        <v/>
      </c>
      <c r="Q125" s="28" t="str">
        <f>Base!J389</f>
        <v>Sin PIM</v>
      </c>
      <c r="R125" s="29">
        <f>Base!X389</f>
        <v>0.9960910030026516</v>
      </c>
      <c r="S125" s="8">
        <f>Base!K389</f>
        <v>0.0</v>
      </c>
      <c r="T125" s="7" t="str">
        <f>Base!M389</f>
        <v>PIM igual a 0</v>
      </c>
    </row>
    <row r="126" spans="1:20">
      <c r="A126" s="28">
        <f>SUBTOTAL(103,$B$6:B126)</f>
        <v>104</v>
      </c>
      <c r="B126" s="28">
        <v>254</v>
      </c>
      <c r="C126" s="7" t="s">
        <v>1436</v>
      </c>
      <c r="D126" s="8">
        <f>Base!N390</f>
        <v>2390440.0</v>
      </c>
      <c r="E126" s="8">
        <f>Base!O390</f>
        <v>2386020.0</v>
      </c>
      <c r="F126" s="8">
        <f>D126-E126</f>
        <v>4420.0</v>
      </c>
      <c r="G126" s="8">
        <f>Base!Q390</f>
        <v>824976.09</v>
      </c>
      <c r="H126" s="8">
        <f>D126-G126</f>
        <v>1565463.9100000001</v>
      </c>
      <c r="I126" s="29">
        <f>IF(D126=0,0,G126/D126)</f>
        <v>0.34511474456585395</v>
      </c>
      <c r="J126" s="7" t="str">
        <f>Base!AH390</f>
        <v>Equipamiento / Contrata / Personal/bienes/servicios</v>
      </c>
      <c r="K126" s="28" t="str">
        <f>Base!I390</f>
        <v>IOARR</v>
      </c>
      <c r="L126" s="8">
        <f>Base!AA390</f>
        <v>21175.0</v>
      </c>
      <c r="M126" s="8">
        <f>Base!AB390</f>
        <v>2971.0</v>
      </c>
      <c r="N126" s="8">
        <f>Base!AC390</f>
        <v>1.0</v>
      </c>
      <c r="O126" s="8">
        <f>Base!AD390</f>
        <v>0</v>
      </c>
      <c r="P126" s="7">
        <f>IF(Base!AI390="","",Base!AI390)</f>
        <v/>
      </c>
      <c r="Q126" s="28" t="str">
        <f>Base!J390</f>
        <v>Sin saldo útil</v>
      </c>
      <c r="R126" s="29">
        <f>Base!X390</f>
        <v>0.3972129530797921</v>
      </c>
      <c r="S126" s="8">
        <f>Base!K390</f>
        <v>0.0</v>
      </c>
      <c r="T126" s="7" t="str">
        <f>Base!M390</f>
        <v>Saldo libre menor a S/ 10,000</v>
      </c>
    </row>
    <row r="127" spans="1:20">
      <c r="A127" s="28">
        <f>SUBTOTAL(103,$B$6:B127)</f>
        <v>105</v>
      </c>
      <c r="B127" s="28">
        <v>255</v>
      </c>
      <c r="C127" s="7" t="s">
        <v>1439</v>
      </c>
      <c r="D127" s="8">
        <f>Base!N391</f>
        <v>20600.0</v>
      </c>
      <c r="E127" s="8">
        <f>Base!O391</f>
        <v>20600.0</v>
      </c>
      <c r="F127" s="8">
        <f>D127-E127</f>
        <v>0.0</v>
      </c>
      <c r="G127" s="8">
        <f>Base!Q391</f>
        <v>17783.6</v>
      </c>
      <c r="H127" s="8">
        <f>D127-G127</f>
        <v>2816.4000000000015</v>
      </c>
      <c r="I127" s="29">
        <f>IF(D127=0,0,G127/D127)</f>
        <v>0.8632815533980582</v>
      </c>
      <c r="J127" s="7" t="str">
        <f>Base!AH391</f>
        <v>Contrata</v>
      </c>
      <c r="K127" s="28" t="str">
        <f>Base!I391</f>
        <v>IOARR</v>
      </c>
      <c r="L127" s="8">
        <f>Base!AA391</f>
        <v>40062.0</v>
      </c>
      <c r="M127" s="8">
        <f>Base!AB391</f>
        <v>0</v>
      </c>
      <c r="N127" s="8">
        <f>Base!AC391</f>
        <v>0</v>
      </c>
      <c r="O127" s="8">
        <f>Base!AD391</f>
        <v>0</v>
      </c>
      <c r="P127" s="7">
        <f>IF(Base!AI391="","",Base!AI391)</f>
        <v/>
      </c>
      <c r="Q127" s="28" t="str">
        <f>Base!J391</f>
        <v>No mover</v>
      </c>
      <c r="R127" s="29">
        <f>Base!X391</f>
        <v>0.9730025014801249</v>
      </c>
      <c r="S127" s="8">
        <f>Base!K391</f>
        <v>0.0</v>
      </c>
      <c r="T127" s="7" t="str">
        <f>Base!M391</f>
        <v>Avance financiero acumulado 97% (&gt; 90%)</v>
      </c>
    </row>
    <row r="128" spans="1:20">
      <c r="A128" s="28">
        <f>SUBTOTAL(103,$B$6:B128)</f>
        <v>106</v>
      </c>
      <c r="B128" s="28">
        <v>263</v>
      </c>
      <c r="C128" s="7" t="s">
        <v>1443</v>
      </c>
      <c r="D128" s="8">
        <f>Base!N392</f>
        <v>3517960.0</v>
      </c>
      <c r="E128" s="8">
        <f>Base!O392</f>
        <v>3472430.1</v>
      </c>
      <c r="F128" s="8">
        <f>D128-E128</f>
        <v>45529.89999999991</v>
      </c>
      <c r="G128" s="8">
        <f>Base!Q392</f>
        <v>2179648.5100000007</v>
      </c>
      <c r="H128" s="8">
        <f>D128-G128</f>
        <v>1338311.4899999993</v>
      </c>
      <c r="I128" s="29">
        <f>IF(D128=0,0,G128/D128)</f>
        <v>0.6195773999704376</v>
      </c>
      <c r="J128" s="7" t="str">
        <f>Base!AH392</f>
        <v>Equipamiento / Contrata / Personal/bienes/servicios</v>
      </c>
      <c r="K128" s="28" t="str">
        <f>Base!I392</f>
        <v>IOARR</v>
      </c>
      <c r="L128" s="8">
        <f>Base!AA392</f>
        <v>2000000.0</v>
      </c>
      <c r="M128" s="8">
        <f>Base!AB392</f>
        <v>64020.0</v>
      </c>
      <c r="N128" s="8">
        <f>Base!AC392</f>
        <v>1401972.0</v>
      </c>
      <c r="O128" s="8">
        <f>Base!AD392</f>
        <v>495265.0</v>
      </c>
      <c r="P128" s="7">
        <f>IF(Base!AI392="","",Base!AI392)</f>
        <v/>
      </c>
      <c r="Q128" s="28" t="str">
        <f>Base!J392</f>
        <v>Sin saldo útil</v>
      </c>
      <c r="R128" s="29">
        <f>Base!X392</f>
        <v>0.369077354837367</v>
      </c>
      <c r="S128" s="8">
        <f>Base!K392</f>
        <v>0.0</v>
      </c>
      <c r="T128" s="7" t="str">
        <f>Base!M392</f>
        <v>Saldo libre menor a S/ 10,000</v>
      </c>
    </row>
    <row r="129" spans="1:20">
      <c r="A129" s="28">
        <f>SUBTOTAL(103,$B$6:B129)</f>
        <v>107</v>
      </c>
      <c r="B129" s="28">
        <v>281</v>
      </c>
      <c r="C129" s="7" t="s">
        <v>1446</v>
      </c>
      <c r="D129" s="8">
        <f>Base!N393</f>
        <v>2170829.0</v>
      </c>
      <c r="E129" s="8">
        <f>Base!O393</f>
        <v>2170829.0</v>
      </c>
      <c r="F129" s="8">
        <f>D129-E129</f>
        <v>0.0</v>
      </c>
      <c r="G129" s="8">
        <f>Base!Q393</f>
        <v>147448.3</v>
      </c>
      <c r="H129" s="8">
        <f>D129-G129</f>
        <v>2023380.7</v>
      </c>
      <c r="I129" s="29">
        <f>IF(D129=0,0,G129/D129)</f>
        <v>0.06792257704314802</v>
      </c>
      <c r="J129" s="7" t="str">
        <f>Base!AH393</f>
        <v>Equipamiento / Contrata</v>
      </c>
      <c r="K129" s="28" t="str">
        <f>Base!I393</f>
        <v>IOARR</v>
      </c>
      <c r="L129" s="8">
        <f>Base!AA393</f>
        <v>2421000.0</v>
      </c>
      <c r="M129" s="8">
        <f>Base!AB393</f>
        <v>2508625.0</v>
      </c>
      <c r="N129" s="8">
        <f>Base!AC393</f>
        <v>546908.0</v>
      </c>
      <c r="O129" s="8">
        <f>Base!AD393</f>
        <v>170650.0</v>
      </c>
      <c r="P129" s="7">
        <f>IF(Base!AI393="","",Base!AI393)</f>
        <v/>
      </c>
      <c r="Q129" s="28" t="str">
        <f>Base!J393</f>
        <v>Sin saldo útil</v>
      </c>
      <c r="R129" s="29">
        <f>Base!X393</f>
        <v>0.10186446863249295</v>
      </c>
      <c r="S129" s="8">
        <f>Base!K393</f>
        <v>0.0</v>
      </c>
      <c r="T129" s="7" t="str">
        <f>Base!M393</f>
        <v>Saldo libre menor a S/ 10,000</v>
      </c>
    </row>
    <row r="130" spans="1:20">
      <c r="A130" s="28">
        <f>SUBTOTAL(103,$B$6:B130)</f>
        <v>108</v>
      </c>
      <c r="B130" s="28">
        <v>285</v>
      </c>
      <c r="C130" s="7" t="s">
        <v>1449</v>
      </c>
      <c r="D130" s="8">
        <f>Base!N394</f>
        <v>31336.0</v>
      </c>
      <c r="E130" s="8">
        <f>Base!O394</f>
        <v>0.0</v>
      </c>
      <c r="F130" s="8">
        <f>D130-E130</f>
        <v>31336.0</v>
      </c>
      <c r="G130" s="8">
        <f>Base!Q394</f>
        <v>0.0</v>
      </c>
      <c r="H130" s="8">
        <f>D130-G130</f>
        <v>31336.0</v>
      </c>
      <c r="I130" s="29">
        <f>IF(D130=0,0,G130/D130)</f>
        <v>0.0</v>
      </c>
      <c r="J130" s="7" t="str">
        <f>Base!AH394</f>
        <v>Contrata</v>
      </c>
      <c r="K130" s="28" t="str">
        <f>Base!I394</f>
        <v>IOARR</v>
      </c>
      <c r="L130" s="8">
        <f>Base!AA394</f>
        <v>513444.0</v>
      </c>
      <c r="M130" s="8">
        <f>Base!AB394</f>
        <v>0</v>
      </c>
      <c r="N130" s="8">
        <f>Base!AC394</f>
        <v>0</v>
      </c>
      <c r="O130" s="8">
        <f>Base!AD394</f>
        <v>0</v>
      </c>
      <c r="P130" s="7">
        <f>IF(Base!AI394="","",Base!AI394)</f>
        <v/>
      </c>
      <c r="Q130" s="28" t="str">
        <f>Base!J394</f>
        <v>Sin saldo útil</v>
      </c>
      <c r="R130" s="29">
        <f>Base!X394</f>
        <v>0.003217496885335395</v>
      </c>
      <c r="S130" s="8">
        <f>Base!K394</f>
        <v>0.0</v>
      </c>
      <c r="T130" s="7" t="str">
        <f>Base!M394</f>
        <v>Saldo libre menor a S/ 10,000</v>
      </c>
    </row>
    <row r="131" spans="1:20">
      <c r="A131" s="28">
        <f>SUBTOTAL(103,$B$6:B131)</f>
        <v>109</v>
      </c>
      <c r="B131" s="28">
        <v>287</v>
      </c>
      <c r="C131" s="7" t="s">
        <v>1453</v>
      </c>
      <c r="D131" s="8">
        <f>Base!N395</f>
        <v>1263865.0</v>
      </c>
      <c r="E131" s="8">
        <f>Base!O395</f>
        <v>1181167.9400000002</v>
      </c>
      <c r="F131" s="8">
        <f>D131-E131</f>
        <v>82697.05999999982</v>
      </c>
      <c r="G131" s="8">
        <f>Base!Q395</f>
        <v>146441.28000000003</v>
      </c>
      <c r="H131" s="8">
        <f>D131-G131</f>
        <v>1117423.72</v>
      </c>
      <c r="I131" s="29">
        <f>IF(D131=0,0,G131/D131)</f>
        <v>0.11586781816095867</v>
      </c>
      <c r="J131" s="7" t="str">
        <f>Base!AH395</f>
        <v>Equipamiento / Contrata / Personal/bienes/servicios</v>
      </c>
      <c r="K131" s="28" t="str">
        <f>Base!I395</f>
        <v>IOARR</v>
      </c>
      <c r="L131" s="8">
        <f>Base!AA395</f>
        <v>894000.0</v>
      </c>
      <c r="M131" s="8">
        <f>Base!AB395</f>
        <v>0</v>
      </c>
      <c r="N131" s="8">
        <f>Base!AC395</f>
        <v>825648.0</v>
      </c>
      <c r="O131" s="8">
        <f>Base!AD395</f>
        <v>825648.0</v>
      </c>
      <c r="P131" s="7">
        <f>IF(Base!AI395="","",Base!AI395)</f>
        <v/>
      </c>
      <c r="Q131" s="28" t="str">
        <f>Base!J395</f>
        <v>Sin saldo útil</v>
      </c>
      <c r="R131" s="29">
        <f>Base!X395</f>
        <v>0.057077693494117704</v>
      </c>
      <c r="S131" s="8">
        <f>Base!K395</f>
        <v>0.0</v>
      </c>
      <c r="T131" s="7" t="str">
        <f>Base!M395</f>
        <v>Saldo libre menor a S/ 10,000</v>
      </c>
    </row>
    <row r="132" spans="1:20">
      <c r="A132" s="28">
        <f>SUBTOTAL(103,$B$6:B132)</f>
        <v>110</v>
      </c>
      <c r="B132" s="28">
        <v>313</v>
      </c>
      <c r="C132" s="7" t="s">
        <v>1456</v>
      </c>
      <c r="D132" s="8">
        <f>Base!N396</f>
        <v>8483998.0</v>
      </c>
      <c r="E132" s="8">
        <f>Base!O396</f>
        <v>8474782.309999999</v>
      </c>
      <c r="F132" s="8">
        <f>D132-E132</f>
        <v>9215.690000001341</v>
      </c>
      <c r="G132" s="8">
        <f>Base!Q396</f>
        <v>5322446.09</v>
      </c>
      <c r="H132" s="8">
        <f>D132-G132</f>
        <v>3161551.91</v>
      </c>
      <c r="I132" s="29">
        <f>IF(D132=0,0,G132/D132)</f>
        <v>0.627351172171422</v>
      </c>
      <c r="J132" s="7" t="str">
        <f>Base!AH396</f>
        <v>Equipamiento / Contrata / Personal/bienes/servicios</v>
      </c>
      <c r="K132" s="28" t="str">
        <f>Base!I396</f>
        <v>IOARR</v>
      </c>
      <c r="L132" s="8">
        <f>Base!AA396</f>
        <v>2578971.0</v>
      </c>
      <c r="M132" s="8">
        <f>Base!AB396</f>
        <v>22487.0</v>
      </c>
      <c r="N132" s="8">
        <f>Base!AC396</f>
        <v>500000.0</v>
      </c>
      <c r="O132" s="8">
        <f>Base!AD396</f>
        <v>500000.0</v>
      </c>
      <c r="P132" s="7">
        <f>IF(Base!AI396="","",Base!AI396)</f>
        <v/>
      </c>
      <c r="Q132" s="28" t="str">
        <f>Base!J396</f>
        <v>Sin saldo útil</v>
      </c>
      <c r="R132" s="29">
        <f>Base!X396</f>
        <v>0.427271115373158</v>
      </c>
      <c r="S132" s="8">
        <f>Base!K396</f>
        <v>0.0</v>
      </c>
      <c r="T132" s="7" t="str">
        <f>Base!M396</f>
        <v>Saldo libre menor a S/ 10,000</v>
      </c>
    </row>
    <row r="133" spans="1:20">
      <c r="A133" s="28">
        <f>SUBTOTAL(103,$B$6:B133)</f>
        <v>111</v>
      </c>
      <c r="B133" s="28">
        <v>314</v>
      </c>
      <c r="C133" s="7" t="s">
        <v>1459</v>
      </c>
      <c r="D133" s="8">
        <f>Base!N397</f>
        <v>4219373.0</v>
      </c>
      <c r="E133" s="8">
        <f>Base!O397</f>
        <v>4183621.0300000003</v>
      </c>
      <c r="F133" s="8">
        <f>D133-E133</f>
        <v>35751.96999999974</v>
      </c>
      <c r="G133" s="8">
        <f>Base!Q397</f>
        <v>3829328.0800000005</v>
      </c>
      <c r="H133" s="8">
        <f>D133-G133</f>
        <v>390044.91999999946</v>
      </c>
      <c r="I133" s="29">
        <f>IF(D133=0,0,G133/D133)</f>
        <v>0.9075585590560494</v>
      </c>
      <c r="J133" s="7" t="str">
        <f>Base!AH397</f>
        <v>Equipamiento / Contrata</v>
      </c>
      <c r="K133" s="28" t="str">
        <f>Base!I397</f>
        <v>IOARR</v>
      </c>
      <c r="L133" s="8">
        <f>Base!AA397</f>
        <v>3305500.0</v>
      </c>
      <c r="M133" s="8">
        <f>Base!AB397</f>
        <v>177809.0</v>
      </c>
      <c r="N133" s="8">
        <f>Base!AC397</f>
        <v>150483.0</v>
      </c>
      <c r="O133" s="8">
        <f>Base!AD397</f>
        <v>0</v>
      </c>
      <c r="P133" s="7">
        <f>IF(Base!AI397="","",Base!AI397)</f>
        <v/>
      </c>
      <c r="Q133" s="28" t="str">
        <f>Base!J397</f>
        <v>No mover</v>
      </c>
      <c r="R133" s="29">
        <f>Base!X397</f>
        <v>0.9784719828288042</v>
      </c>
      <c r="S133" s="8">
        <f>Base!K397</f>
        <v>0.0</v>
      </c>
      <c r="T133" s="7" t="str">
        <f>Base!M397</f>
        <v>Devengado 2026 ≥ 90% del PIM</v>
      </c>
    </row>
    <row r="134" spans="1:20">
      <c r="A134" s="28">
        <f>SUBTOTAL(103,$B$6:B134)</f>
        <v>112</v>
      </c>
      <c r="B134" s="28">
        <v>343</v>
      </c>
      <c r="C134" s="7" t="s">
        <v>1462</v>
      </c>
      <c r="D134" s="8">
        <f>Base!N398</f>
        <v>13926334.0</v>
      </c>
      <c r="E134" s="8">
        <f>Base!O398</f>
        <v>13763618.01</v>
      </c>
      <c r="F134" s="8">
        <f>D134-E134</f>
        <v>162715.99000000022</v>
      </c>
      <c r="G134" s="8">
        <f>Base!Q398</f>
        <v>182925.47999999998</v>
      </c>
      <c r="H134" s="8">
        <f>D134-G134</f>
        <v>13743408.52</v>
      </c>
      <c r="I134" s="29">
        <f>IF(D134=0,0,G134/D134)</f>
        <v>0.013135221372688605</v>
      </c>
      <c r="J134" s="7" t="str">
        <f>Base!AH398</f>
        <v>Equipamiento / Contrata / Personal/bienes/servicios</v>
      </c>
      <c r="K134" s="28" t="str">
        <f>Base!I398</f>
        <v>IOARR</v>
      </c>
      <c r="L134" s="8">
        <f>Base!AA398</f>
        <v>923830.0</v>
      </c>
      <c r="M134" s="8">
        <f>Base!AB398</f>
        <v>1124828.0</v>
      </c>
      <c r="N134" s="8">
        <f>Base!AC398</f>
        <v>450000.0</v>
      </c>
      <c r="O134" s="8">
        <f>Base!AD398</f>
        <v>450000.0</v>
      </c>
      <c r="P134" s="7">
        <f>IF(Base!AI398="","",Base!AI398)</f>
        <v/>
      </c>
      <c r="Q134" s="28" t="str">
        <f>Base!J398</f>
        <v>Sin saldo útil</v>
      </c>
      <c r="R134" s="29">
        <f>Base!X398</f>
        <v>0.010606563201122226</v>
      </c>
      <c r="S134" s="8">
        <f>Base!K398</f>
        <v>0.0</v>
      </c>
      <c r="T134" s="7" t="str">
        <f>Base!M398</f>
        <v>Saldo libre menor a S/ 10,000</v>
      </c>
    </row>
    <row r="135" spans="1:20">
      <c r="A135" s="28">
        <f>SUBTOTAL(103,$B$6:B135)</f>
        <v>113</v>
      </c>
      <c r="B135" s="28">
        <v>344</v>
      </c>
      <c r="C135" s="7" t="s">
        <v>1465</v>
      </c>
      <c r="D135" s="8">
        <f>Base!N399</f>
        <v>1175365.0</v>
      </c>
      <c r="E135" s="8">
        <f>Base!O399</f>
        <v>285679.94</v>
      </c>
      <c r="F135" s="8">
        <f>D135-E135</f>
        <v>889685.06</v>
      </c>
      <c r="G135" s="8">
        <f>Base!Q399</f>
        <v>278011.27999999997</v>
      </c>
      <c r="H135" s="8">
        <f>D135-G135</f>
        <v>897353.72</v>
      </c>
      <c r="I135" s="29">
        <f>IF(D135=0,0,G135/D135)</f>
        <v>0.23653186882372707</v>
      </c>
      <c r="J135" s="7" t="str">
        <f>Base!AH399</f>
        <v>Equipamiento / Contrata / Personal/bienes/servicios</v>
      </c>
      <c r="K135" s="28" t="str">
        <f>Base!I399</f>
        <v>IOARR</v>
      </c>
      <c r="L135" s="8">
        <f>Base!AA399</f>
        <v>300000.0</v>
      </c>
      <c r="M135" s="8">
        <f>Base!AB399</f>
        <v>163232.0</v>
      </c>
      <c r="N135" s="8">
        <f>Base!AC399</f>
        <v>0</v>
      </c>
      <c r="O135" s="8">
        <f>Base!AD399</f>
        <v>0</v>
      </c>
      <c r="P135" s="7">
        <f>IF(Base!AI399="","",Base!AI399)</f>
        <v/>
      </c>
      <c r="Q135" s="28" t="str">
        <f>Base!J399</f>
        <v>Sin saldo útil</v>
      </c>
      <c r="R135" s="29">
        <f>Base!X399</f>
        <v>0.4785571233471384</v>
      </c>
      <c r="S135" s="8">
        <f>Base!K399</f>
        <v>0.0</v>
      </c>
      <c r="T135" s="7" t="str">
        <f>Base!M399</f>
        <v>Saldo libre menor a S/ 10,000</v>
      </c>
    </row>
    <row r="136" spans="1:20">
      <c r="A136" s="28">
        <f>SUBTOTAL(103,$B$6:B136)</f>
        <v>114</v>
      </c>
      <c r="B136" s="28">
        <v>346</v>
      </c>
      <c r="C136" s="7" t="s">
        <v>1468</v>
      </c>
      <c r="D136" s="8">
        <f>Base!N400</f>
        <v>392605.0</v>
      </c>
      <c r="E136" s="8">
        <f>Base!O400</f>
        <v>337020.27999999997</v>
      </c>
      <c r="F136" s="8">
        <f>D136-E136</f>
        <v>55584.72000000003</v>
      </c>
      <c r="G136" s="8">
        <f>Base!Q400</f>
        <v>298073.85</v>
      </c>
      <c r="H136" s="8">
        <f>D136-G136</f>
        <v>94531.15000000002</v>
      </c>
      <c r="I136" s="29">
        <f>IF(D136=0,0,G136/D136)</f>
        <v>0.7592207180244774</v>
      </c>
      <c r="J136" s="7" t="str">
        <f>Base!AH400</f>
        <v>Contrata / Equipamiento / Personal/bienes/servicios</v>
      </c>
      <c r="K136" s="28" t="str">
        <f>Base!I400</f>
        <v>IOARR</v>
      </c>
      <c r="L136" s="8">
        <f>Base!AA400</f>
        <v>587684.0</v>
      </c>
      <c r="M136" s="8">
        <f>Base!AB400</f>
        <v>31681.0</v>
      </c>
      <c r="N136" s="8">
        <f>Base!AC400</f>
        <v>755677.0</v>
      </c>
      <c r="O136" s="8">
        <f>Base!AD400</f>
        <v>0</v>
      </c>
      <c r="P136" s="7">
        <f>IF(Base!AI400="","",Base!AI400)</f>
        <v/>
      </c>
      <c r="Q136" s="28" t="str">
        <f>Base!J400</f>
        <v>No mover</v>
      </c>
      <c r="R136" s="29">
        <f>Base!X400</f>
        <v>0.9704712164039159</v>
      </c>
      <c r="S136" s="8">
        <f>Base!K400</f>
        <v>0.0</v>
      </c>
      <c r="T136" s="7" t="str">
        <f>Base!M400</f>
        <v>Avance financiero acumulado 97% (&gt; 90%)</v>
      </c>
    </row>
    <row r="137" spans="1:20">
      <c r="A137" s="28">
        <f>SUBTOTAL(103,$B$6:B137)</f>
        <v>115</v>
      </c>
      <c r="B137" s="28">
        <v>379</v>
      </c>
      <c r="C137" s="7" t="s">
        <v>1472</v>
      </c>
      <c r="D137" s="8">
        <f>Base!N401</f>
        <v>167074.0</v>
      </c>
      <c r="E137" s="8">
        <f>Base!O401</f>
        <v>63765.14</v>
      </c>
      <c r="F137" s="8">
        <f>D137-E137</f>
        <v>103308.86</v>
      </c>
      <c r="G137" s="8">
        <f>Base!Q401</f>
        <v>62264.09000000001</v>
      </c>
      <c r="H137" s="8">
        <f>D137-G137</f>
        <v>104809.90999999999</v>
      </c>
      <c r="I137" s="29">
        <f>IF(D137=0,0,G137/D137)</f>
        <v>0.3726737254150856</v>
      </c>
      <c r="J137" s="7" t="str">
        <f>Base!AH401</f>
        <v>Contrata / Equipamiento / Personal/bienes/servicios</v>
      </c>
      <c r="K137" s="28" t="str">
        <f>Base!I401</f>
        <v>IOARR</v>
      </c>
      <c r="L137" s="8">
        <f>Base!AA401</f>
        <v>295210.0</v>
      </c>
      <c r="M137" s="8">
        <f>Base!AB401</f>
        <v>0</v>
      </c>
      <c r="N137" s="8">
        <f>Base!AC401</f>
        <v>1200001.0</v>
      </c>
      <c r="O137" s="8">
        <f>Base!AD401</f>
        <v>1200001.0</v>
      </c>
      <c r="P137" s="7">
        <f>IF(Base!AI401="","",Base!AI401)</f>
        <v/>
      </c>
      <c r="Q137" s="28" t="str">
        <f>Base!J401</f>
        <v>Sin saldo útil</v>
      </c>
      <c r="R137" s="29">
        <f>Base!X401</f>
        <v>0.017757640309027923</v>
      </c>
      <c r="S137" s="8">
        <f>Base!K401</f>
        <v>0.0</v>
      </c>
      <c r="T137" s="7" t="str">
        <f>Base!M401</f>
        <v>Saldo libre menor a S/ 10,000</v>
      </c>
    </row>
    <row r="138" spans="1:20">
      <c r="A138" s="28">
        <f>SUBTOTAL(103,$B$6:B138)</f>
        <v>116</v>
      </c>
      <c r="B138" s="28">
        <v>380</v>
      </c>
      <c r="C138" s="7" t="s">
        <v>1475</v>
      </c>
      <c r="D138" s="8">
        <f>Base!N402</f>
        <v>2967206.0</v>
      </c>
      <c r="E138" s="8">
        <f>Base!O402</f>
        <v>2958279.0300000003</v>
      </c>
      <c r="F138" s="8">
        <f>D138-E138</f>
        <v>8926.96999999974</v>
      </c>
      <c r="G138" s="8">
        <f>Base!Q402</f>
        <v>885884.3100000003</v>
      </c>
      <c r="H138" s="8">
        <f>D138-G138</f>
        <v>2081321.6899999997</v>
      </c>
      <c r="I138" s="29">
        <f>IF(D138=0,0,G138/D138)</f>
        <v>0.29855841151574924</v>
      </c>
      <c r="J138" s="7" t="str">
        <f>Base!AH402</f>
        <v>Equipamiento / Contrata / Personal/bienes/servicios</v>
      </c>
      <c r="K138" s="28" t="str">
        <f>Base!I402</f>
        <v>IOARR</v>
      </c>
      <c r="L138" s="8">
        <f>Base!AA402</f>
        <v>309908.0</v>
      </c>
      <c r="M138" s="8">
        <f>Base!AB402</f>
        <v>29240.0</v>
      </c>
      <c r="N138" s="8">
        <f>Base!AC402</f>
        <v>1302067.0</v>
      </c>
      <c r="O138" s="8">
        <f>Base!AD402</f>
        <v>604135.0</v>
      </c>
      <c r="P138" s="7">
        <f>IF(Base!AI402="","",Base!AI402)</f>
        <v/>
      </c>
      <c r="Q138" s="28" t="str">
        <f>Base!J402</f>
        <v>Sin saldo útil</v>
      </c>
      <c r="R138" s="29">
        <f>Base!X402</f>
        <v>0.13700386441869938</v>
      </c>
      <c r="S138" s="8">
        <f>Base!K402</f>
        <v>0.0</v>
      </c>
      <c r="T138" s="7" t="str">
        <f>Base!M402</f>
        <v>Saldo libre menor a S/ 10,000</v>
      </c>
    </row>
    <row r="139" spans="1:20">
      <c r="A139" s="28">
        <f>SUBTOTAL(103,$B$6:B139)</f>
        <v>117</v>
      </c>
      <c r="B139" s="28">
        <v>382</v>
      </c>
      <c r="C139" s="7" t="s">
        <v>1478</v>
      </c>
      <c r="D139" s="8">
        <f>Base!N403</f>
        <v>2040218.0</v>
      </c>
      <c r="E139" s="8">
        <f>Base!O403</f>
        <v>2014066.28</v>
      </c>
      <c r="F139" s="8">
        <f>D139-E139</f>
        <v>26151.719999999972</v>
      </c>
      <c r="G139" s="8">
        <f>Base!Q403</f>
        <v>153737.12999999998</v>
      </c>
      <c r="H139" s="8">
        <f>D139-G139</f>
        <v>1886480.87</v>
      </c>
      <c r="I139" s="29">
        <f>IF(D139=0,0,G139/D139)</f>
        <v>0.07535328577632389</v>
      </c>
      <c r="J139" s="7" t="str">
        <f>Base!AH403</f>
        <v>Equipamiento / Contrata / Expediente técnico / Personal/bienes/servicios</v>
      </c>
      <c r="K139" s="28" t="str">
        <f>Base!I403</f>
        <v>IOARR</v>
      </c>
      <c r="L139" s="8">
        <f>Base!AA403</f>
        <v>40218.0</v>
      </c>
      <c r="M139" s="8">
        <f>Base!AB403</f>
        <v>3757795.0</v>
      </c>
      <c r="N139" s="8">
        <f>Base!AC403</f>
        <v>698171.0</v>
      </c>
      <c r="O139" s="8">
        <f>Base!AD403</f>
        <v>0</v>
      </c>
      <c r="P139" s="7">
        <f>IF(Base!AI403="","",Base!AI403)</f>
        <v/>
      </c>
      <c r="Q139" s="28" t="str">
        <f>Base!J403</f>
        <v>Sin saldo útil</v>
      </c>
      <c r="R139" s="29">
        <f>Base!X403</f>
        <v>0.025287562011056947</v>
      </c>
      <c r="S139" s="8">
        <f>Base!K403</f>
        <v>0.0</v>
      </c>
      <c r="T139" s="7" t="str">
        <f>Base!M403</f>
        <v>Saldo libre menor a S/ 10,000</v>
      </c>
    </row>
    <row r="140" spans="1:20">
      <c r="A140" s="28">
        <f>SUBTOTAL(103,$B$6:B140)</f>
        <v>118</v>
      </c>
      <c r="B140" s="28">
        <v>437</v>
      </c>
      <c r="C140" s="7" t="s">
        <v>1483</v>
      </c>
      <c r="D140" s="8">
        <f>Base!N404</f>
        <v>3974680.0</v>
      </c>
      <c r="E140" s="8">
        <f>Base!O404</f>
        <v>3830379.2</v>
      </c>
      <c r="F140" s="8">
        <f>D140-E140</f>
        <v>144300.7999999998</v>
      </c>
      <c r="G140" s="8">
        <f>Base!Q404</f>
        <v>141890.09000000003</v>
      </c>
      <c r="H140" s="8">
        <f>D140-G140</f>
        <v>3832789.91</v>
      </c>
      <c r="I140" s="29">
        <f>IF(D140=0,0,G140/D140)</f>
        <v>0.035698493966809915</v>
      </c>
      <c r="J140" s="7" t="str">
        <f>Base!AH404</f>
        <v>Equipamiento / Contrata / Personal/bienes/servicios</v>
      </c>
      <c r="K140" s="28" t="str">
        <f>Base!I404</f>
        <v>IOARR</v>
      </c>
      <c r="L140" s="8">
        <f>Base!AA404</f>
        <v>2900000.0</v>
      </c>
      <c r="M140" s="8">
        <f>Base!AB404</f>
        <v>66882.0</v>
      </c>
      <c r="N140" s="8">
        <f>Base!AC404</f>
        <v>1.0</v>
      </c>
      <c r="O140" s="8">
        <f>Base!AD404</f>
        <v>0</v>
      </c>
      <c r="P140" s="7">
        <f>IF(Base!AI404="","",Base!AI404)</f>
        <v/>
      </c>
      <c r="Q140" s="28" t="str">
        <f>Base!J404</f>
        <v>Sin saldo útil</v>
      </c>
      <c r="R140" s="29">
        <f>Base!X404</f>
        <v>0.04712775247353037</v>
      </c>
      <c r="S140" s="8">
        <f>Base!K404</f>
        <v>0.0</v>
      </c>
      <c r="T140" s="7" t="str">
        <f>Base!M404</f>
        <v>Saldo libre menor a S/ 10,000</v>
      </c>
    </row>
    <row r="141" spans="1:20">
      <c r="A141" s="28">
        <f>SUBTOTAL(103,$B$6:B141)</f>
        <v>119</v>
      </c>
      <c r="B141" s="28">
        <v>454</v>
      </c>
      <c r="C141" s="7" t="s">
        <v>1486</v>
      </c>
      <c r="D141" s="8">
        <f>Base!N405</f>
        <v>80738.0</v>
      </c>
      <c r="E141" s="8">
        <f>Base!O405</f>
        <v>0.0</v>
      </c>
      <c r="F141" s="8">
        <f>D141-E141</f>
        <v>80738.0</v>
      </c>
      <c r="G141" s="8">
        <f>Base!Q405</f>
        <v>0.0</v>
      </c>
      <c r="H141" s="8">
        <f>D141-G141</f>
        <v>80738.0</v>
      </c>
      <c r="I141" s="29">
        <f>IF(D141=0,0,G141/D141)</f>
        <v>0.0</v>
      </c>
      <c r="J141" s="7" t="str">
        <f>Base!AH405</f>
        <v>Expediente técnico</v>
      </c>
      <c r="K141" s="28" t="str">
        <f>Base!I405</f>
        <v>IOARR</v>
      </c>
      <c r="L141" s="8" t="str">
        <f>Base!AA405</f>
        <v>No registrado en cartera</v>
      </c>
      <c r="M141" s="8" t="str">
        <f>Base!AB405</f>
        <v>No registrado en cartera</v>
      </c>
      <c r="N141" s="8" t="str">
        <f>Base!AC405</f>
        <v>No registrado en cartera</v>
      </c>
      <c r="O141" s="8" t="str">
        <f>Base!AD405</f>
        <v>No registrado en cartera</v>
      </c>
      <c r="P141" s="7">
        <f>IF(Base!AI405="","",Base!AI405)</f>
        <v/>
      </c>
      <c r="Q141" s="28" t="str">
        <f>Base!J405</f>
        <v>Con condiciones</v>
      </c>
      <c r="R141" s="29">
        <f>Base!X405</f>
        <v>0.0</v>
      </c>
      <c r="S141" s="8">
        <f>Base!K405</f>
        <v>80738.0</v>
      </c>
      <c r="T141" s="7" t="str">
        <f>Base!M405</f>
        <v>El 12-B programa S/ 80,738 de un PIM de S/ 80,738: la UEI debe actualizarlo (el proyecto no está en ningún PMI)</v>
      </c>
    </row>
    <row r="142" spans="1:20">
      <c r="A142" s="28">
        <f>SUBTOTAL(103,$B$6:B142)</f>
        <v>120</v>
      </c>
      <c r="B142" s="28">
        <v>462</v>
      </c>
      <c r="C142" s="7" t="s">
        <v>1446</v>
      </c>
      <c r="D142" s="8">
        <f>Base!N406</f>
        <v>5872577.0</v>
      </c>
      <c r="E142" s="8">
        <f>Base!O406</f>
        <v>3724247.82</v>
      </c>
      <c r="F142" s="8">
        <f>D142-E142</f>
        <v>2148329.18</v>
      </c>
      <c r="G142" s="8">
        <f>Base!Q406</f>
        <v>2558179.3</v>
      </c>
      <c r="H142" s="8">
        <f>D142-G142</f>
        <v>3314397.7</v>
      </c>
      <c r="I142" s="29">
        <f>IF(D142=0,0,G142/D142)</f>
        <v>0.4356144329823176</v>
      </c>
      <c r="J142" s="7" t="str">
        <f>Base!AH406</f>
        <v>Administración directa / Contrata / Personal/bienes/servicios / Equipamiento</v>
      </c>
      <c r="K142" s="28" t="str">
        <f>Base!I406</f>
        <v>IOARR</v>
      </c>
      <c r="L142" s="8">
        <f>Base!AA406</f>
        <v>2421000.0</v>
      </c>
      <c r="M142" s="8">
        <f>Base!AB406</f>
        <v>2508625.0</v>
      </c>
      <c r="N142" s="8">
        <f>Base!AC406</f>
        <v>546908.0</v>
      </c>
      <c r="O142" s="8">
        <f>Base!AD406</f>
        <v>170650.0</v>
      </c>
      <c r="P142" s="7">
        <f>IF(Base!AI406="","",Base!AI406)</f>
        <v/>
      </c>
      <c r="Q142" s="28" t="str">
        <f>Base!J406</f>
        <v>Sin saldo útil</v>
      </c>
      <c r="R142" s="29">
        <f>Base!X406</f>
        <v>0.10186446863249295</v>
      </c>
      <c r="S142" s="8">
        <f>Base!K406</f>
        <v>0.0</v>
      </c>
      <c r="T142" s="7" t="str">
        <f>Base!M406</f>
        <v>Saldo libre menor a S/ 10,000</v>
      </c>
    </row>
    <row r="143" spans="1:20">
      <c r="A143" s="28">
        <f>SUBTOTAL(103,$B$6:B143)</f>
        <v>121</v>
      </c>
      <c r="B143" s="28">
        <v>482</v>
      </c>
      <c r="C143" s="7" t="s">
        <v>1492</v>
      </c>
      <c r="D143" s="8">
        <f>Base!N407</f>
        <v>13758.0</v>
      </c>
      <c r="E143" s="8">
        <f>Base!O407</f>
        <v>13758.0</v>
      </c>
      <c r="F143" s="8">
        <f>D143-E143</f>
        <v>0.0</v>
      </c>
      <c r="G143" s="8">
        <f>Base!Q407</f>
        <v>13212.64</v>
      </c>
      <c r="H143" s="8">
        <f>D143-G143</f>
        <v>545.3600000000006</v>
      </c>
      <c r="I143" s="29">
        <f>IF(D143=0,0,G143/D143)</f>
        <v>0.960360517517081</v>
      </c>
      <c r="J143" s="7" t="str">
        <f>Base!AH407</f>
        <v>Contrata</v>
      </c>
      <c r="K143" s="28" t="str">
        <f>Base!I407</f>
        <v>IOARR</v>
      </c>
      <c r="L143" s="8">
        <f>Base!AA407</f>
        <v>27014.0</v>
      </c>
      <c r="M143" s="8">
        <f>Base!AB407</f>
        <v>0</v>
      </c>
      <c r="N143" s="8">
        <f>Base!AC407</f>
        <v>0</v>
      </c>
      <c r="O143" s="8">
        <f>Base!AD407</f>
        <v>0</v>
      </c>
      <c r="P143" s="7">
        <f>IF(Base!AI407="","",Base!AI407)</f>
        <v/>
      </c>
      <c r="Q143" s="28" t="str">
        <f>Base!J407</f>
        <v>No mover</v>
      </c>
      <c r="R143" s="29">
        <f>Base!X407</f>
        <v>0.9688743789775959</v>
      </c>
      <c r="S143" s="8">
        <f>Base!K407</f>
        <v>0.0</v>
      </c>
      <c r="T143" s="7" t="str">
        <f>Base!M407</f>
        <v>Devengado 2026 ≥ 90% del PIM</v>
      </c>
    </row>
    <row r="144" spans="1:20">
      <c r="A144" s="28">
        <f>SUBTOTAL(103,$B$6:B144)</f>
        <v>122</v>
      </c>
      <c r="B144" s="28">
        <v>485</v>
      </c>
      <c r="C144" s="7" t="s">
        <v>1495</v>
      </c>
      <c r="D144" s="8">
        <f>Base!N408</f>
        <v>10277.0</v>
      </c>
      <c r="E144" s="8">
        <f>Base!O408</f>
        <v>9570.0</v>
      </c>
      <c r="F144" s="8">
        <f>D144-E144</f>
        <v>707.0</v>
      </c>
      <c r="G144" s="8">
        <f>Base!Q408</f>
        <v>9564.68</v>
      </c>
      <c r="H144" s="8">
        <f>D144-G144</f>
        <v>712.3199999999997</v>
      </c>
      <c r="I144" s="29">
        <f>IF(D144=0,0,G144/D144)</f>
        <v>0.9306879439525153</v>
      </c>
      <c r="J144" s="7" t="str">
        <f>Base!AH408</f>
        <v>Contrata</v>
      </c>
      <c r="K144" s="28" t="str">
        <f>Base!I408</f>
        <v>IOARR</v>
      </c>
      <c r="L144" s="8">
        <f>Base!AA408</f>
        <v>10277.0</v>
      </c>
      <c r="M144" s="8">
        <f>Base!AB408</f>
        <v>27636.0</v>
      </c>
      <c r="N144" s="8">
        <f>Base!AC408</f>
        <v>0</v>
      </c>
      <c r="O144" s="8">
        <f>Base!AD408</f>
        <v>0</v>
      </c>
      <c r="P144" s="7">
        <f>IF(Base!AI408="","",Base!AI408)</f>
        <v/>
      </c>
      <c r="Q144" s="28" t="str">
        <f>Base!J408</f>
        <v>No mover</v>
      </c>
      <c r="R144" s="29">
        <f>Base!X408</f>
        <v>0.999870941176582</v>
      </c>
      <c r="S144" s="8">
        <f>Base!K408</f>
        <v>0.0</v>
      </c>
      <c r="T144" s="7" t="str">
        <f>Base!M408</f>
        <v>Devengado 2026 ≥ 90% del PIM</v>
      </c>
    </row>
    <row r="145" spans="1:20">
      <c r="A145" s="28">
        <f>SUBTOTAL(103,$B$6:B145)</f>
        <v>123</v>
      </c>
      <c r="B145" s="28">
        <v>494</v>
      </c>
      <c r="C145" s="7" t="s">
        <v>1498</v>
      </c>
      <c r="D145" s="8">
        <f>Base!N409</f>
        <v>114255.0</v>
      </c>
      <c r="E145" s="8">
        <f>Base!O409</f>
        <v>0.0</v>
      </c>
      <c r="F145" s="8">
        <f>D145-E145</f>
        <v>114255.0</v>
      </c>
      <c r="G145" s="8">
        <f>Base!Q409</f>
        <v>0.0</v>
      </c>
      <c r="H145" s="8">
        <f>D145-G145</f>
        <v>114255.0</v>
      </c>
      <c r="I145" s="29">
        <f>IF(D145=0,0,G145/D145)</f>
        <v>0.0</v>
      </c>
      <c r="J145" s="7" t="str">
        <f>Base!AH409</f>
        <v>Expediente técnico</v>
      </c>
      <c r="K145" s="28" t="str">
        <f>Base!I409</f>
        <v>IOARR</v>
      </c>
      <c r="L145" s="8" t="str">
        <f>Base!AA409</f>
        <v>No registrado en cartera</v>
      </c>
      <c r="M145" s="8" t="str">
        <f>Base!AB409</f>
        <v>No registrado en cartera</v>
      </c>
      <c r="N145" s="8" t="str">
        <f>Base!AC409</f>
        <v>No registrado en cartera</v>
      </c>
      <c r="O145" s="8" t="str">
        <f>Base!AD409</f>
        <v>No registrado en cartera</v>
      </c>
      <c r="P145" s="7">
        <f>IF(Base!AI409="","",Base!AI409)</f>
        <v/>
      </c>
      <c r="Q145" s="28" t="str">
        <f>Base!J409</f>
        <v>Con condiciones</v>
      </c>
      <c r="R145" s="29">
        <f>Base!X409</f>
        <v>0.0</v>
      </c>
      <c r="S145" s="8">
        <f>Base!K409</f>
        <v>114255.0</v>
      </c>
      <c r="T145" s="7" t="str">
        <f>Base!M409</f>
        <v>El 12-B programa S/ 114,255 de un PIM de S/ 114,255: la UEI debe actualizarlo (el proyecto no está en ningún PMI)</v>
      </c>
    </row>
    <row r="146" spans="1:20">
      <c r="A146" s="28">
        <f>SUBTOTAL(103,$B$6:B146)</f>
        <v>124</v>
      </c>
      <c r="B146" s="28">
        <v>497</v>
      </c>
      <c r="C146" s="7" t="s">
        <v>1502</v>
      </c>
      <c r="D146" s="8">
        <f>Base!N410</f>
        <v>36445.0</v>
      </c>
      <c r="E146" s="8">
        <f>Base!O410</f>
        <v>0.0</v>
      </c>
      <c r="F146" s="8">
        <f>D146-E146</f>
        <v>36445.0</v>
      </c>
      <c r="G146" s="8">
        <f>Base!Q410</f>
        <v>0.0</v>
      </c>
      <c r="H146" s="8">
        <f>D146-G146</f>
        <v>36445.0</v>
      </c>
      <c r="I146" s="29">
        <f>IF(D146=0,0,G146/D146)</f>
        <v>0.0</v>
      </c>
      <c r="J146" s="7" t="str">
        <f>Base!AH410</f>
        <v>Expediente técnico</v>
      </c>
      <c r="K146" s="28" t="str">
        <f>Base!I410</f>
        <v>IOARR</v>
      </c>
      <c r="L146" s="8" t="str">
        <f>Base!AA410</f>
        <v>No registrado en cartera</v>
      </c>
      <c r="M146" s="8" t="str">
        <f>Base!AB410</f>
        <v>No registrado en cartera</v>
      </c>
      <c r="N146" s="8" t="str">
        <f>Base!AC410</f>
        <v>No registrado en cartera</v>
      </c>
      <c r="O146" s="8" t="str">
        <f>Base!AD410</f>
        <v>No registrado en cartera</v>
      </c>
      <c r="P146" s="7">
        <f>IF(Base!AI410="","",Base!AI410)</f>
        <v/>
      </c>
      <c r="Q146" s="28" t="str">
        <f>Base!J410</f>
        <v>Con condiciones</v>
      </c>
      <c r="R146" s="29">
        <f>Base!X410</f>
        <v>0.0</v>
      </c>
      <c r="S146" s="8">
        <f>Base!K410</f>
        <v>36445.0</v>
      </c>
      <c r="T146" s="7" t="str">
        <f>Base!M410</f>
        <v>El 12-B programa S/ 36,445 de un PIM de S/ 36,445: la UEI debe actualizarlo (el proyecto no está en ningún PMI)</v>
      </c>
    </row>
    <row r="147" spans="1:20">
      <c r="A147" s="28">
        <f>SUBTOTAL(103,$B$6:B147)</f>
        <v>125</v>
      </c>
      <c r="B147" s="28">
        <v>498</v>
      </c>
      <c r="C147" s="7" t="s">
        <v>1507</v>
      </c>
      <c r="D147" s="8">
        <f>Base!N411</f>
        <v>39485.0</v>
      </c>
      <c r="E147" s="8">
        <f>Base!O411</f>
        <v>0.0</v>
      </c>
      <c r="F147" s="8">
        <f>D147-E147</f>
        <v>39485.0</v>
      </c>
      <c r="G147" s="8">
        <f>Base!Q411</f>
        <v>0.0</v>
      </c>
      <c r="H147" s="8">
        <f>D147-G147</f>
        <v>39485.0</v>
      </c>
      <c r="I147" s="29">
        <f>IF(D147=0,0,G147/D147)</f>
        <v>0.0</v>
      </c>
      <c r="J147" s="7" t="str">
        <f>Base!AH411</f>
        <v>Expediente técnico</v>
      </c>
      <c r="K147" s="28" t="str">
        <f>Base!I411</f>
        <v>IOARR</v>
      </c>
      <c r="L147" s="8" t="str">
        <f>Base!AA411</f>
        <v>No registrado en cartera</v>
      </c>
      <c r="M147" s="8" t="str">
        <f>Base!AB411</f>
        <v>No registrado en cartera</v>
      </c>
      <c r="N147" s="8" t="str">
        <f>Base!AC411</f>
        <v>No registrado en cartera</v>
      </c>
      <c r="O147" s="8" t="str">
        <f>Base!AD411</f>
        <v>No registrado en cartera</v>
      </c>
      <c r="P147" s="7">
        <f>IF(Base!AI411="","",Base!AI411)</f>
        <v/>
      </c>
      <c r="Q147" s="28" t="str">
        <f>Base!J411</f>
        <v>Con condiciones</v>
      </c>
      <c r="R147" s="29">
        <f>Base!X411</f>
        <v>0.0</v>
      </c>
      <c r="S147" s="8">
        <f>Base!K411</f>
        <v>39485.0</v>
      </c>
      <c r="T147" s="7" t="str">
        <f>Base!M411</f>
        <v>El 12-B programa S/ 39,485 de un PIM de S/ 39,485: la UEI debe actualizarlo (el proyecto no está en ningún PMI)</v>
      </c>
    </row>
    <row r="148" spans="1:20">
      <c r="A148" s="28">
        <f>SUBTOTAL(103,$B$6:B148)</f>
        <v>126</v>
      </c>
      <c r="B148" s="28">
        <v>524</v>
      </c>
      <c r="C148" s="7" t="s">
        <v>1512</v>
      </c>
      <c r="D148" s="8">
        <f>Base!N412</f>
        <v>25610.0</v>
      </c>
      <c r="E148" s="8">
        <f>Base!O412</f>
        <v>0.0</v>
      </c>
      <c r="F148" s="8">
        <f>D148-E148</f>
        <v>25610.0</v>
      </c>
      <c r="G148" s="8">
        <f>Base!Q412</f>
        <v>0.0</v>
      </c>
      <c r="H148" s="8">
        <f>D148-G148</f>
        <v>25610.0</v>
      </c>
      <c r="I148" s="29">
        <f>IF(D148=0,0,G148/D148)</f>
        <v>0.0</v>
      </c>
      <c r="J148" s="7" t="str">
        <f>Base!AH412</f>
        <v>Expediente técnico</v>
      </c>
      <c r="K148" s="28" t="str">
        <f>Base!I412</f>
        <v>IOARR</v>
      </c>
      <c r="L148" s="8" t="str">
        <f>Base!AA412</f>
        <v>No registrado en cartera</v>
      </c>
      <c r="M148" s="8" t="str">
        <f>Base!AB412</f>
        <v>No registrado en cartera</v>
      </c>
      <c r="N148" s="8" t="str">
        <f>Base!AC412</f>
        <v>No registrado en cartera</v>
      </c>
      <c r="O148" s="8" t="str">
        <f>Base!AD412</f>
        <v>No registrado en cartera</v>
      </c>
      <c r="P148" s="7">
        <f>IF(Base!AI412="","",Base!AI412)</f>
        <v/>
      </c>
      <c r="Q148" s="28" t="str">
        <f>Base!J412</f>
        <v>Con condiciones</v>
      </c>
      <c r="R148" s="29">
        <f>Base!X412</f>
        <v>0.0</v>
      </c>
      <c r="S148" s="8">
        <f>Base!K412</f>
        <v>25610.0</v>
      </c>
      <c r="T148" s="7" t="str">
        <f>Base!M412</f>
        <v>Sin Formato 12-B: validar con la OPMI</v>
      </c>
    </row>
    <row r="149" spans="1:20">
      <c r="A149" s="25" t="s">
        <v>102</v>
      </c>
      <c r="B149" s="25"/>
      <c r="C149" s="25"/>
      <c r="D149" s="26">
        <f>SUM(D150:D161)</f>
        <v>9798393.0</v>
      </c>
      <c r="E149" s="26">
        <f>SUM(E150:E161)</f>
        <v>7621399.41</v>
      </c>
      <c r="F149" s="26">
        <f>D149-E149</f>
        <v>2176993.59</v>
      </c>
      <c r="G149" s="26">
        <f>SUM(G150:G161)</f>
        <v>606651.9199999999</v>
      </c>
      <c r="H149" s="26">
        <f>D149-G149</f>
        <v>9191741.08</v>
      </c>
      <c r="I149" s="27">
        <f>IF(D149=0,0,G149/D149)</f>
        <v>0.061913409678505435</v>
      </c>
      <c r="J149" s="25"/>
      <c r="K149" s="25"/>
      <c r="L149" s="25"/>
      <c r="M149" s="25"/>
      <c r="N149" s="25"/>
      <c r="O149" s="25"/>
      <c r="P149" s="25"/>
      <c r="Q149" s="25"/>
      <c r="R149" s="25"/>
      <c r="S149" s="26">
        <f>SUM(S150:S161)</f>
        <v>2168070.6000000006</v>
      </c>
      <c r="T149" s="25"/>
    </row>
    <row r="150" spans="1:20">
      <c r="A150" s="28">
        <f>SUBTOTAL(103,$B$6:B150)</f>
        <v>127</v>
      </c>
      <c r="B150" s="28">
        <v>512</v>
      </c>
      <c r="C150" s="7" t="s">
        <v>1515</v>
      </c>
      <c r="D150" s="8">
        <f>Base!N413</f>
        <v>3254770.0</v>
      </c>
      <c r="E150" s="8">
        <f>Base!O413</f>
        <v>2925559.55</v>
      </c>
      <c r="F150" s="8">
        <f>D150-E150</f>
        <v>329210.4500000002</v>
      </c>
      <c r="G150" s="8">
        <f>Base!Q413</f>
        <v>0.0</v>
      </c>
      <c r="H150" s="8">
        <f>D150-G150</f>
        <v>3254770.0</v>
      </c>
      <c r="I150" s="29">
        <f>IF(D150=0,0,G150/D150)</f>
        <v>0.0</v>
      </c>
      <c r="J150" s="7" t="str">
        <f>Base!AH413</f>
        <v>Contrata / Expediente técnico / Personal/bienes/servicios</v>
      </c>
      <c r="K150" s="28" t="str">
        <f>Base!I413</f>
        <v>IOARR</v>
      </c>
      <c r="L150" s="8" t="str">
        <f>Base!AA413</f>
        <v>No registrado en cartera</v>
      </c>
      <c r="M150" s="8" t="str">
        <f>Base!AB413</f>
        <v>No registrado en cartera</v>
      </c>
      <c r="N150" s="8" t="str">
        <f>Base!AC413</f>
        <v>No registrado en cartera</v>
      </c>
      <c r="O150" s="8" t="str">
        <f>Base!AD413</f>
        <v>No registrado en cartera</v>
      </c>
      <c r="P150" s="7">
        <f>IF(Base!AI413="","",Base!AI413)</f>
        <v/>
      </c>
      <c r="Q150" s="28" t="str">
        <f>Base!J413</f>
        <v>Con condiciones</v>
      </c>
      <c r="R150" s="29">
        <f>Base!X413</f>
        <v>0.0</v>
      </c>
      <c r="S150" s="8">
        <f>Base!K413</f>
        <v>329210.4500000002</v>
      </c>
      <c r="T150" s="7" t="str">
        <f>Base!M413</f>
        <v>El 12-B programa S/ 3,254,770 de un PIM de S/ 3,254,770: la UEI debe actualizarlo (el proyecto no está en ningún PMI)</v>
      </c>
    </row>
    <row r="151" spans="1:20">
      <c r="A151" s="28">
        <f>SUBTOTAL(103,$B$6:B151)</f>
        <v>128</v>
      </c>
      <c r="B151" s="28">
        <v>513</v>
      </c>
      <c r="C151" s="7" t="s">
        <v>1521</v>
      </c>
      <c r="D151" s="8">
        <f>Base!N414</f>
        <v>1007572.0</v>
      </c>
      <c r="E151" s="8">
        <f>Base!O414</f>
        <v>838299.38</v>
      </c>
      <c r="F151" s="8">
        <f>D151-E151</f>
        <v>169272.62</v>
      </c>
      <c r="G151" s="8">
        <f>Base!Q414</f>
        <v>0.0</v>
      </c>
      <c r="H151" s="8">
        <f>D151-G151</f>
        <v>1007572.0</v>
      </c>
      <c r="I151" s="29">
        <f>IF(D151=0,0,G151/D151)</f>
        <v>0.0</v>
      </c>
      <c r="J151" s="7" t="str">
        <f>Base!AH414</f>
        <v>Contrata / Expediente técnico / Personal/bienes/servicios</v>
      </c>
      <c r="K151" s="28" t="str">
        <f>Base!I414</f>
        <v>IOARR</v>
      </c>
      <c r="L151" s="8" t="str">
        <f>Base!AA414</f>
        <v>No registrado en cartera</v>
      </c>
      <c r="M151" s="8" t="str">
        <f>Base!AB414</f>
        <v>No registrado en cartera</v>
      </c>
      <c r="N151" s="8" t="str">
        <f>Base!AC414</f>
        <v>No registrado en cartera</v>
      </c>
      <c r="O151" s="8" t="str">
        <f>Base!AD414</f>
        <v>No registrado en cartera</v>
      </c>
      <c r="P151" s="7">
        <f>IF(Base!AI414="","",Base!AI414)</f>
        <v/>
      </c>
      <c r="Q151" s="28" t="str">
        <f>Base!J414</f>
        <v>Con condiciones</v>
      </c>
      <c r="R151" s="29">
        <f>Base!X414</f>
        <v>0.0</v>
      </c>
      <c r="S151" s="8">
        <f>Base!K414</f>
        <v>169272.62</v>
      </c>
      <c r="T151" s="7" t="str">
        <f>Base!M414</f>
        <v>El 12-B programa S/ 1,007,572 de un PIM de S/ 1,007,572: la UEI debe actualizarlo (el proyecto no está en ningún PMI)</v>
      </c>
    </row>
    <row r="152" spans="1:20">
      <c r="A152" s="28">
        <f>SUBTOTAL(103,$B$6:B152)</f>
        <v>129</v>
      </c>
      <c r="B152" s="28">
        <v>515</v>
      </c>
      <c r="C152" s="7" t="s">
        <v>1525</v>
      </c>
      <c r="D152" s="8">
        <f>Base!N415</f>
        <v>1688098.0</v>
      </c>
      <c r="E152" s="8">
        <f>Base!O415</f>
        <v>1486603.23</v>
      </c>
      <c r="F152" s="8">
        <f>D152-E152</f>
        <v>201494.77000000002</v>
      </c>
      <c r="G152" s="8">
        <f>Base!Q415</f>
        <v>0.0</v>
      </c>
      <c r="H152" s="8">
        <f>D152-G152</f>
        <v>1688098.0</v>
      </c>
      <c r="I152" s="29">
        <f>IF(D152=0,0,G152/D152)</f>
        <v>0.0</v>
      </c>
      <c r="J152" s="7" t="str">
        <f>Base!AH415</f>
        <v>Contrata / Expediente técnico / Personal/bienes/servicios</v>
      </c>
      <c r="K152" s="28" t="str">
        <f>Base!I415</f>
        <v>IOARR</v>
      </c>
      <c r="L152" s="8" t="str">
        <f>Base!AA415</f>
        <v>No registrado en cartera</v>
      </c>
      <c r="M152" s="8" t="str">
        <f>Base!AB415</f>
        <v>No registrado en cartera</v>
      </c>
      <c r="N152" s="8" t="str">
        <f>Base!AC415</f>
        <v>No registrado en cartera</v>
      </c>
      <c r="O152" s="8" t="str">
        <f>Base!AD415</f>
        <v>No registrado en cartera</v>
      </c>
      <c r="P152" s="7">
        <f>IF(Base!AI415="","",Base!AI415)</f>
        <v/>
      </c>
      <c r="Q152" s="28" t="str">
        <f>Base!J415</f>
        <v>Con condiciones</v>
      </c>
      <c r="R152" s="29">
        <f>Base!X415</f>
        <v>0.0</v>
      </c>
      <c r="S152" s="8">
        <f>Base!K415</f>
        <v>201494.77000000002</v>
      </c>
      <c r="T152" s="7" t="str">
        <f>Base!M415</f>
        <v>El 12-B programa S/ 1,688,098 de un PIM de S/ 1,688,098: la UEI debe actualizarlo (el proyecto no está en ningún PMI)</v>
      </c>
    </row>
    <row r="153" spans="1:20">
      <c r="A153" s="28">
        <f>SUBTOTAL(103,$B$6:B153)</f>
        <v>130</v>
      </c>
      <c r="B153" s="28">
        <v>509</v>
      </c>
      <c r="C153" s="7" t="s">
        <v>1529</v>
      </c>
      <c r="D153" s="8">
        <f>Base!N416</f>
        <v>680748.0</v>
      </c>
      <c r="E153" s="8">
        <f>Base!O416</f>
        <v>538302.9199999999</v>
      </c>
      <c r="F153" s="8">
        <f>D153-E153</f>
        <v>142445.08000000007</v>
      </c>
      <c r="G153" s="8">
        <f>Base!Q416</f>
        <v>0.0</v>
      </c>
      <c r="H153" s="8">
        <f>D153-G153</f>
        <v>680748.0</v>
      </c>
      <c r="I153" s="29">
        <f>IF(D153=0,0,G153/D153)</f>
        <v>0.0</v>
      </c>
      <c r="J153" s="7" t="str">
        <f>Base!AH416</f>
        <v>Contrata / Expediente técnico / Personal/bienes/servicios</v>
      </c>
      <c r="K153" s="28" t="str">
        <f>Base!I416</f>
        <v>IOARR</v>
      </c>
      <c r="L153" s="8" t="str">
        <f>Base!AA416</f>
        <v>No registrado en cartera</v>
      </c>
      <c r="M153" s="8" t="str">
        <f>Base!AB416</f>
        <v>No registrado en cartera</v>
      </c>
      <c r="N153" s="8" t="str">
        <f>Base!AC416</f>
        <v>No registrado en cartera</v>
      </c>
      <c r="O153" s="8" t="str">
        <f>Base!AD416</f>
        <v>No registrado en cartera</v>
      </c>
      <c r="P153" s="7">
        <f>IF(Base!AI416="","",Base!AI416)</f>
        <v/>
      </c>
      <c r="Q153" s="28" t="str">
        <f>Base!J416</f>
        <v>Con condiciones</v>
      </c>
      <c r="R153" s="29">
        <f>Base!X416</f>
        <v>0.0</v>
      </c>
      <c r="S153" s="8">
        <f>Base!K416</f>
        <v>142445.08000000007</v>
      </c>
      <c r="T153" s="7" t="str">
        <f>Base!M416</f>
        <v>El 12-B programa S/ 680,748 de un PIM de S/ 680,748: la UEI debe actualizarlo (el proyecto no está en ningún PMI)</v>
      </c>
    </row>
    <row r="154" spans="1:20">
      <c r="A154" s="28">
        <f>SUBTOTAL(103,$B$6:B154)</f>
        <v>131</v>
      </c>
      <c r="B154" s="28">
        <v>510</v>
      </c>
      <c r="C154" s="7" t="s">
        <v>1533</v>
      </c>
      <c r="D154" s="8">
        <f>Base!N417</f>
        <v>670100.0</v>
      </c>
      <c r="E154" s="8">
        <f>Base!O417</f>
        <v>532791.97</v>
      </c>
      <c r="F154" s="8">
        <f>D154-E154</f>
        <v>137308.03000000003</v>
      </c>
      <c r="G154" s="8">
        <f>Base!Q417</f>
        <v>0.0</v>
      </c>
      <c r="H154" s="8">
        <f>D154-G154</f>
        <v>670100.0</v>
      </c>
      <c r="I154" s="29">
        <f>IF(D154=0,0,G154/D154)</f>
        <v>0.0</v>
      </c>
      <c r="J154" s="7" t="str">
        <f>Base!AH417</f>
        <v>Contrata / Expediente técnico / Personal/bienes/servicios</v>
      </c>
      <c r="K154" s="28" t="str">
        <f>Base!I417</f>
        <v>IOARR</v>
      </c>
      <c r="L154" s="8" t="str">
        <f>Base!AA417</f>
        <v>No registrado en cartera</v>
      </c>
      <c r="M154" s="8" t="str">
        <f>Base!AB417</f>
        <v>No registrado en cartera</v>
      </c>
      <c r="N154" s="8" t="str">
        <f>Base!AC417</f>
        <v>No registrado en cartera</v>
      </c>
      <c r="O154" s="8" t="str">
        <f>Base!AD417</f>
        <v>No registrado en cartera</v>
      </c>
      <c r="P154" s="7">
        <f>IF(Base!AI417="","",Base!AI417)</f>
        <v/>
      </c>
      <c r="Q154" s="28" t="str">
        <f>Base!J417</f>
        <v>Con condiciones</v>
      </c>
      <c r="R154" s="29">
        <f>Base!X417</f>
        <v>0.0</v>
      </c>
      <c r="S154" s="8">
        <f>Base!K417</f>
        <v>137308.03000000003</v>
      </c>
      <c r="T154" s="7" t="str">
        <f>Base!M417</f>
        <v>El 12-B programa S/ 670,100 de un PIM de S/ 670,100: la UEI debe actualizarlo (el proyecto no está en ningún PMI)</v>
      </c>
    </row>
    <row r="155" spans="1:20">
      <c r="A155" s="28">
        <f>SUBTOTAL(103,$B$6:B155)</f>
        <v>132</v>
      </c>
      <c r="B155" s="28">
        <v>511</v>
      </c>
      <c r="C155" s="7" t="s">
        <v>1537</v>
      </c>
      <c r="D155" s="8">
        <f>Base!N418</f>
        <v>388514.0</v>
      </c>
      <c r="E155" s="8">
        <f>Base!O418</f>
        <v>269223.83999999997</v>
      </c>
      <c r="F155" s="8">
        <f>D155-E155</f>
        <v>119290.16000000003</v>
      </c>
      <c r="G155" s="8">
        <f>Base!Q418</f>
        <v>0.0</v>
      </c>
      <c r="H155" s="8">
        <f>D155-G155</f>
        <v>388514.0</v>
      </c>
      <c r="I155" s="29">
        <f>IF(D155=0,0,G155/D155)</f>
        <v>0.0</v>
      </c>
      <c r="J155" s="7" t="str">
        <f>Base!AH418</f>
        <v>Contrata / Expediente técnico / Personal/bienes/servicios</v>
      </c>
      <c r="K155" s="28" t="str">
        <f>Base!I418</f>
        <v>IOARR</v>
      </c>
      <c r="L155" s="8" t="str">
        <f>Base!AA418</f>
        <v>No registrado en cartera</v>
      </c>
      <c r="M155" s="8" t="str">
        <f>Base!AB418</f>
        <v>No registrado en cartera</v>
      </c>
      <c r="N155" s="8" t="str">
        <f>Base!AC418</f>
        <v>No registrado en cartera</v>
      </c>
      <c r="O155" s="8" t="str">
        <f>Base!AD418</f>
        <v>No registrado en cartera</v>
      </c>
      <c r="P155" s="7">
        <f>IF(Base!AI418="","",Base!AI418)</f>
        <v/>
      </c>
      <c r="Q155" s="28" t="str">
        <f>Base!J418</f>
        <v>Con condiciones</v>
      </c>
      <c r="R155" s="29">
        <f>Base!X418</f>
        <v>0.0</v>
      </c>
      <c r="S155" s="8">
        <f>Base!K418</f>
        <v>119290.16000000003</v>
      </c>
      <c r="T155" s="7" t="str">
        <f>Base!M418</f>
        <v>El 12-B programa S/ 388,514 de un PIM de S/ 388,514: la UEI debe actualizarlo (el proyecto no está en ningún PMI)</v>
      </c>
    </row>
    <row r="156" spans="1:20">
      <c r="A156" s="28">
        <f>SUBTOTAL(103,$B$6:B156)</f>
        <v>133</v>
      </c>
      <c r="B156" s="28">
        <v>514</v>
      </c>
      <c r="C156" s="7" t="s">
        <v>1541</v>
      </c>
      <c r="D156" s="8">
        <f>Base!N419</f>
        <v>542416.0</v>
      </c>
      <c r="E156" s="8">
        <f>Base!O419</f>
        <v>401911.51</v>
      </c>
      <c r="F156" s="8">
        <f>D156-E156</f>
        <v>140504.49</v>
      </c>
      <c r="G156" s="8">
        <f>Base!Q419</f>
        <v>0.0</v>
      </c>
      <c r="H156" s="8">
        <f>D156-G156</f>
        <v>542416.0</v>
      </c>
      <c r="I156" s="29">
        <f>IF(D156=0,0,G156/D156)</f>
        <v>0.0</v>
      </c>
      <c r="J156" s="7" t="str">
        <f>Base!AH419</f>
        <v>Contrata / Expediente técnico / Personal/bienes/servicios</v>
      </c>
      <c r="K156" s="28" t="str">
        <f>Base!I419</f>
        <v>IOARR</v>
      </c>
      <c r="L156" s="8" t="str">
        <f>Base!AA419</f>
        <v>No registrado en cartera</v>
      </c>
      <c r="M156" s="8" t="str">
        <f>Base!AB419</f>
        <v>No registrado en cartera</v>
      </c>
      <c r="N156" s="8" t="str">
        <f>Base!AC419</f>
        <v>No registrado en cartera</v>
      </c>
      <c r="O156" s="8" t="str">
        <f>Base!AD419</f>
        <v>No registrado en cartera</v>
      </c>
      <c r="P156" s="7">
        <f>IF(Base!AI419="","",Base!AI419)</f>
        <v/>
      </c>
      <c r="Q156" s="28" t="str">
        <f>Base!J419</f>
        <v>Con condiciones</v>
      </c>
      <c r="R156" s="29">
        <f>Base!X419</f>
        <v>0.0</v>
      </c>
      <c r="S156" s="8">
        <f>Base!K419</f>
        <v>140504.49</v>
      </c>
      <c r="T156" s="7" t="str">
        <f>Base!M419</f>
        <v>El 12-B programa S/ 542,416 de un PIM de S/ 542,416: la UEI debe actualizarlo (el proyecto no está en ningún PMI)</v>
      </c>
    </row>
    <row r="157" spans="1:20">
      <c r="A157" s="28">
        <f>SUBTOTAL(103,$B$6:B157)</f>
        <v>134</v>
      </c>
      <c r="B157" s="28">
        <v>516</v>
      </c>
      <c r="C157" s="7" t="s">
        <v>1545</v>
      </c>
      <c r="D157" s="8">
        <f>Base!N420</f>
        <v>928545.0</v>
      </c>
      <c r="E157" s="8">
        <f>Base!O420</f>
        <v>0.0</v>
      </c>
      <c r="F157" s="8">
        <f>D157-E157</f>
        <v>928545.0</v>
      </c>
      <c r="G157" s="8">
        <f>Base!Q420</f>
        <v>0.0</v>
      </c>
      <c r="H157" s="8">
        <f>D157-G157</f>
        <v>928545.0</v>
      </c>
      <c r="I157" s="29">
        <f>IF(D157=0,0,G157/D157)</f>
        <v>0.0</v>
      </c>
      <c r="J157" s="7" t="str">
        <f>Base!AH420</f>
        <v>Contrata / Expediente técnico</v>
      </c>
      <c r="K157" s="28" t="str">
        <f>Base!I420</f>
        <v>IOARR</v>
      </c>
      <c r="L157" s="8" t="str">
        <f>Base!AA420</f>
        <v>No registrado en cartera</v>
      </c>
      <c r="M157" s="8" t="str">
        <f>Base!AB420</f>
        <v>No registrado en cartera</v>
      </c>
      <c r="N157" s="8" t="str">
        <f>Base!AC420</f>
        <v>No registrado en cartera</v>
      </c>
      <c r="O157" s="8" t="str">
        <f>Base!AD420</f>
        <v>No registrado en cartera</v>
      </c>
      <c r="P157" s="7">
        <f>IF(Base!AI420="","",Base!AI420)</f>
        <v/>
      </c>
      <c r="Q157" s="28" t="str">
        <f>Base!J420</f>
        <v>Con condiciones</v>
      </c>
      <c r="R157" s="29">
        <f>Base!X420</f>
        <v>0.0</v>
      </c>
      <c r="S157" s="8">
        <f>Base!K420</f>
        <v>928545.0</v>
      </c>
      <c r="T157" s="7" t="str">
        <f>Base!M420</f>
        <v>El 12-B programa S/ 928,545 de un PIM de S/ 928,545: la UEI debe actualizarlo (el proyecto no está en ningún PMI)</v>
      </c>
    </row>
    <row r="158" spans="1:20">
      <c r="A158" s="28">
        <f>SUBTOTAL(103,$B$6:B158)</f>
        <v>135</v>
      </c>
      <c r="B158" s="28">
        <v>348</v>
      </c>
      <c r="C158" s="7" t="s">
        <v>1549</v>
      </c>
      <c r="D158" s="8">
        <f>Base!N421</f>
        <v>70059.0</v>
      </c>
      <c r="E158" s="8">
        <f>Base!O421</f>
        <v>70057.9</v>
      </c>
      <c r="F158" s="8">
        <f>D158-E158</f>
        <v>1.1000000000058208</v>
      </c>
      <c r="G158" s="8">
        <f>Base!Q421</f>
        <v>70029.94</v>
      </c>
      <c r="H158" s="8">
        <f>D158-G158</f>
        <v>29.05999999999767</v>
      </c>
      <c r="I158" s="29">
        <f>IF(D158=0,0,G158/D158)</f>
        <v>0.9995852067543071</v>
      </c>
      <c r="J158" s="7" t="str">
        <f>Base!AH421</f>
        <v>Otro (SOFTWARES) / Contrata / Personal/bienes/servicios</v>
      </c>
      <c r="K158" s="28" t="str">
        <f>Base!I421</f>
        <v>IOARR</v>
      </c>
      <c r="L158" s="8">
        <f>Base!AA421</f>
        <v>105988.0</v>
      </c>
      <c r="M158" s="8">
        <f>Base!AB421</f>
        <v>0</v>
      </c>
      <c r="N158" s="8">
        <f>Base!AC421</f>
        <v>35929.0</v>
      </c>
      <c r="O158" s="8">
        <f>Base!AD421</f>
        <v>0</v>
      </c>
      <c r="P158" s="7">
        <f>IF(Base!AI421="","",Base!AI421)</f>
        <v/>
      </c>
      <c r="Q158" s="28" t="str">
        <f>Base!J421</f>
        <v>No mover</v>
      </c>
      <c r="R158" s="29">
        <f>Base!X421</f>
        <v>0.9519163973574248</v>
      </c>
      <c r="S158" s="8">
        <f>Base!K421</f>
        <v>0.0</v>
      </c>
      <c r="T158" s="7" t="str">
        <f>Base!M421</f>
        <v>Devengado 2026 ≥ 90% del PIM</v>
      </c>
    </row>
    <row r="159" spans="1:20">
      <c r="A159" s="28">
        <f>SUBTOTAL(103,$B$6:B159)</f>
        <v>136</v>
      </c>
      <c r="B159" s="28">
        <v>349</v>
      </c>
      <c r="C159" s="7" t="s">
        <v>1553</v>
      </c>
      <c r="D159" s="8">
        <f>Base!N422</f>
        <v>100785.0</v>
      </c>
      <c r="E159" s="8">
        <f>Base!O422</f>
        <v>100589.42</v>
      </c>
      <c r="F159" s="8">
        <f>D159-E159</f>
        <v>195.58000000000175</v>
      </c>
      <c r="G159" s="8">
        <f>Base!Q422</f>
        <v>88974.89</v>
      </c>
      <c r="H159" s="8">
        <f>D159-G159</f>
        <v>11810.11</v>
      </c>
      <c r="I159" s="29">
        <f>IF(D159=0,0,G159/D159)</f>
        <v>0.8828187726348167</v>
      </c>
      <c r="J159" s="7" t="str">
        <f>Base!AH422</f>
        <v>Contrata / Otro (SOFTWARES) / Personal/bienes/servicios</v>
      </c>
      <c r="K159" s="28" t="str">
        <f>Base!I422</f>
        <v>IOARR</v>
      </c>
      <c r="L159" s="8">
        <f>Base!AA422</f>
        <v>155899.0</v>
      </c>
      <c r="M159" s="8">
        <f>Base!AB422</f>
        <v>0</v>
      </c>
      <c r="N159" s="8">
        <f>Base!AC422</f>
        <v>55114.0</v>
      </c>
      <c r="O159" s="8">
        <f>Base!AD422</f>
        <v>0</v>
      </c>
      <c r="P159" s="7">
        <f>IF(Base!AI422="","",Base!AI422)</f>
        <v/>
      </c>
      <c r="Q159" s="28" t="str">
        <f>Base!J422</f>
        <v>Sin saldo útil</v>
      </c>
      <c r="R159" s="29">
        <f>Base!X422</f>
        <v>0.876108940556421</v>
      </c>
      <c r="S159" s="8">
        <f>Base!K422</f>
        <v>0.0</v>
      </c>
      <c r="T159" s="7" t="str">
        <f>Base!M422</f>
        <v>Saldo libre menor a S/ 10,000</v>
      </c>
    </row>
    <row r="160" spans="1:20">
      <c r="A160" s="28">
        <f>SUBTOTAL(103,$B$6:B160)</f>
        <v>137</v>
      </c>
      <c r="B160" s="28">
        <v>461</v>
      </c>
      <c r="C160" s="7" t="s">
        <v>1557</v>
      </c>
      <c r="D160" s="8">
        <f>Base!N423</f>
        <v>195079.0</v>
      </c>
      <c r="E160" s="8">
        <f>Base!O423</f>
        <v>186354.0</v>
      </c>
      <c r="F160" s="8">
        <f>D160-E160</f>
        <v>8725.0</v>
      </c>
      <c r="G160" s="8">
        <f>Base!Q423</f>
        <v>176804.43</v>
      </c>
      <c r="H160" s="8">
        <f>D160-G160</f>
        <v>18274.570000000007</v>
      </c>
      <c r="I160" s="29">
        <f>IF(D160=0,0,G160/D160)</f>
        <v>0.9063222079260197</v>
      </c>
      <c r="J160" s="7" t="str">
        <f>Base!AH423</f>
        <v>Administración directa / Equipamiento / Contrata / Personal/bienes/servicios</v>
      </c>
      <c r="K160" s="28" t="str">
        <f>Base!I423</f>
        <v>IOARR</v>
      </c>
      <c r="L160" s="8">
        <f>Base!AA423</f>
        <v>195079.0</v>
      </c>
      <c r="M160" s="8">
        <f>Base!AB423</f>
        <v>23547.0</v>
      </c>
      <c r="N160" s="8">
        <f>Base!AC423</f>
        <v>1.0</v>
      </c>
      <c r="O160" s="8">
        <f>Base!AD423</f>
        <v>0</v>
      </c>
      <c r="P160" s="7">
        <f>IF(Base!AI423="","",Base!AI423)</f>
        <v/>
      </c>
      <c r="Q160" s="28" t="str">
        <f>Base!J423</f>
        <v>No mover</v>
      </c>
      <c r="R160" s="29">
        <f>Base!X423</f>
        <v>0.8255046757156349</v>
      </c>
      <c r="S160" s="8">
        <f>Base!K423</f>
        <v>0.0</v>
      </c>
      <c r="T160" s="7" t="str">
        <f>Base!M423</f>
        <v>Devengado 2026 ≥ 90% del PIM</v>
      </c>
    </row>
    <row r="161" spans="1:20">
      <c r="A161" s="28">
        <f>SUBTOTAL(103,$B$6:B161)</f>
        <v>138</v>
      </c>
      <c r="B161" s="28">
        <v>345</v>
      </c>
      <c r="C161" s="7" t="s">
        <v>1590</v>
      </c>
      <c r="D161" s="8">
        <f>Base!N438</f>
        <v>271707.0</v>
      </c>
      <c r="E161" s="8">
        <f>Base!O438</f>
        <v>271705.69</v>
      </c>
      <c r="F161" s="8">
        <f>D161-E161</f>
        <v>1.3099999999976717</v>
      </c>
      <c r="G161" s="8">
        <f>Base!Q438</f>
        <v>270842.66</v>
      </c>
      <c r="H161" s="8">
        <f>D161-G161</f>
        <v>864.3400000000256</v>
      </c>
      <c r="I161" s="29">
        <f>IF(D161=0,0,G161/D161)</f>
        <v>0.9968188526611386</v>
      </c>
      <c r="J161" s="7" t="str">
        <f>Base!AH438</f>
        <v>Equipamiento / Administración directa / Contrata / Personal/bienes/servicios</v>
      </c>
      <c r="K161" s="28" t="str">
        <f>Base!I438</f>
        <v>IOARR</v>
      </c>
      <c r="L161" s="8">
        <f>Base!AA438</f>
        <v>267733.0</v>
      </c>
      <c r="M161" s="8">
        <f>Base!AB438</f>
        <v>20886.0</v>
      </c>
      <c r="N161" s="8">
        <f>Base!AC438</f>
        <v>0</v>
      </c>
      <c r="O161" s="8">
        <f>Base!AD438</f>
        <v>0</v>
      </c>
      <c r="P161" s="7">
        <f>IF(Base!AI438="","",Base!AI438)</f>
        <v/>
      </c>
      <c r="Q161" s="28" t="str">
        <f>Base!J438</f>
        <v>No mover</v>
      </c>
      <c r="R161" s="29">
        <f>Base!X438</f>
        <v>0.9304427986693373</v>
      </c>
      <c r="S161" s="8">
        <f>Base!K438</f>
        <v>0.0</v>
      </c>
      <c r="T161" s="7" t="str">
        <f>Base!M438</f>
        <v>Devengado 2026 ≥ 90% del PIM</v>
      </c>
    </row>
    <row r="162" spans="1:20">
      <c r="A162" s="25" t="s">
        <v>1357</v>
      </c>
      <c r="B162" s="25"/>
      <c r="C162" s="25"/>
      <c r="D162" s="26">
        <f>SUM(D163:D164)</f>
        <v>11936253.0</v>
      </c>
      <c r="E162" s="26">
        <f>SUM(E163:E164)</f>
        <v>10981993.78</v>
      </c>
      <c r="F162" s="26">
        <f>D162-E162</f>
        <v>954259.2200000007</v>
      </c>
      <c r="G162" s="26">
        <f>SUM(G163:G164)</f>
        <v>5861139.600000001</v>
      </c>
      <c r="H162" s="26">
        <f>D162-G162</f>
        <v>6075113.399999999</v>
      </c>
      <c r="I162" s="27">
        <f>IF(D162=0,0,G162/D162)</f>
        <v>0.4910368102954923</v>
      </c>
      <c r="J162" s="25"/>
      <c r="K162" s="25"/>
      <c r="L162" s="25"/>
      <c r="M162" s="25"/>
      <c r="N162" s="25"/>
      <c r="O162" s="25"/>
      <c r="P162" s="25"/>
      <c r="Q162" s="25"/>
      <c r="R162" s="25"/>
      <c r="S162" s="26">
        <f>SUM(S163:S164)</f>
        <v>0.0</v>
      </c>
      <c r="T162" s="25"/>
    </row>
    <row r="163" spans="1:20">
      <c r="A163" s="28">
        <f>SUBTOTAL(103,$B$6:B163)</f>
        <v>139</v>
      </c>
      <c r="B163" s="28">
        <v>3</v>
      </c>
      <c r="C163" s="7" t="s">
        <v>1560</v>
      </c>
      <c r="D163" s="8">
        <f>Base!N424</f>
        <v>6654893.0</v>
      </c>
      <c r="E163" s="8">
        <f>Base!O424</f>
        <v>6543805.6899999995</v>
      </c>
      <c r="F163" s="8">
        <f>D163-E163</f>
        <v>111087.31000000052</v>
      </c>
      <c r="G163" s="8">
        <f>Base!Q424</f>
        <v>5720622.970000001</v>
      </c>
      <c r="H163" s="8">
        <f>D163-G163</f>
        <v>934270.0299999993</v>
      </c>
      <c r="I163" s="29">
        <f>IF(D163=0,0,G163/D163)</f>
        <v>0.8596115624999532</v>
      </c>
      <c r="J163" s="7" t="str">
        <f>Base!AH424</f>
        <v>Equipamiento / Contrata / Personal/bienes/servicios</v>
      </c>
      <c r="K163" s="28" t="str">
        <f>Base!I424</f>
        <v>Proyecto de inversión</v>
      </c>
      <c r="L163" s="8">
        <f>Base!AA424</f>
        <v>100000.0</v>
      </c>
      <c r="M163" s="8">
        <f>Base!AB424</f>
        <v>218816.0</v>
      </c>
      <c r="N163" s="8">
        <f>Base!AC424</f>
        <v>309853.0</v>
      </c>
      <c r="O163" s="8">
        <f>Base!AD424</f>
        <v>0</v>
      </c>
      <c r="P163" s="7">
        <f>IF(Base!AI424="","",Base!AI424)</f>
        <v/>
      </c>
      <c r="Q163" s="28" t="str">
        <f>Base!J424</f>
        <v>Sin saldo útil</v>
      </c>
      <c r="R163" s="29">
        <f>Base!X424</f>
        <v>0.8388573215695075</v>
      </c>
      <c r="S163" s="8">
        <f>Base!K424</f>
        <v>0.0</v>
      </c>
      <c r="T163" s="7" t="str">
        <f>Base!M424</f>
        <v>Saldo libre menor a S/ 10,000</v>
      </c>
    </row>
    <row r="164" spans="1:20">
      <c r="A164" s="28">
        <f>SUBTOTAL(103,$B$6:B164)</f>
        <v>140</v>
      </c>
      <c r="B164" s="28">
        <v>286</v>
      </c>
      <c r="C164" s="7" t="s">
        <v>1563</v>
      </c>
      <c r="D164" s="8">
        <f>Base!N425</f>
        <v>5281360.0</v>
      </c>
      <c r="E164" s="8">
        <f>Base!O425</f>
        <v>4438188.09</v>
      </c>
      <c r="F164" s="8">
        <f>D164-E164</f>
        <v>843171.9100000001</v>
      </c>
      <c r="G164" s="8">
        <f>Base!Q425</f>
        <v>140516.63</v>
      </c>
      <c r="H164" s="8">
        <f>D164-G164</f>
        <v>5140843.37</v>
      </c>
      <c r="I164" s="29">
        <f>IF(D164=0,0,G164/D164)</f>
        <v>0.026606145008103974</v>
      </c>
      <c r="J164" s="7" t="str">
        <f>Base!AH425</f>
        <v>Equipamiento / Contrata / Personal/bienes/servicios</v>
      </c>
      <c r="K164" s="28" t="str">
        <f>Base!I425</f>
        <v>IOARR</v>
      </c>
      <c r="L164" s="8">
        <f>Base!AA425</f>
        <v>5358341.0</v>
      </c>
      <c r="M164" s="8">
        <f>Base!AB425</f>
        <v>6902686.0</v>
      </c>
      <c r="N164" s="8">
        <f>Base!AC425</f>
        <v>800000.0</v>
      </c>
      <c r="O164" s="8">
        <f>Base!AD425</f>
        <v>800000.0</v>
      </c>
      <c r="P164" s="7">
        <f>IF(Base!AI425="","",Base!AI425)</f>
        <v/>
      </c>
      <c r="Q164" s="28" t="str">
        <f>Base!J425</f>
        <v>Sin saldo útil</v>
      </c>
      <c r="R164" s="29">
        <f>Base!X425</f>
        <v>0.006744567682449318</v>
      </c>
      <c r="S164" s="8">
        <f>Base!K425</f>
        <v>0.0</v>
      </c>
      <c r="T164" s="7" t="str">
        <f>Base!M425</f>
        <v>Saldo libre menor a S/ 10,000</v>
      </c>
    </row>
    <row r="165" spans="1:20">
      <c r="A165" s="25" t="s">
        <v>359</v>
      </c>
      <c r="B165" s="25"/>
      <c r="C165" s="25"/>
      <c r="D165" s="26">
        <f>SUM(D166:D166)</f>
        <v>0.0</v>
      </c>
      <c r="E165" s="26">
        <f>SUM(E166:E166)</f>
        <v>0.0</v>
      </c>
      <c r="F165" s="26">
        <f>D165-E165</f>
        <v>0.0</v>
      </c>
      <c r="G165" s="26">
        <f>SUM(G166:G166)</f>
        <v>0.0</v>
      </c>
      <c r="H165" s="26">
        <f>D165-G165</f>
        <v>0.0</v>
      </c>
      <c r="I165" s="27">
        <f>IF(D165=0,0,G165/D165)</f>
        <v>0</v>
      </c>
      <c r="J165" s="25"/>
      <c r="K165" s="25"/>
      <c r="L165" s="25"/>
      <c r="M165" s="25"/>
      <c r="N165" s="25"/>
      <c r="O165" s="25"/>
      <c r="P165" s="25"/>
      <c r="Q165" s="25"/>
      <c r="R165" s="25"/>
      <c r="S165" s="26">
        <f>SUM(S166:S166)</f>
        <v>0.0</v>
      </c>
      <c r="T165" s="25"/>
    </row>
    <row r="166" spans="1:20">
      <c r="A166" s="28">
        <f>SUBTOTAL(103,$B$6:B166)</f>
        <v>141</v>
      </c>
      <c r="B166" s="28">
        <v>266</v>
      </c>
      <c r="C166" s="7" t="s">
        <v>1566</v>
      </c>
      <c r="D166" s="8">
        <f>Base!N426</f>
        <v>0.0</v>
      </c>
      <c r="E166" s="8">
        <f>Base!O426</f>
        <v>0.0</v>
      </c>
      <c r="F166" s="8">
        <f>D166-E166</f>
        <v>0.0</v>
      </c>
      <c r="G166" s="8">
        <f>Base!Q426</f>
        <v>0.0</v>
      </c>
      <c r="H166" s="8">
        <f>D166-G166</f>
        <v>0.0</v>
      </c>
      <c r="I166" s="29">
        <f>IF(D166=0,0,G166/D166)</f>
        <v>0</v>
      </c>
      <c r="J166" s="7" t="str">
        <f>Base!AH426</f>
        <v>Contrata</v>
      </c>
      <c r="K166" s="28" t="str">
        <f>Base!I426</f>
        <v>IOARR</v>
      </c>
      <c r="L166" s="8">
        <f>Base!AA426</f>
        <v>200000.0</v>
      </c>
      <c r="M166" s="8">
        <f>Base!AB426</f>
        <v>0</v>
      </c>
      <c r="N166" s="8">
        <f>Base!AC426</f>
        <v>0</v>
      </c>
      <c r="O166" s="8">
        <f>Base!AD426</f>
        <v>0</v>
      </c>
      <c r="P166" s="7">
        <f>IF(Base!AI426="","",Base!AI426)</f>
        <v/>
      </c>
      <c r="Q166" s="28" t="str">
        <f>Base!J426</f>
        <v>Sin PIM</v>
      </c>
      <c r="R166" s="29">
        <f>Base!X426</f>
        <v>0.06458263113493085</v>
      </c>
      <c r="S166" s="8">
        <f>Base!K426</f>
        <v>0.0</v>
      </c>
      <c r="T166" s="7" t="str">
        <f>Base!M426</f>
        <v>PIM igual a 0</v>
      </c>
    </row>
    <row r="167" spans="1:20">
      <c r="A167" s="21" t="s">
        <v>1568</v>
      </c>
      <c r="B167" s="21"/>
      <c r="C167" s="21"/>
      <c r="D167" s="22">
        <f>SUM(D168:D177)</f>
        <v>7151039.0</v>
      </c>
      <c r="E167" s="22">
        <f>SUM(E168:E177)</f>
        <v>5784880.990000001</v>
      </c>
      <c r="F167" s="22">
        <f>D167-E167</f>
        <v>1366158.0099999988</v>
      </c>
      <c r="G167" s="22">
        <f>SUM(G168:G177)</f>
        <v>5400403.3100000005</v>
      </c>
      <c r="H167" s="22">
        <f>D167-G167</f>
        <v>1750635.6899999995</v>
      </c>
      <c r="I167" s="23">
        <f>IF(D167=0,0,G167/D167)</f>
        <v>0.7551914218339462</v>
      </c>
      <c r="J167" s="21"/>
      <c r="K167" s="21"/>
      <c r="L167" s="21"/>
      <c r="M167" s="21"/>
      <c r="N167" s="21"/>
      <c r="O167" s="21"/>
      <c r="P167" s="21"/>
      <c r="Q167" s="21"/>
      <c r="R167" s="21"/>
      <c r="S167" s="22">
        <f>SUM(S168:S177)</f>
        <v>1366158.0099999998</v>
      </c>
      <c r="T167" s="21"/>
    </row>
    <row r="168" spans="1:20">
      <c r="A168" s="28">
        <f>SUBTOTAL(103,$B$6:B168)</f>
        <v>142</v>
      </c>
      <c r="B168" s="28">
        <v>213</v>
      </c>
      <c r="C168" s="7" t="s">
        <v>1571</v>
      </c>
      <c r="D168" s="8">
        <f>Base!N427</f>
        <v>185239.0</v>
      </c>
      <c r="E168" s="8">
        <f>Base!O427</f>
        <v>0.0</v>
      </c>
      <c r="F168" s="8">
        <f>D168-E168</f>
        <v>185239.0</v>
      </c>
      <c r="G168" s="8">
        <f>Base!Q427</f>
        <v>0.0</v>
      </c>
      <c r="H168" s="8">
        <f>D168-G168</f>
        <v>185239.0</v>
      </c>
      <c r="I168" s="29">
        <f>IF(D168=0,0,G168/D168)</f>
        <v>0.0</v>
      </c>
      <c r="J168" s="7" t="str">
        <f>Base!AH427</f>
        <v>Estudio de preinversión</v>
      </c>
      <c r="K168" s="28" t="str">
        <f>Base!I427</f>
        <v>Sin dato</v>
      </c>
      <c r="L168" s="8" t="str">
        <f>Base!AA427</f>
        <v>No registrado en cartera</v>
      </c>
      <c r="M168" s="8" t="str">
        <f>Base!AB427</f>
        <v>No registrado en cartera</v>
      </c>
      <c r="N168" s="8" t="str">
        <f>Base!AC427</f>
        <v>No registrado en cartera</v>
      </c>
      <c r="O168" s="8" t="str">
        <f>Base!AD427</f>
        <v>No registrado en cartera</v>
      </c>
      <c r="P168" s="7">
        <f>IF(Base!AI427="","",Base!AI427)</f>
        <v/>
      </c>
      <c r="Q168" s="28" t="str">
        <f>Base!J427</f>
        <v>Bolsa genérica</v>
      </c>
      <c r="R168" s="29" t="str">
        <f>Base!X427</f>
        <v>s/d</v>
      </c>
      <c r="S168" s="8">
        <f>Base!K427</f>
        <v>185239.0</v>
      </c>
      <c r="T168" s="7" t="str">
        <f>Base!M427</f>
        <v>Código genérico (no es una inversión con CUI propio)</v>
      </c>
    </row>
    <row r="169" spans="1:20">
      <c r="A169" s="28">
        <f>SUBTOTAL(103,$B$6:B169)</f>
        <v>143</v>
      </c>
      <c r="B169" s="28">
        <v>214</v>
      </c>
      <c r="C169" s="7" t="s">
        <v>1571</v>
      </c>
      <c r="D169" s="8">
        <f>Base!N428</f>
        <v>39457.0</v>
      </c>
      <c r="E169" s="8">
        <f>Base!O428</f>
        <v>0.0</v>
      </c>
      <c r="F169" s="8">
        <f>D169-E169</f>
        <v>39457.0</v>
      </c>
      <c r="G169" s="8">
        <f>Base!Q428</f>
        <v>0.0</v>
      </c>
      <c r="H169" s="8">
        <f>D169-G169</f>
        <v>39457.0</v>
      </c>
      <c r="I169" s="29">
        <f>IF(D169=0,0,G169/D169)</f>
        <v>0.0</v>
      </c>
      <c r="J169" s="7" t="str">
        <f>Base!AH428</f>
        <v>Estudio de preinversión</v>
      </c>
      <c r="K169" s="28" t="str">
        <f>Base!I428</f>
        <v>Sin dato</v>
      </c>
      <c r="L169" s="8" t="str">
        <f>Base!AA428</f>
        <v>No registrado en cartera</v>
      </c>
      <c r="M169" s="8" t="str">
        <f>Base!AB428</f>
        <v>No registrado en cartera</v>
      </c>
      <c r="N169" s="8" t="str">
        <f>Base!AC428</f>
        <v>No registrado en cartera</v>
      </c>
      <c r="O169" s="8" t="str">
        <f>Base!AD428</f>
        <v>No registrado en cartera</v>
      </c>
      <c r="P169" s="7">
        <f>IF(Base!AI428="","",Base!AI428)</f>
        <v/>
      </c>
      <c r="Q169" s="28" t="str">
        <f>Base!J428</f>
        <v>Bolsa genérica</v>
      </c>
      <c r="R169" s="29" t="str">
        <f>Base!X428</f>
        <v>s/d</v>
      </c>
      <c r="S169" s="8">
        <f>Base!K428</f>
        <v>39457.0</v>
      </c>
      <c r="T169" s="7" t="str">
        <f>Base!M428</f>
        <v>Código genérico (no es una inversión con CUI propio)</v>
      </c>
    </row>
    <row r="170" spans="1:20">
      <c r="A170" s="28">
        <f>SUBTOTAL(103,$B$6:B170)</f>
        <v>144</v>
      </c>
      <c r="B170" s="28">
        <v>215</v>
      </c>
      <c r="C170" s="7" t="s">
        <v>1571</v>
      </c>
      <c r="D170" s="8">
        <f>Base!N429</f>
        <v>0.0</v>
      </c>
      <c r="E170" s="8">
        <f>Base!O429</f>
        <v>0.0</v>
      </c>
      <c r="F170" s="8">
        <f>D170-E170</f>
        <v>0.0</v>
      </c>
      <c r="G170" s="8">
        <f>Base!Q429</f>
        <v>0.0</v>
      </c>
      <c r="H170" s="8">
        <f>D170-G170</f>
        <v>0.0</v>
      </c>
      <c r="I170" s="29">
        <f>IF(D170=0,0,G170/D170)</f>
        <v>0</v>
      </c>
      <c r="J170" s="7" t="str">
        <f>Base!AH429</f>
        <v>Estudio de preinversión</v>
      </c>
      <c r="K170" s="28" t="str">
        <f>Base!I429</f>
        <v>Sin dato</v>
      </c>
      <c r="L170" s="8" t="str">
        <f>Base!AA429</f>
        <v>No registrado en cartera</v>
      </c>
      <c r="M170" s="8" t="str">
        <f>Base!AB429</f>
        <v>No registrado en cartera</v>
      </c>
      <c r="N170" s="8" t="str">
        <f>Base!AC429</f>
        <v>No registrado en cartera</v>
      </c>
      <c r="O170" s="8" t="str">
        <f>Base!AD429</f>
        <v>No registrado en cartera</v>
      </c>
      <c r="P170" s="7">
        <f>IF(Base!AI429="","",Base!AI429)</f>
        <v/>
      </c>
      <c r="Q170" s="28" t="str">
        <f>Base!J429</f>
        <v>Sin PIM</v>
      </c>
      <c r="R170" s="29" t="str">
        <f>Base!X429</f>
        <v>s/d</v>
      </c>
      <c r="S170" s="8">
        <f>Base!K429</f>
        <v>0.0</v>
      </c>
      <c r="T170" s="7" t="str">
        <f>Base!M429</f>
        <v>PIM igual a 0</v>
      </c>
    </row>
    <row r="171" spans="1:20">
      <c r="A171" s="28">
        <f>SUBTOTAL(103,$B$6:B171)</f>
        <v>145</v>
      </c>
      <c r="B171" s="28">
        <v>428</v>
      </c>
      <c r="C171" s="7" t="s">
        <v>1571</v>
      </c>
      <c r="D171" s="8">
        <f>Base!N430</f>
        <v>1185238.0</v>
      </c>
      <c r="E171" s="8">
        <f>Base!O430</f>
        <v>1135881.4100000001</v>
      </c>
      <c r="F171" s="8">
        <f>D171-E171</f>
        <v>49356.58999999985</v>
      </c>
      <c r="G171" s="8">
        <f>Base!Q430</f>
        <v>1093656.38</v>
      </c>
      <c r="H171" s="8">
        <f>D171-G171</f>
        <v>91581.62000000011</v>
      </c>
      <c r="I171" s="29">
        <f>IF(D171=0,0,G171/D171)</f>
        <v>0.9227314514046967</v>
      </c>
      <c r="J171" s="7" t="str">
        <f>Base!AH430</f>
        <v>Estudio de preinversión</v>
      </c>
      <c r="K171" s="28" t="str">
        <f>Base!I430</f>
        <v>Sin dato</v>
      </c>
      <c r="L171" s="8" t="str">
        <f>Base!AA430</f>
        <v>No registrado en cartera</v>
      </c>
      <c r="M171" s="8" t="str">
        <f>Base!AB430</f>
        <v>No registrado en cartera</v>
      </c>
      <c r="N171" s="8" t="str">
        <f>Base!AC430</f>
        <v>No registrado en cartera</v>
      </c>
      <c r="O171" s="8" t="str">
        <f>Base!AD430</f>
        <v>No registrado en cartera</v>
      </c>
      <c r="P171" s="7">
        <f>IF(Base!AI430="","",Base!AI430)</f>
        <v/>
      </c>
      <c r="Q171" s="28" t="str">
        <f>Base!J430</f>
        <v>Bolsa genérica</v>
      </c>
      <c r="R171" s="29" t="str">
        <f>Base!X430</f>
        <v>s/d</v>
      </c>
      <c r="S171" s="8">
        <f>Base!K430</f>
        <v>49356.58999999985</v>
      </c>
      <c r="T171" s="7" t="str">
        <f>Base!M430</f>
        <v>Código genérico (no es una inversión con CUI propio)</v>
      </c>
    </row>
    <row r="172" spans="1:20">
      <c r="A172" s="28">
        <f>SUBTOTAL(103,$B$6:B172)</f>
        <v>146</v>
      </c>
      <c r="B172" s="28">
        <v>429</v>
      </c>
      <c r="C172" s="7" t="s">
        <v>1571</v>
      </c>
      <c r="D172" s="8">
        <f>Base!N431</f>
        <v>303086.0</v>
      </c>
      <c r="E172" s="8">
        <f>Base!O431</f>
        <v>276239.45</v>
      </c>
      <c r="F172" s="8">
        <f>D172-E172</f>
        <v>26846.54999999999</v>
      </c>
      <c r="G172" s="8">
        <f>Base!Q431</f>
        <v>275941.0</v>
      </c>
      <c r="H172" s="8">
        <f>D172-G172</f>
        <v>27145.0</v>
      </c>
      <c r="I172" s="29">
        <f>IF(D172=0,0,G172/D172)</f>
        <v>0.9104379615026759</v>
      </c>
      <c r="J172" s="7" t="str">
        <f>Base!AH431</f>
        <v>Estudio de preinversión</v>
      </c>
      <c r="K172" s="28" t="str">
        <f>Base!I431</f>
        <v>Sin dato</v>
      </c>
      <c r="L172" s="8" t="str">
        <f>Base!AA431</f>
        <v>No registrado en cartera</v>
      </c>
      <c r="M172" s="8" t="str">
        <f>Base!AB431</f>
        <v>No registrado en cartera</v>
      </c>
      <c r="N172" s="8" t="str">
        <f>Base!AC431</f>
        <v>No registrado en cartera</v>
      </c>
      <c r="O172" s="8" t="str">
        <f>Base!AD431</f>
        <v>No registrado en cartera</v>
      </c>
      <c r="P172" s="7">
        <f>IF(Base!AI431="","",Base!AI431)</f>
        <v/>
      </c>
      <c r="Q172" s="28" t="str">
        <f>Base!J431</f>
        <v>Bolsa genérica</v>
      </c>
      <c r="R172" s="29" t="str">
        <f>Base!X431</f>
        <v>s/d</v>
      </c>
      <c r="S172" s="8">
        <f>Base!K431</f>
        <v>26846.54999999999</v>
      </c>
      <c r="T172" s="7" t="str">
        <f>Base!M431</f>
        <v>Código genérico (no es una inversión con CUI propio)</v>
      </c>
    </row>
    <row r="173" spans="1:20">
      <c r="A173" s="28">
        <f>SUBTOTAL(103,$B$6:B173)</f>
        <v>147</v>
      </c>
      <c r="B173" s="28">
        <v>430</v>
      </c>
      <c r="C173" s="7" t="s">
        <v>1571</v>
      </c>
      <c r="D173" s="8">
        <f>Base!N432</f>
        <v>1857675.0</v>
      </c>
      <c r="E173" s="8">
        <f>Base!O432</f>
        <v>1434566.03</v>
      </c>
      <c r="F173" s="8">
        <f>D173-E173</f>
        <v>423108.97</v>
      </c>
      <c r="G173" s="8">
        <f>Base!Q432</f>
        <v>1386835.53</v>
      </c>
      <c r="H173" s="8">
        <f>D173-G173</f>
        <v>470839.47</v>
      </c>
      <c r="I173" s="29">
        <f>IF(D173=0,0,G173/D173)</f>
        <v>0.7465436795994994</v>
      </c>
      <c r="J173" s="7" t="str">
        <f>Base!AH432</f>
        <v>Estudio de preinversión</v>
      </c>
      <c r="K173" s="28" t="str">
        <f>Base!I432</f>
        <v>Sin dato</v>
      </c>
      <c r="L173" s="8" t="str">
        <f>Base!AA432</f>
        <v>No registrado en cartera</v>
      </c>
      <c r="M173" s="8" t="str">
        <f>Base!AB432</f>
        <v>No registrado en cartera</v>
      </c>
      <c r="N173" s="8" t="str">
        <f>Base!AC432</f>
        <v>No registrado en cartera</v>
      </c>
      <c r="O173" s="8" t="str">
        <f>Base!AD432</f>
        <v>No registrado en cartera</v>
      </c>
      <c r="P173" s="7">
        <f>IF(Base!AI432="","",Base!AI432)</f>
        <v/>
      </c>
      <c r="Q173" s="28" t="str">
        <f>Base!J432</f>
        <v>Bolsa genérica</v>
      </c>
      <c r="R173" s="29" t="str">
        <f>Base!X432</f>
        <v>s/d</v>
      </c>
      <c r="S173" s="8">
        <f>Base!K432</f>
        <v>423108.97</v>
      </c>
      <c r="T173" s="7" t="str">
        <f>Base!M432</f>
        <v>Código genérico (no es una inversión con CUI propio)</v>
      </c>
    </row>
    <row r="174" spans="1:20">
      <c r="A174" s="28">
        <f>SUBTOTAL(103,$B$6:B174)</f>
        <v>148</v>
      </c>
      <c r="B174" s="28">
        <v>431</v>
      </c>
      <c r="C174" s="7" t="s">
        <v>1571</v>
      </c>
      <c r="D174" s="8">
        <f>Base!N433</f>
        <v>969006.0</v>
      </c>
      <c r="E174" s="8">
        <f>Base!O433</f>
        <v>950663.4400000001</v>
      </c>
      <c r="F174" s="8">
        <f>D174-E174</f>
        <v>18342.55999999994</v>
      </c>
      <c r="G174" s="8">
        <f>Base!Q433</f>
        <v>931576.3500000001</v>
      </c>
      <c r="H174" s="8">
        <f>D174-G174</f>
        <v>37429.64999999991</v>
      </c>
      <c r="I174" s="29">
        <f>IF(D174=0,0,G174/D174)</f>
        <v>0.9613731493922639</v>
      </c>
      <c r="J174" s="7" t="str">
        <f>Base!AH433</f>
        <v>Estudio de preinversión</v>
      </c>
      <c r="K174" s="28" t="str">
        <f>Base!I433</f>
        <v>Sin dato</v>
      </c>
      <c r="L174" s="8" t="str">
        <f>Base!AA433</f>
        <v>No registrado en cartera</v>
      </c>
      <c r="M174" s="8" t="str">
        <f>Base!AB433</f>
        <v>No registrado en cartera</v>
      </c>
      <c r="N174" s="8" t="str">
        <f>Base!AC433</f>
        <v>No registrado en cartera</v>
      </c>
      <c r="O174" s="8" t="str">
        <f>Base!AD433</f>
        <v>No registrado en cartera</v>
      </c>
      <c r="P174" s="7">
        <f>IF(Base!AI433="","",Base!AI433)</f>
        <v/>
      </c>
      <c r="Q174" s="28" t="str">
        <f>Base!J433</f>
        <v>Bolsa genérica</v>
      </c>
      <c r="R174" s="29" t="str">
        <f>Base!X433</f>
        <v>s/d</v>
      </c>
      <c r="S174" s="8">
        <f>Base!K433</f>
        <v>18342.55999999994</v>
      </c>
      <c r="T174" s="7" t="str">
        <f>Base!M433</f>
        <v>Código genérico (no es una inversión con CUI propio)</v>
      </c>
    </row>
    <row r="175" spans="1:20">
      <c r="A175" s="28">
        <f>SUBTOTAL(103,$B$6:B175)</f>
        <v>149</v>
      </c>
      <c r="B175" s="28">
        <v>432</v>
      </c>
      <c r="C175" s="7" t="s">
        <v>1571</v>
      </c>
      <c r="D175" s="8">
        <f>Base!N434</f>
        <v>1758508.0</v>
      </c>
      <c r="E175" s="8">
        <f>Base!O434</f>
        <v>1289598.4700000002</v>
      </c>
      <c r="F175" s="8">
        <f>D175-E175</f>
        <v>468909.5299999998</v>
      </c>
      <c r="G175" s="8">
        <f>Base!Q434</f>
        <v>1212625.87</v>
      </c>
      <c r="H175" s="8">
        <f>D175-G175</f>
        <v>545882.1299999999</v>
      </c>
      <c r="I175" s="29">
        <f>IF(D175=0,0,G175/D175)</f>
        <v>0.6895765444342591</v>
      </c>
      <c r="J175" s="7" t="str">
        <f>Base!AH434</f>
        <v>Estudio de preinversión</v>
      </c>
      <c r="K175" s="28" t="str">
        <f>Base!I434</f>
        <v>Sin dato</v>
      </c>
      <c r="L175" s="8" t="str">
        <f>Base!AA434</f>
        <v>No registrado en cartera</v>
      </c>
      <c r="M175" s="8" t="str">
        <f>Base!AB434</f>
        <v>No registrado en cartera</v>
      </c>
      <c r="N175" s="8" t="str">
        <f>Base!AC434</f>
        <v>No registrado en cartera</v>
      </c>
      <c r="O175" s="8" t="str">
        <f>Base!AD434</f>
        <v>No registrado en cartera</v>
      </c>
      <c r="P175" s="7">
        <f>IF(Base!AI434="","",Base!AI434)</f>
        <v/>
      </c>
      <c r="Q175" s="28" t="str">
        <f>Base!J434</f>
        <v>Bolsa genérica</v>
      </c>
      <c r="R175" s="29" t="str">
        <f>Base!X434</f>
        <v>s/d</v>
      </c>
      <c r="S175" s="8">
        <f>Base!K434</f>
        <v>468909.5299999998</v>
      </c>
      <c r="T175" s="7" t="str">
        <f>Base!M434</f>
        <v>Código genérico (no es una inversión con CUI propio)</v>
      </c>
    </row>
    <row r="176" spans="1:20">
      <c r="A176" s="28">
        <f>SUBTOTAL(103,$B$6:B176)</f>
        <v>150</v>
      </c>
      <c r="B176" s="28">
        <v>436</v>
      </c>
      <c r="C176" s="7" t="s">
        <v>1571</v>
      </c>
      <c r="D176" s="8">
        <f>Base!N435</f>
        <v>768405.0</v>
      </c>
      <c r="E176" s="8">
        <f>Base!O435</f>
        <v>618712.31</v>
      </c>
      <c r="F176" s="8">
        <f>D176-E176</f>
        <v>149692.68999999994</v>
      </c>
      <c r="G176" s="8">
        <f>Base!Q435</f>
        <v>420548.3</v>
      </c>
      <c r="H176" s="8">
        <f>D176-G176</f>
        <v>347856.7</v>
      </c>
      <c r="I176" s="29">
        <f>IF(D176=0,0,G176/D176)</f>
        <v>0.5473003168901815</v>
      </c>
      <c r="J176" s="7" t="str">
        <f>Base!AH435</f>
        <v>Estudio de preinversión / Equipamiento</v>
      </c>
      <c r="K176" s="28" t="str">
        <f>Base!I435</f>
        <v>Sin dato</v>
      </c>
      <c r="L176" s="8" t="str">
        <f>Base!AA435</f>
        <v>No registrado en cartera</v>
      </c>
      <c r="M176" s="8" t="str">
        <f>Base!AB435</f>
        <v>No registrado en cartera</v>
      </c>
      <c r="N176" s="8" t="str">
        <f>Base!AC435</f>
        <v>No registrado en cartera</v>
      </c>
      <c r="O176" s="8" t="str">
        <f>Base!AD435</f>
        <v>No registrado en cartera</v>
      </c>
      <c r="P176" s="7">
        <f>IF(Base!AI435="","",Base!AI435)</f>
        <v/>
      </c>
      <c r="Q176" s="28" t="str">
        <f>Base!J435</f>
        <v>Bolsa genérica</v>
      </c>
      <c r="R176" s="29" t="str">
        <f>Base!X435</f>
        <v>s/d</v>
      </c>
      <c r="S176" s="8">
        <f>Base!K435</f>
        <v>149692.68999999994</v>
      </c>
      <c r="T176" s="7" t="str">
        <f>Base!M435</f>
        <v>Código genérico (no es una inversión con CUI propio)</v>
      </c>
    </row>
    <row r="177" spans="1:20">
      <c r="A177" s="28">
        <f>SUBTOTAL(103,$B$6:B177)</f>
        <v>151</v>
      </c>
      <c r="B177" s="28">
        <v>481</v>
      </c>
      <c r="C177" s="7" t="s">
        <v>1571</v>
      </c>
      <c r="D177" s="8">
        <f>Base!N436</f>
        <v>84425.0</v>
      </c>
      <c r="E177" s="8">
        <f>Base!O436</f>
        <v>79219.88</v>
      </c>
      <c r="F177" s="8">
        <f>D177-E177</f>
        <v>5205.119999999995</v>
      </c>
      <c r="G177" s="8">
        <f>Base!Q436</f>
        <v>79219.88</v>
      </c>
      <c r="H177" s="8">
        <f>D177-G177</f>
        <v>5205.119999999995</v>
      </c>
      <c r="I177" s="29">
        <f>IF(D177=0,0,G177/D177)</f>
        <v>0.9383462244595796</v>
      </c>
      <c r="J177" s="7" t="str">
        <f>Base!AH436</f>
        <v>Estudio de preinversión</v>
      </c>
      <c r="K177" s="28" t="str">
        <f>Base!I436</f>
        <v>Sin dato</v>
      </c>
      <c r="L177" s="8" t="str">
        <f>Base!AA436</f>
        <v>No registrado en cartera</v>
      </c>
      <c r="M177" s="8" t="str">
        <f>Base!AB436</f>
        <v>No registrado en cartera</v>
      </c>
      <c r="N177" s="8" t="str">
        <f>Base!AC436</f>
        <v>No registrado en cartera</v>
      </c>
      <c r="O177" s="8" t="str">
        <f>Base!AD436</f>
        <v>No registrado en cartera</v>
      </c>
      <c r="P177" s="7">
        <f>IF(Base!AI436="","",Base!AI436)</f>
        <v/>
      </c>
      <c r="Q177" s="28" t="str">
        <f>Base!J436</f>
        <v>Bolsa genérica</v>
      </c>
      <c r="R177" s="29" t="str">
        <f>Base!X436</f>
        <v>s/d</v>
      </c>
      <c r="S177" s="8">
        <f>Base!K436</f>
        <v>5205.119999999995</v>
      </c>
      <c r="T177" s="7" t="str">
        <f>Base!M436</f>
        <v>Código genérico (no es una inversión con CUI propio)</v>
      </c>
    </row>
    <row r="179" spans="1:20">
      <c r="A179" s="30" t="s">
        <v>1746</v>
      </c>
      <c r="B179" s="30"/>
      <c r="C179" s="30"/>
      <c r="D179" s="31">
        <f>D5+D95+D110+D115+D120+D167</f>
        <v>134200895.0</v>
      </c>
      <c r="E179" s="31">
        <f>E5+E95+E110+E115+E120+E167</f>
        <v>119975020.91000001</v>
      </c>
      <c r="F179" s="31">
        <f>D179-E179</f>
        <v>14225874.089999989</v>
      </c>
      <c r="G179" s="31">
        <f>G5+G95+G110+G115+G120+G167</f>
        <v>51844161.760000005</v>
      </c>
      <c r="H179" s="31">
        <f>D179-G179</f>
        <v>82356733.24</v>
      </c>
      <c r="I179" s="32">
        <f>IF(D179=0,0,G179/D179)</f>
        <v>0.3863175559298618</v>
      </c>
      <c r="J179" s="30"/>
      <c r="K179" s="30"/>
      <c r="L179" s="30"/>
      <c r="M179" s="30"/>
      <c r="N179" s="30"/>
      <c r="O179" s="30"/>
      <c r="P179" s="30"/>
      <c r="Q179" s="30"/>
      <c r="R179" s="30"/>
      <c r="S179" s="31">
        <f>S5+S95+S110+S115+S120+S167</f>
        <v>5211072.86</v>
      </c>
      <c r="T179" s="30"/>
    </row>
  </sheetData>
  <conditionalFormatting sqref="Q5:Q179">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T11"/>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19" t="s">
        <v>1747</v>
      </c>
    </row>
    <row r="2" spans="1:20">
      <c r="B2" s="5" t="s">
        <v>1748</v>
      </c>
    </row>
    <row r="4" spans="1:20" ht="44" customHeight="1">
      <c r="A4" s="6" t="s">
        <v>1710</v>
      </c>
      <c r="B4" s="6" t="s">
        <v>1721</v>
      </c>
      <c r="C4" s="6" t="s">
        <v>1722</v>
      </c>
      <c r="D4" s="6" t="s">
        <v>1723</v>
      </c>
      <c r="E4" s="6" t="s">
        <v>1724</v>
      </c>
      <c r="F4" s="6" t="s">
        <v>1725</v>
      </c>
      <c r="G4" s="6" t="s">
        <v>1726</v>
      </c>
      <c r="H4" s="6" t="s">
        <v>1727</v>
      </c>
      <c r="I4" s="6" t="s">
        <v>1728</v>
      </c>
      <c r="J4" s="20" t="s">
        <v>1729</v>
      </c>
      <c r="K4" s="20" t="s">
        <v>1730</v>
      </c>
      <c r="L4" s="20" t="s">
        <v>1731</v>
      </c>
      <c r="M4" s="20" t="s">
        <v>1732</v>
      </c>
      <c r="N4" s="20" t="s">
        <v>1733</v>
      </c>
      <c r="O4" s="20" t="s">
        <v>1734</v>
      </c>
      <c r="P4" s="20" t="s">
        <v>1735</v>
      </c>
      <c r="Q4" s="20" t="s">
        <v>1736</v>
      </c>
      <c r="R4" s="20" t="s">
        <v>1737</v>
      </c>
      <c r="S4" s="20" t="s">
        <v>1738</v>
      </c>
      <c r="T4" s="20" t="s">
        <v>1739</v>
      </c>
    </row>
    <row r="5" spans="1:20">
      <c r="A5" s="21" t="s">
        <v>1599</v>
      </c>
      <c r="B5" s="21"/>
      <c r="C5" s="21"/>
      <c r="D5" s="22">
        <f>D6+D8</f>
        <v>120166.0</v>
      </c>
      <c r="E5" s="22">
        <f>E6+E8</f>
        <v>19362.0</v>
      </c>
      <c r="F5" s="22">
        <f>D5-E5</f>
        <v>100804.0</v>
      </c>
      <c r="G5" s="22">
        <f>G6+G8</f>
        <v>18148.25</v>
      </c>
      <c r="H5" s="22">
        <f>D5-G5</f>
        <v>102017.75</v>
      </c>
      <c r="I5" s="23">
        <f>IF(D5=0,0,G5/D5)</f>
        <v>0.15102649667959323</v>
      </c>
      <c r="J5" s="21"/>
      <c r="K5" s="21"/>
      <c r="L5" s="21"/>
      <c r="M5" s="21"/>
      <c r="N5" s="21"/>
      <c r="O5" s="21"/>
      <c r="P5" s="21"/>
      <c r="Q5" s="21"/>
      <c r="R5" s="21"/>
      <c r="S5" s="22">
        <f>S6+S8</f>
        <v>0.0</v>
      </c>
      <c r="T5" s="21"/>
    </row>
    <row r="6" spans="1:20">
      <c r="A6" s="25" t="s">
        <v>78</v>
      </c>
      <c r="B6" s="25"/>
      <c r="C6" s="25"/>
      <c r="D6" s="26">
        <f>SUM(D7:D7)</f>
        <v>100000.0</v>
      </c>
      <c r="E6" s="26">
        <f>SUM(E7:E7)</f>
        <v>0.0</v>
      </c>
      <c r="F6" s="26">
        <f>D6-E6</f>
        <v>100000.0</v>
      </c>
      <c r="G6" s="26">
        <f>SUM(G7:G7)</f>
        <v>0.0</v>
      </c>
      <c r="H6" s="26">
        <f>D6-G6</f>
        <v>100000.0</v>
      </c>
      <c r="I6" s="27">
        <f>IF(D6=0,0,G6/D6)</f>
        <v>0.0</v>
      </c>
      <c r="J6" s="25"/>
      <c r="K6" s="25"/>
      <c r="L6" s="25"/>
      <c r="M6" s="25"/>
      <c r="N6" s="25"/>
      <c r="O6" s="25"/>
      <c r="P6" s="25"/>
      <c r="Q6" s="25"/>
      <c r="R6" s="25"/>
      <c r="S6" s="26">
        <f>SUM(S7:S7)</f>
        <v>0.0</v>
      </c>
      <c r="T6" s="25"/>
    </row>
    <row r="7" spans="1:20">
      <c r="A7" s="28">
        <f>SUBTOTAL(103,$B$6:B7)</f>
        <v>1</v>
      </c>
      <c r="B7" s="28">
        <v>533</v>
      </c>
      <c r="C7" s="7" t="s">
        <v>1602</v>
      </c>
      <c r="D7" s="8">
        <f>Base!N440</f>
        <v>100000.0</v>
      </c>
      <c r="E7" s="8">
        <f>Base!O440</f>
        <v>0.0</v>
      </c>
      <c r="F7" s="8">
        <f>D7-E7</f>
        <v>100000.0</v>
      </c>
      <c r="G7" s="8">
        <f>Base!Q440</f>
        <v>0.0</v>
      </c>
      <c r="H7" s="8">
        <f>D7-G7</f>
        <v>100000.0</v>
      </c>
      <c r="I7" s="29">
        <f>IF(D7=0,0,G7/D7)</f>
        <v>0.0</v>
      </c>
      <c r="J7" s="7" t="str">
        <f>Base!AH440</f>
        <v>Expediente técnico</v>
      </c>
      <c r="K7" s="28" t="str">
        <f>Base!I440</f>
        <v>Proyecto de inversión</v>
      </c>
      <c r="L7" s="8">
        <f>Base!AA440</f>
        <v>100000.0</v>
      </c>
      <c r="M7" s="8">
        <f>Base!AB440</f>
        <v>0</v>
      </c>
      <c r="N7" s="8">
        <f>Base!AC440</f>
        <v>3681052.0</v>
      </c>
      <c r="O7" s="8">
        <f>Base!AD440</f>
        <v>4156140.0</v>
      </c>
      <c r="P7" s="7">
        <f>IF(Base!AI440="","",Base!AI440)</f>
        <v/>
      </c>
      <c r="Q7" s="28" t="str">
        <f>Base!J440</f>
        <v>Sin saldo útil</v>
      </c>
      <c r="R7" s="29">
        <f>Base!X440</f>
        <v>0.0</v>
      </c>
      <c r="S7" s="8">
        <f>Base!K440</f>
        <v>0.0</v>
      </c>
      <c r="T7" s="7" t="str">
        <f>Base!M440</f>
        <v>Saldo libre menor a S/ 10,000</v>
      </c>
    </row>
    <row r="8" spans="1:20">
      <c r="A8" s="25" t="s">
        <v>102</v>
      </c>
      <c r="B8" s="25"/>
      <c r="C8" s="25"/>
      <c r="D8" s="26">
        <f>SUM(D9:D9)</f>
        <v>20166.0</v>
      </c>
      <c r="E8" s="26">
        <f>SUM(E9:E9)</f>
        <v>19362.0</v>
      </c>
      <c r="F8" s="26">
        <f>D8-E8</f>
        <v>804.0</v>
      </c>
      <c r="G8" s="26">
        <f>SUM(G9:G9)</f>
        <v>18148.25</v>
      </c>
      <c r="H8" s="26">
        <f>D8-G8</f>
        <v>2017.75</v>
      </c>
      <c r="I8" s="27">
        <f>IF(D8=0,0,G8/D8)</f>
        <v>0.8999429733214321</v>
      </c>
      <c r="J8" s="25"/>
      <c r="K8" s="25"/>
      <c r="L8" s="25"/>
      <c r="M8" s="25"/>
      <c r="N8" s="25"/>
      <c r="O8" s="25"/>
      <c r="P8" s="25"/>
      <c r="Q8" s="25"/>
      <c r="R8" s="25"/>
      <c r="S8" s="26">
        <f>SUM(S9:S9)</f>
        <v>0.0</v>
      </c>
      <c r="T8" s="25"/>
    </row>
    <row r="9" spans="1:20">
      <c r="A9" s="28">
        <f>SUBTOTAL(103,$B$6:B9)</f>
        <v>2</v>
      </c>
      <c r="B9" s="28">
        <v>499</v>
      </c>
      <c r="C9" s="7" t="s">
        <v>1605</v>
      </c>
      <c r="D9" s="8">
        <f>Base!N441</f>
        <v>20166.0</v>
      </c>
      <c r="E9" s="8">
        <f>Base!O441</f>
        <v>19362.0</v>
      </c>
      <c r="F9" s="8">
        <f>D9-E9</f>
        <v>804.0</v>
      </c>
      <c r="G9" s="8">
        <f>Base!Q441</f>
        <v>18148.25</v>
      </c>
      <c r="H9" s="8">
        <f>D9-G9</f>
        <v>2017.75</v>
      </c>
      <c r="I9" s="29">
        <f>IF(D9=0,0,G9/D9)</f>
        <v>0.8999429733214321</v>
      </c>
      <c r="J9" s="7" t="str">
        <f>Base!AH441</f>
        <v>Contrata / Personal/bienes/servicios</v>
      </c>
      <c r="K9" s="28" t="str">
        <f>Base!I441</f>
        <v>Proyecto de inversión</v>
      </c>
      <c r="L9" s="8">
        <f>Base!AA441</f>
        <v>20166.0</v>
      </c>
      <c r="M9" s="8">
        <f>Base!AB441</f>
        <v>0</v>
      </c>
      <c r="N9" s="8">
        <f>Base!AC441</f>
        <v>0</v>
      </c>
      <c r="O9" s="8">
        <f>Base!AD441</f>
        <v>0</v>
      </c>
      <c r="P9" s="7">
        <f>IF(Base!AI441="","",Base!AI441)</f>
        <v/>
      </c>
      <c r="Q9" s="28" t="str">
        <f>Base!J441</f>
        <v>No mover</v>
      </c>
      <c r="R9" s="29">
        <f>Base!X441</f>
        <v>0.9229823335734537</v>
      </c>
      <c r="S9" s="8">
        <f>Base!K441</f>
        <v>0.0</v>
      </c>
      <c r="T9" s="7" t="str">
        <f>Base!M441</f>
        <v>Avance financiero acumulado 92% (&gt; 90%)</v>
      </c>
    </row>
    <row r="11" spans="1:20">
      <c r="A11" s="30" t="s">
        <v>1749</v>
      </c>
      <c r="B11" s="30"/>
      <c r="C11" s="30"/>
      <c r="D11" s="31">
        <f>D5</f>
        <v>120166.0</v>
      </c>
      <c r="E11" s="31">
        <f>E5</f>
        <v>19362.0</v>
      </c>
      <c r="F11" s="31">
        <f>D11-E11</f>
        <v>100804.0</v>
      </c>
      <c r="G11" s="31">
        <f>G5</f>
        <v>18148.25</v>
      </c>
      <c r="H11" s="31">
        <f>D11-G11</f>
        <v>102017.75</v>
      </c>
      <c r="I11" s="32">
        <f>IF(D11=0,0,G11/D11)</f>
        <v>0.15102649667959323</v>
      </c>
      <c r="J11" s="30"/>
      <c r="K11" s="30"/>
      <c r="L11" s="30"/>
      <c r="M11" s="30"/>
      <c r="N11" s="30"/>
      <c r="O11" s="30"/>
      <c r="P11" s="30"/>
      <c r="Q11" s="30"/>
      <c r="R11" s="30"/>
      <c r="S11" s="31">
        <f>S5</f>
        <v>0.0</v>
      </c>
      <c r="T11" s="30"/>
    </row>
  </sheetData>
  <conditionalFormatting sqref="Q5:Q11">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T8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19" t="s">
        <v>1750</v>
      </c>
    </row>
    <row r="2" spans="1:20">
      <c r="B2" s="5" t="s">
        <v>1751</v>
      </c>
    </row>
    <row r="4" spans="1:20" ht="44" customHeight="1">
      <c r="A4" s="6" t="s">
        <v>1710</v>
      </c>
      <c r="B4" s="6" t="s">
        <v>1721</v>
      </c>
      <c r="C4" s="6" t="s">
        <v>1722</v>
      </c>
      <c r="D4" s="6" t="s">
        <v>1723</v>
      </c>
      <c r="E4" s="6" t="s">
        <v>1724</v>
      </c>
      <c r="F4" s="6" t="s">
        <v>1725</v>
      </c>
      <c r="G4" s="6" t="s">
        <v>1726</v>
      </c>
      <c r="H4" s="6" t="s">
        <v>1727</v>
      </c>
      <c r="I4" s="6" t="s">
        <v>1728</v>
      </c>
      <c r="J4" s="20" t="s">
        <v>1729</v>
      </c>
      <c r="K4" s="20" t="s">
        <v>1730</v>
      </c>
      <c r="L4" s="20" t="s">
        <v>1731</v>
      </c>
      <c r="M4" s="20" t="s">
        <v>1732</v>
      </c>
      <c r="N4" s="20" t="s">
        <v>1733</v>
      </c>
      <c r="O4" s="20" t="s">
        <v>1734</v>
      </c>
      <c r="P4" s="20" t="s">
        <v>1735</v>
      </c>
      <c r="Q4" s="20" t="s">
        <v>1736</v>
      </c>
      <c r="R4" s="20" t="s">
        <v>1737</v>
      </c>
      <c r="S4" s="20" t="s">
        <v>1738</v>
      </c>
      <c r="T4" s="20" t="s">
        <v>1739</v>
      </c>
    </row>
    <row r="5" spans="1:20">
      <c r="A5" s="21" t="s">
        <v>1609</v>
      </c>
      <c r="B5" s="21"/>
      <c r="C5" s="21"/>
      <c r="D5" s="22">
        <f>D6+D9</f>
        <v>2582404.0</v>
      </c>
      <c r="E5" s="22">
        <f>E6+E9</f>
        <v>1853925.82</v>
      </c>
      <c r="F5" s="22">
        <f>D5-E5</f>
        <v>728478.1799999999</v>
      </c>
      <c r="G5" s="22">
        <f>G6+G9</f>
        <v>1594267.12</v>
      </c>
      <c r="H5" s="22">
        <f>D5-G5</f>
        <v>988136.8799999999</v>
      </c>
      <c r="I5" s="23">
        <f>IF(D5=0,0,G5/D5)</f>
        <v>0.6173577488262875</v>
      </c>
      <c r="J5" s="21"/>
      <c r="K5" s="21"/>
      <c r="L5" s="21"/>
      <c r="M5" s="21"/>
      <c r="N5" s="21"/>
      <c r="O5" s="21"/>
      <c r="P5" s="21"/>
      <c r="Q5" s="21"/>
      <c r="R5" s="21"/>
      <c r="S5" s="22">
        <f>S6+S9</f>
        <v>45000.0</v>
      </c>
      <c r="T5" s="21"/>
    </row>
    <row r="6" spans="1:20">
      <c r="A6" s="25" t="s">
        <v>1321</v>
      </c>
      <c r="B6" s="25"/>
      <c r="C6" s="25"/>
      <c r="D6" s="26">
        <f>SUM(D7:D8)</f>
        <v>2462454.0</v>
      </c>
      <c r="E6" s="26">
        <f>SUM(E7:E8)</f>
        <v>1739634.6</v>
      </c>
      <c r="F6" s="26">
        <f>D6-E6</f>
        <v>722819.3999999999</v>
      </c>
      <c r="G6" s="26">
        <f>SUM(G7:G8)</f>
        <v>1523975.9000000001</v>
      </c>
      <c r="H6" s="26">
        <f>D6-G6</f>
        <v>938478.0999999999</v>
      </c>
      <c r="I6" s="27">
        <f>IF(D6=0,0,G6/D6)</f>
        <v>0.6188850228268225</v>
      </c>
      <c r="J6" s="25"/>
      <c r="K6" s="25"/>
      <c r="L6" s="25"/>
      <c r="M6" s="25"/>
      <c r="N6" s="25"/>
      <c r="O6" s="25"/>
      <c r="P6" s="25"/>
      <c r="Q6" s="25"/>
      <c r="R6" s="25"/>
      <c r="S6" s="26">
        <f>SUM(S7:S8)</f>
        <v>45000.0</v>
      </c>
      <c r="T6" s="25"/>
    </row>
    <row r="7" spans="1:20">
      <c r="A7" s="28">
        <f>SUBTOTAL(103,$B$6:B7)</f>
        <v>1</v>
      </c>
      <c r="B7" s="28">
        <v>5</v>
      </c>
      <c r="C7" s="7" t="s">
        <v>1611</v>
      </c>
      <c r="D7" s="8">
        <f>Base!N442</f>
        <v>2417454.0</v>
      </c>
      <c r="E7" s="8">
        <f>Base!O442</f>
        <v>1739634.6</v>
      </c>
      <c r="F7" s="8">
        <f>D7-E7</f>
        <v>677819.3999999999</v>
      </c>
      <c r="G7" s="8">
        <f>Base!Q442</f>
        <v>1523975.9000000001</v>
      </c>
      <c r="H7" s="8">
        <f>D7-G7</f>
        <v>893478.0999999999</v>
      </c>
      <c r="I7" s="29">
        <f>IF(D7=0,0,G7/D7)</f>
        <v>0.6304053355306865</v>
      </c>
      <c r="J7" s="7" t="str">
        <f>Base!AH442</f>
        <v>Contrata / Personal/bienes/servicios / Equipamiento</v>
      </c>
      <c r="K7" s="28" t="str">
        <f>Base!I442</f>
        <v>Proyecto de inversión</v>
      </c>
      <c r="L7" s="8">
        <f>Base!AA442</f>
        <v>1050000.0</v>
      </c>
      <c r="M7" s="8">
        <f>Base!AB442</f>
        <v>2062045.0</v>
      </c>
      <c r="N7" s="8">
        <f>Base!AC442</f>
        <v>1715201.0</v>
      </c>
      <c r="O7" s="8">
        <f>Base!AD442</f>
        <v>0</v>
      </c>
      <c r="P7" s="7">
        <f>IF(Base!AI442="","",Base!AI442)</f>
        <v/>
      </c>
      <c r="Q7" s="28" t="str">
        <f>Base!J442</f>
        <v>Sin saldo útil</v>
      </c>
      <c r="R7" s="29">
        <f>Base!X442</f>
        <v>0.605328513210309</v>
      </c>
      <c r="S7" s="8">
        <f>Base!K442</f>
        <v>0.0</v>
      </c>
      <c r="T7" s="7" t="str">
        <f>Base!M442</f>
        <v>Saldo libre menor a S/ 10,000</v>
      </c>
    </row>
    <row r="8" spans="1:20">
      <c r="A8" s="28">
        <f>SUBTOTAL(103,$B$6:B8)</f>
        <v>2</v>
      </c>
      <c r="B8" s="28">
        <v>24</v>
      </c>
      <c r="C8" s="7" t="s">
        <v>1616</v>
      </c>
      <c r="D8" s="8">
        <f>Base!N444</f>
        <v>45000.0</v>
      </c>
      <c r="E8" s="8">
        <f>Base!O444</f>
        <v>0.0</v>
      </c>
      <c r="F8" s="8">
        <f>D8-E8</f>
        <v>45000.0</v>
      </c>
      <c r="G8" s="8">
        <f>Base!Q444</f>
        <v>0.0</v>
      </c>
      <c r="H8" s="8">
        <f>D8-G8</f>
        <v>45000.0</v>
      </c>
      <c r="I8" s="29">
        <f>IF(D8=0,0,G8/D8)</f>
        <v>0.0</v>
      </c>
      <c r="J8" s="7" t="str">
        <f>Base!AH444</f>
        <v>Expediente técnico</v>
      </c>
      <c r="K8" s="28" t="str">
        <f>Base!I444</f>
        <v>IOARR</v>
      </c>
      <c r="L8" s="8" t="str">
        <f>Base!AA444</f>
        <v>No registrado en cartera</v>
      </c>
      <c r="M8" s="8" t="str">
        <f>Base!AB444</f>
        <v>No registrado en cartera</v>
      </c>
      <c r="N8" s="8" t="str">
        <f>Base!AC444</f>
        <v>No registrado en cartera</v>
      </c>
      <c r="O8" s="8" t="str">
        <f>Base!AD444</f>
        <v>No registrado en cartera</v>
      </c>
      <c r="P8" s="7">
        <f>IF(Base!AI444="","",Base!AI444)</f>
        <v/>
      </c>
      <c r="Q8" s="28" t="str">
        <f>Base!J444</f>
        <v>Con condiciones</v>
      </c>
      <c r="R8" s="29">
        <f>Base!X444</f>
        <v>0.0</v>
      </c>
      <c r="S8" s="8">
        <f>Base!K444</f>
        <v>45000.0</v>
      </c>
      <c r="T8" s="7" t="str">
        <f>Base!M444</f>
        <v>El 12-B programa S/ 1,346,495 de un PIM de S/ 45,000: la UEI debe actualizarlo (el proyecto no está en ningún PMI)</v>
      </c>
    </row>
    <row r="9" spans="1:20">
      <c r="A9" s="25" t="s">
        <v>1334</v>
      </c>
      <c r="B9" s="25"/>
      <c r="C9" s="25"/>
      <c r="D9" s="26">
        <f>SUM(D10:D11)</f>
        <v>119950.0</v>
      </c>
      <c r="E9" s="26">
        <f>SUM(E10:E11)</f>
        <v>114291.22</v>
      </c>
      <c r="F9" s="26">
        <f>D9-E9</f>
        <v>5658.779999999999</v>
      </c>
      <c r="G9" s="26">
        <f>SUM(G10:G11)</f>
        <v>70291.22</v>
      </c>
      <c r="H9" s="26">
        <f>D9-G9</f>
        <v>49658.78</v>
      </c>
      <c r="I9" s="27">
        <f>IF(D9=0,0,G9/D9)</f>
        <v>0.5860043351396416</v>
      </c>
      <c r="J9" s="25"/>
      <c r="K9" s="25"/>
      <c r="L9" s="25"/>
      <c r="M9" s="25"/>
      <c r="N9" s="25"/>
      <c r="O9" s="25"/>
      <c r="P9" s="25"/>
      <c r="Q9" s="25"/>
      <c r="R9" s="25"/>
      <c r="S9" s="26">
        <f>SUM(S10:S11)</f>
        <v>0.0</v>
      </c>
      <c r="T9" s="25"/>
    </row>
    <row r="10" spans="1:20">
      <c r="A10" s="28">
        <f>SUBTOTAL(103,$B$6:B10)</f>
        <v>3</v>
      </c>
      <c r="B10" s="28">
        <v>15</v>
      </c>
      <c r="C10" s="7" t="s">
        <v>1614</v>
      </c>
      <c r="D10" s="8">
        <f>Base!N443</f>
        <v>119950.0</v>
      </c>
      <c r="E10" s="8">
        <f>Base!O443</f>
        <v>114291.22</v>
      </c>
      <c r="F10" s="8">
        <f>D10-E10</f>
        <v>5658.779999999999</v>
      </c>
      <c r="G10" s="8">
        <f>Base!Q443</f>
        <v>70291.22</v>
      </c>
      <c r="H10" s="8">
        <f>D10-G10</f>
        <v>49658.78</v>
      </c>
      <c r="I10" s="29">
        <f>IF(D10=0,0,G10/D10)</f>
        <v>0.5860043351396416</v>
      </c>
      <c r="J10" s="7" t="str">
        <f>Base!AH443</f>
        <v>Contrata</v>
      </c>
      <c r="K10" s="28" t="str">
        <f>Base!I443</f>
        <v>Proyecto de inversión</v>
      </c>
      <c r="L10" s="8">
        <f>Base!AA443</f>
        <v>287404.0</v>
      </c>
      <c r="M10" s="8">
        <f>Base!AB443</f>
        <v>77681.0</v>
      </c>
      <c r="N10" s="8">
        <f>Base!AC443</f>
        <v>0</v>
      </c>
      <c r="O10" s="8">
        <f>Base!AD443</f>
        <v>0</v>
      </c>
      <c r="P10" s="7">
        <f>IF(Base!AI443="","",Base!AI443)</f>
        <v/>
      </c>
      <c r="Q10" s="28" t="str">
        <f>Base!J443</f>
        <v>No mover</v>
      </c>
      <c r="R10" s="29">
        <f>Base!X443</f>
        <v>0.9408479056405513</v>
      </c>
      <c r="S10" s="8">
        <f>Base!K443</f>
        <v>0.0</v>
      </c>
      <c r="T10" s="7" t="str">
        <f>Base!M443</f>
        <v>Avance financiero acumulado 94% (&gt; 90%)</v>
      </c>
    </row>
    <row r="11" spans="1:20">
      <c r="A11" s="28">
        <f>SUBTOTAL(103,$B$6:B11)</f>
        <v>4</v>
      </c>
      <c r="B11" s="28">
        <v>14</v>
      </c>
      <c r="C11" s="7" t="s">
        <v>1614</v>
      </c>
      <c r="D11" s="8">
        <f>Base!N445</f>
        <v>0.0</v>
      </c>
      <c r="E11" s="8">
        <f>Base!O445</f>
        <v>0.0</v>
      </c>
      <c r="F11" s="8">
        <f>D11-E11</f>
        <v>0.0</v>
      </c>
      <c r="G11" s="8">
        <f>Base!Q445</f>
        <v>0.0</v>
      </c>
      <c r="H11" s="8">
        <f>D11-G11</f>
        <v>0.0</v>
      </c>
      <c r="I11" s="29">
        <f>IF(D11=0,0,G11/D11)</f>
        <v>0</v>
      </c>
      <c r="J11" s="7" t="str">
        <f>Base!AH445</f>
        <v>Contrata</v>
      </c>
      <c r="K11" s="28" t="str">
        <f>Base!I445</f>
        <v>Proyecto de inversión</v>
      </c>
      <c r="L11" s="8">
        <f>Base!AA445</f>
        <v>287404.0</v>
      </c>
      <c r="M11" s="8">
        <f>Base!AB445</f>
        <v>77681.0</v>
      </c>
      <c r="N11" s="8">
        <f>Base!AC445</f>
        <v>0</v>
      </c>
      <c r="O11" s="8">
        <f>Base!AD445</f>
        <v>0</v>
      </c>
      <c r="P11" s="7">
        <f>IF(Base!AI445="","",Base!AI445)</f>
        <v/>
      </c>
      <c r="Q11" s="28" t="str">
        <f>Base!J445</f>
        <v>Sin PIM</v>
      </c>
      <c r="R11" s="29">
        <f>Base!X445</f>
        <v>0.9408479056405513</v>
      </c>
      <c r="S11" s="8">
        <f>Base!K445</f>
        <v>0.0</v>
      </c>
      <c r="T11" s="7" t="str">
        <f>Base!M445</f>
        <v>PIM igual a 0</v>
      </c>
    </row>
    <row r="12" spans="1:20">
      <c r="A12" s="21" t="s">
        <v>1620</v>
      </c>
      <c r="B12" s="21"/>
      <c r="C12" s="21"/>
      <c r="D12" s="22">
        <f>D13+D54</f>
        <v>55637342.0</v>
      </c>
      <c r="E12" s="22">
        <f>E13+E54</f>
        <v>51017385.46</v>
      </c>
      <c r="F12" s="22">
        <f>D12-E12</f>
        <v>4619956.539999999</v>
      </c>
      <c r="G12" s="22">
        <f>G13+G54</f>
        <v>33578061.609999985</v>
      </c>
      <c r="H12" s="22">
        <f>D12-G12</f>
        <v>22059280.390000015</v>
      </c>
      <c r="I12" s="23">
        <f>IF(D12=0,0,G12/D12)</f>
        <v>0.603516638339768</v>
      </c>
      <c r="J12" s="21"/>
      <c r="K12" s="21"/>
      <c r="L12" s="21"/>
      <c r="M12" s="21"/>
      <c r="N12" s="21"/>
      <c r="O12" s="21"/>
      <c r="P12" s="21"/>
      <c r="Q12" s="21"/>
      <c r="R12" s="21"/>
      <c r="S12" s="22">
        <f>S13+S54</f>
        <v>750170.6886060585</v>
      </c>
      <c r="T12" s="21"/>
    </row>
    <row r="13" spans="1:20">
      <c r="A13" s="25" t="s">
        <v>1128</v>
      </c>
      <c r="B13" s="25"/>
      <c r="C13" s="25"/>
      <c r="D13" s="26">
        <f>SUM(D14:D53)</f>
        <v>55637342.0</v>
      </c>
      <c r="E13" s="26">
        <f>SUM(E14:E53)</f>
        <v>51017385.46</v>
      </c>
      <c r="F13" s="26">
        <f>D13-E13</f>
        <v>4619956.539999999</v>
      </c>
      <c r="G13" s="26">
        <f>SUM(G14:G53)</f>
        <v>33578061.609999985</v>
      </c>
      <c r="H13" s="26">
        <f>D13-G13</f>
        <v>22059280.390000015</v>
      </c>
      <c r="I13" s="27">
        <f>IF(D13=0,0,G13/D13)</f>
        <v>0.603516638339768</v>
      </c>
      <c r="J13" s="25"/>
      <c r="K13" s="25"/>
      <c r="L13" s="25"/>
      <c r="M13" s="25"/>
      <c r="N13" s="25"/>
      <c r="O13" s="25"/>
      <c r="P13" s="25"/>
      <c r="Q13" s="25"/>
      <c r="R13" s="25"/>
      <c r="S13" s="26">
        <f>SUM(S14:S53)</f>
        <v>750170.6886060585</v>
      </c>
      <c r="T13" s="25"/>
    </row>
    <row r="14" spans="1:20">
      <c r="A14" s="28">
        <f>SUBTOTAL(103,$B$6:B14)</f>
        <v>5</v>
      </c>
      <c r="B14" s="28">
        <v>40</v>
      </c>
      <c r="C14" s="7" t="s">
        <v>1622</v>
      </c>
      <c r="D14" s="8">
        <f>Base!N446</f>
        <v>8376232.0</v>
      </c>
      <c r="E14" s="8">
        <f>Base!O446</f>
        <v>7854544.77</v>
      </c>
      <c r="F14" s="8">
        <f>D14-E14</f>
        <v>521687.23000000045</v>
      </c>
      <c r="G14" s="8">
        <f>Base!Q446</f>
        <v>87757.47</v>
      </c>
      <c r="H14" s="8">
        <f>D14-G14</f>
        <v>8288474.53</v>
      </c>
      <c r="I14" s="29">
        <f>IF(D14=0,0,G14/D14)</f>
        <v>0.010476962672476121</v>
      </c>
      <c r="J14" s="7" t="str">
        <f>Base!AH446</f>
        <v>Administración directa / Personal/bienes/servicios / Equipamiento / Contrata</v>
      </c>
      <c r="K14" s="28" t="str">
        <f>Base!I446</f>
        <v>Proyecto de inversión</v>
      </c>
      <c r="L14" s="8">
        <f>Base!AA446</f>
        <v>5730000.0</v>
      </c>
      <c r="M14" s="8">
        <f>Base!AB446</f>
        <v>7379001.0</v>
      </c>
      <c r="N14" s="8">
        <f>Base!AC446</f>
        <v>1300000.0</v>
      </c>
      <c r="O14" s="8">
        <f>Base!AD446</f>
        <v>1500000.0</v>
      </c>
      <c r="P14" s="7">
        <f>IF(Base!AI446="","",Base!AI446)</f>
        <v/>
      </c>
      <c r="Q14" s="28" t="str">
        <f>Base!J446</f>
        <v>Sin saldo útil</v>
      </c>
      <c r="R14" s="29">
        <f>Base!X446</f>
        <v>0.07465276051625265</v>
      </c>
      <c r="S14" s="8">
        <f>Base!K446</f>
        <v>0.0</v>
      </c>
      <c r="T14" s="7" t="str">
        <f>Base!M446</f>
        <v>Saldo libre menor a S/ 10,000</v>
      </c>
    </row>
    <row r="15" spans="1:20">
      <c r="A15" s="28">
        <f>SUBTOTAL(103,$B$6:B15)</f>
        <v>6</v>
      </c>
      <c r="B15" s="28">
        <v>3</v>
      </c>
      <c r="C15" s="7" t="s">
        <v>1625</v>
      </c>
      <c r="D15" s="8">
        <f>Base!N447</f>
        <v>7885949.0</v>
      </c>
      <c r="E15" s="8">
        <f>Base!O447</f>
        <v>7581523.87</v>
      </c>
      <c r="F15" s="8">
        <f>D15-E15</f>
        <v>304425.1299999999</v>
      </c>
      <c r="G15" s="8">
        <f>Base!Q447</f>
        <v>6423232.300000002</v>
      </c>
      <c r="H15" s="8">
        <f>D15-G15</f>
        <v>1462716.6999999983</v>
      </c>
      <c r="I15" s="29">
        <f>IF(D15=0,0,G15/D15)</f>
        <v>0.8145160842404638</v>
      </c>
      <c r="J15" s="7" t="str">
        <f>Base!AH447</f>
        <v>Administración directa / Contrata / Personal/bienes/servicios / Equipamiento</v>
      </c>
      <c r="K15" s="28" t="str">
        <f>Base!I447</f>
        <v>Proyecto de inversión</v>
      </c>
      <c r="L15" s="8">
        <f>Base!AA447</f>
        <v>2780000.0</v>
      </c>
      <c r="M15" s="8">
        <f>Base!AB447</f>
        <v>108325.0</v>
      </c>
      <c r="N15" s="8">
        <f>Base!AC447</f>
        <v>0</v>
      </c>
      <c r="O15" s="8">
        <f>Base!AD447</f>
        <v>0</v>
      </c>
      <c r="P15" s="7">
        <f>IF(Base!AI447="","",Base!AI447)</f>
        <v/>
      </c>
      <c r="Q15" s="28" t="str">
        <f>Base!J447</f>
        <v>Con condiciones</v>
      </c>
      <c r="R15" s="29">
        <f>Base!X447</f>
        <v>0.857122748986519</v>
      </c>
      <c r="S15" s="8">
        <f>Base!K447</f>
        <v>304204.24681685056</v>
      </c>
      <c r="T15" s="7" t="str">
        <f>Base!M447</f>
        <v>Está programado en el PMI 2026 · Tiene monto en el PMI 2027 (S/ 108,325)</v>
      </c>
    </row>
    <row r="16" spans="1:20">
      <c r="A16" s="28">
        <f>SUBTOTAL(103,$B$6:B16)</f>
        <v>7</v>
      </c>
      <c r="B16" s="28">
        <v>12</v>
      </c>
      <c r="C16" s="7" t="s">
        <v>1629</v>
      </c>
      <c r="D16" s="8">
        <f>Base!N448</f>
        <v>7723291.0</v>
      </c>
      <c r="E16" s="8">
        <f>Base!O448</f>
        <v>7350044.049999999</v>
      </c>
      <c r="F16" s="8">
        <f>D16-E16</f>
        <v>373246.9500000011</v>
      </c>
      <c r="G16" s="8">
        <f>Base!Q448</f>
        <v>5496208.600000001</v>
      </c>
      <c r="H16" s="8">
        <f>D16-G16</f>
        <v>2227082.3999999994</v>
      </c>
      <c r="I16" s="29">
        <f>IF(D16=0,0,G16/D16)</f>
        <v>0.7116407500377754</v>
      </c>
      <c r="J16" s="7" t="str">
        <f>Base!AH448</f>
        <v>Administración directa / Contrata / Personal/bienes/servicios</v>
      </c>
      <c r="K16" s="28" t="str">
        <f>Base!I448</f>
        <v>Proyecto de inversión</v>
      </c>
      <c r="L16" s="8">
        <f>Base!AA448</f>
        <v>4665000.0</v>
      </c>
      <c r="M16" s="8">
        <f>Base!AB448</f>
        <v>62456.0</v>
      </c>
      <c r="N16" s="8">
        <f>Base!AC448</f>
        <v>0</v>
      </c>
      <c r="O16" s="8">
        <f>Base!AD448</f>
        <v>0</v>
      </c>
      <c r="P16" s="7">
        <f>IF(Base!AI448="","",Base!AI448)</f>
        <v/>
      </c>
      <c r="Q16" s="28" t="str">
        <f>Base!J448</f>
        <v>Con condiciones</v>
      </c>
      <c r="R16" s="29">
        <f>Base!X448</f>
        <v>0.7620846705482515</v>
      </c>
      <c r="S16" s="8">
        <f>Base!K448</f>
        <v>356798.11178920785</v>
      </c>
      <c r="T16" s="7" t="str">
        <f>Base!M448</f>
        <v>Está programado en el PMI 2026 · Tiene monto en el PMI 2027 (S/ 62,456)</v>
      </c>
    </row>
    <row r="17" spans="1:20">
      <c r="A17" s="28">
        <f>SUBTOTAL(103,$B$6:B17)</f>
        <v>8</v>
      </c>
      <c r="B17" s="28">
        <v>33</v>
      </c>
      <c r="C17" s="7" t="s">
        <v>1622</v>
      </c>
      <c r="D17" s="8">
        <f>Base!N449</f>
        <v>5353000.0</v>
      </c>
      <c r="E17" s="8">
        <f>Base!O449</f>
        <v>4519176.449999999</v>
      </c>
      <c r="F17" s="8">
        <f>D17-E17</f>
        <v>833823.5500000007</v>
      </c>
      <c r="G17" s="8">
        <f>Base!Q449</f>
        <v>1249313.7</v>
      </c>
      <c r="H17" s="8">
        <f>D17-G17</f>
        <v>4103686.3</v>
      </c>
      <c r="I17" s="29">
        <f>IF(D17=0,0,G17/D17)</f>
        <v>0.2333857089482533</v>
      </c>
      <c r="J17" s="7" t="str">
        <f>Base!AH449</f>
        <v>Administración directa / Contrata / Personal/bienes/servicios / Equipamiento</v>
      </c>
      <c r="K17" s="28" t="str">
        <f>Base!I449</f>
        <v>Proyecto de inversión</v>
      </c>
      <c r="L17" s="8">
        <f>Base!AA449</f>
        <v>5730000.0</v>
      </c>
      <c r="M17" s="8">
        <f>Base!AB449</f>
        <v>7379001.0</v>
      </c>
      <c r="N17" s="8">
        <f>Base!AC449</f>
        <v>1300000.0</v>
      </c>
      <c r="O17" s="8">
        <f>Base!AD449</f>
        <v>1500000.0</v>
      </c>
      <c r="P17" s="7">
        <f>IF(Base!AI449="","",Base!AI449)</f>
        <v/>
      </c>
      <c r="Q17" s="28" t="str">
        <f>Base!J449</f>
        <v>Sin saldo útil</v>
      </c>
      <c r="R17" s="29">
        <f>Base!X449</f>
        <v>0.07465276051625265</v>
      </c>
      <c r="S17" s="8">
        <f>Base!K449</f>
        <v>0.0</v>
      </c>
      <c r="T17" s="7" t="str">
        <f>Base!M449</f>
        <v>Saldo libre menor a S/ 10,000</v>
      </c>
    </row>
    <row r="18" spans="1:20">
      <c r="A18" s="28">
        <f>SUBTOTAL(103,$B$6:B18)</f>
        <v>9</v>
      </c>
      <c r="B18" s="28">
        <v>6</v>
      </c>
      <c r="C18" s="7" t="s">
        <v>1632</v>
      </c>
      <c r="D18" s="8">
        <f>Base!N450</f>
        <v>5062649.0</v>
      </c>
      <c r="E18" s="8">
        <f>Base!O450</f>
        <v>4791585.130000002</v>
      </c>
      <c r="F18" s="8">
        <f>D18-E18</f>
        <v>271063.86999999825</v>
      </c>
      <c r="G18" s="8">
        <f>Base!Q450</f>
        <v>4676286.710000001</v>
      </c>
      <c r="H18" s="8">
        <f>D18-G18</f>
        <v>386362.2899999991</v>
      </c>
      <c r="I18" s="29">
        <f>IF(D18=0,0,G18/D18)</f>
        <v>0.9236837691098081</v>
      </c>
      <c r="J18" s="7" t="str">
        <f>Base!AH450</f>
        <v>Administración directa / Contrata / Equipamiento / Personal/bienes/servicios</v>
      </c>
      <c r="K18" s="28" t="str">
        <f>Base!I450</f>
        <v>Proyecto de inversión</v>
      </c>
      <c r="L18" s="8">
        <f>Base!AA450</f>
        <v>1750000.0</v>
      </c>
      <c r="M18" s="8">
        <f>Base!AB450</f>
        <v>0</v>
      </c>
      <c r="N18" s="8">
        <f>Base!AC450</f>
        <v>0</v>
      </c>
      <c r="O18" s="8">
        <f>Base!AD450</f>
        <v>0</v>
      </c>
      <c r="P18" s="7">
        <f>IF(Base!AI450="","",Base!AI450)</f>
        <v/>
      </c>
      <c r="Q18" s="28" t="str">
        <f>Base!J450</f>
        <v>No mover</v>
      </c>
      <c r="R18" s="29">
        <f>Base!X450</f>
        <v>0.9811918743833363</v>
      </c>
      <c r="S18" s="8">
        <f>Base!K450</f>
        <v>0.0</v>
      </c>
      <c r="T18" s="7" t="str">
        <f>Base!M450</f>
        <v>Devengado 2026 ≥ 90% del PIM</v>
      </c>
    </row>
    <row r="19" spans="1:20">
      <c r="A19" s="28">
        <f>SUBTOTAL(103,$B$6:B19)</f>
        <v>10</v>
      </c>
      <c r="B19" s="28">
        <v>8</v>
      </c>
      <c r="C19" s="7" t="s">
        <v>1635</v>
      </c>
      <c r="D19" s="8">
        <f>Base!N451</f>
        <v>4860569.0</v>
      </c>
      <c r="E19" s="8">
        <f>Base!O451</f>
        <v>4527702.750000001</v>
      </c>
      <c r="F19" s="8">
        <f>D19-E19</f>
        <v>332866.24999999907</v>
      </c>
      <c r="G19" s="8">
        <f>Base!Q451</f>
        <v>4364263.45</v>
      </c>
      <c r="H19" s="8">
        <f>D19-G19</f>
        <v>496305.5499999998</v>
      </c>
      <c r="I19" s="29">
        <f>IF(D19=0,0,G19/D19)</f>
        <v>0.8978914711425762</v>
      </c>
      <c r="J19" s="7" t="str">
        <f>Base!AH451</f>
        <v>Administración directa / Contrata / Personal/bienes/servicios</v>
      </c>
      <c r="K19" s="28" t="str">
        <f>Base!I451</f>
        <v>Proyecto de inversión</v>
      </c>
      <c r="L19" s="8">
        <f>Base!AA451</f>
        <v>1580000.0</v>
      </c>
      <c r="M19" s="8">
        <f>Base!AB451</f>
        <v>285490.0</v>
      </c>
      <c r="N19" s="8">
        <f>Base!AC451</f>
        <v>0</v>
      </c>
      <c r="O19" s="8">
        <f>Base!AD451</f>
        <v>0</v>
      </c>
      <c r="P19" s="7">
        <f>IF(Base!AI451="","",Base!AI451)</f>
        <v/>
      </c>
      <c r="Q19" s="28" t="str">
        <f>Base!J451</f>
        <v>No mover</v>
      </c>
      <c r="R19" s="29">
        <f>Base!X451</f>
        <v>0.9356821592317719</v>
      </c>
      <c r="S19" s="8">
        <f>Base!K451</f>
        <v>0.0</v>
      </c>
      <c r="T19" s="7" t="str">
        <f>Base!M451</f>
        <v>Avance financiero acumulado 94% (&gt; 90%)</v>
      </c>
    </row>
    <row r="20" spans="1:20">
      <c r="A20" s="28">
        <f>SUBTOTAL(103,$B$6:B20)</f>
        <v>11</v>
      </c>
      <c r="B20" s="28">
        <v>9</v>
      </c>
      <c r="C20" s="7" t="s">
        <v>1635</v>
      </c>
      <c r="D20" s="8">
        <f>Base!N452</f>
        <v>3664997.0</v>
      </c>
      <c r="E20" s="8">
        <f>Base!O452</f>
        <v>3623867.98</v>
      </c>
      <c r="F20" s="8">
        <f>D20-E20</f>
        <v>41129.02000000002</v>
      </c>
      <c r="G20" s="8">
        <f>Base!Q452</f>
        <v>3096526.6799999997</v>
      </c>
      <c r="H20" s="8">
        <f>D20-G20</f>
        <v>568470.3200000003</v>
      </c>
      <c r="I20" s="29">
        <f>IF(D20=0,0,G20/D20)</f>
        <v>0.8448920094613992</v>
      </c>
      <c r="J20" s="7" t="str">
        <f>Base!AH452</f>
        <v>Administración directa / Contrata / Personal/bienes/servicios</v>
      </c>
      <c r="K20" s="28" t="str">
        <f>Base!I452</f>
        <v>Proyecto de inversión</v>
      </c>
      <c r="L20" s="8">
        <f>Base!AA452</f>
        <v>1580000.0</v>
      </c>
      <c r="M20" s="8">
        <f>Base!AB452</f>
        <v>285490.0</v>
      </c>
      <c r="N20" s="8">
        <f>Base!AC452</f>
        <v>0</v>
      </c>
      <c r="O20" s="8">
        <f>Base!AD452</f>
        <v>0</v>
      </c>
      <c r="P20" s="7">
        <f>IF(Base!AI452="","",Base!AI452)</f>
        <v/>
      </c>
      <c r="Q20" s="28" t="str">
        <f>Base!J452</f>
        <v>No mover</v>
      </c>
      <c r="R20" s="29">
        <f>Base!X452</f>
        <v>0.9356821592317719</v>
      </c>
      <c r="S20" s="8">
        <f>Base!K452</f>
        <v>0.0</v>
      </c>
      <c r="T20" s="7" t="str">
        <f>Base!M452</f>
        <v>Avance financiero acumulado 94% (&gt; 90%)</v>
      </c>
    </row>
    <row r="21" spans="1:20">
      <c r="A21" s="28">
        <f>SUBTOTAL(103,$B$6:B21)</f>
        <v>12</v>
      </c>
      <c r="B21" s="28">
        <v>28</v>
      </c>
      <c r="C21" s="7" t="s">
        <v>1622</v>
      </c>
      <c r="D21" s="8">
        <f>Base!N453</f>
        <v>3422000.0</v>
      </c>
      <c r="E21" s="8">
        <f>Base!O453</f>
        <v>2189475.51</v>
      </c>
      <c r="F21" s="8">
        <f>D21-E21</f>
        <v>1232524.4900000002</v>
      </c>
      <c r="G21" s="8">
        <f>Base!Q453</f>
        <v>706719.22</v>
      </c>
      <c r="H21" s="8">
        <f>D21-G21</f>
        <v>2715280.7800000003</v>
      </c>
      <c r="I21" s="29">
        <f>IF(D21=0,0,G21/D21)</f>
        <v>0.2065222735242548</v>
      </c>
      <c r="J21" s="7" t="str">
        <f>Base!AH453</f>
        <v>Administración directa / Contrata / Personal/bienes/servicios</v>
      </c>
      <c r="K21" s="28" t="str">
        <f>Base!I453</f>
        <v>Proyecto de inversión</v>
      </c>
      <c r="L21" s="8">
        <f>Base!AA453</f>
        <v>5730000.0</v>
      </c>
      <c r="M21" s="8">
        <f>Base!AB453</f>
        <v>7379001.0</v>
      </c>
      <c r="N21" s="8">
        <f>Base!AC453</f>
        <v>1300000.0</v>
      </c>
      <c r="O21" s="8">
        <f>Base!AD453</f>
        <v>1500000.0</v>
      </c>
      <c r="P21" s="7">
        <f>IF(Base!AI453="","",Base!AI453)</f>
        <v/>
      </c>
      <c r="Q21" s="28" t="str">
        <f>Base!J453</f>
        <v>Sin saldo útil</v>
      </c>
      <c r="R21" s="29">
        <f>Base!X453</f>
        <v>0.07465276051625265</v>
      </c>
      <c r="S21" s="8">
        <f>Base!K453</f>
        <v>0.0</v>
      </c>
      <c r="T21" s="7" t="str">
        <f>Base!M453</f>
        <v>Saldo libre menor a S/ 10,000</v>
      </c>
    </row>
    <row r="22" spans="1:20">
      <c r="A22" s="28">
        <f>SUBTOTAL(103,$B$6:B22)</f>
        <v>13</v>
      </c>
      <c r="B22" s="28">
        <v>5</v>
      </c>
      <c r="C22" s="7" t="s">
        <v>1638</v>
      </c>
      <c r="D22" s="8">
        <f>Base!N454</f>
        <v>1998145.0</v>
      </c>
      <c r="E22" s="8">
        <f>Base!O454</f>
        <v>1935732.31</v>
      </c>
      <c r="F22" s="8">
        <f>D22-E22</f>
        <v>62412.689999999944</v>
      </c>
      <c r="G22" s="8">
        <f>Base!Q454</f>
        <v>1849231.35</v>
      </c>
      <c r="H22" s="8">
        <f>D22-G22</f>
        <v>148913.6499999999</v>
      </c>
      <c r="I22" s="29">
        <f>IF(D22=0,0,G22/D22)</f>
        <v>0.9254740521834002</v>
      </c>
      <c r="J22" s="7" t="str">
        <f>Base!AH454</f>
        <v>Administración directa / Contrata / Personal/bienes/servicios / Equipamiento</v>
      </c>
      <c r="K22" s="28" t="str">
        <f>Base!I454</f>
        <v>Proyecto de inversión</v>
      </c>
      <c r="L22" s="8">
        <f>Base!AA454</f>
        <v>1850000.0</v>
      </c>
      <c r="M22" s="8">
        <f>Base!AB454</f>
        <v>0</v>
      </c>
      <c r="N22" s="8">
        <f>Base!AC454</f>
        <v>0</v>
      </c>
      <c r="O22" s="8">
        <f>Base!AD454</f>
        <v>0</v>
      </c>
      <c r="P22" s="7">
        <f>IF(Base!AI454="","",Base!AI454)</f>
        <v/>
      </c>
      <c r="Q22" s="28" t="str">
        <f>Base!J454</f>
        <v>No mover</v>
      </c>
      <c r="R22" s="29">
        <f>Base!X454</f>
        <v>0.9412715319340418</v>
      </c>
      <c r="S22" s="8">
        <f>Base!K454</f>
        <v>0.0</v>
      </c>
      <c r="T22" s="7" t="str">
        <f>Base!M454</f>
        <v>Devengado 2026 ≥ 90% del PIM</v>
      </c>
    </row>
    <row r="23" spans="1:20">
      <c r="A23" s="28">
        <f>SUBTOTAL(103,$B$6:B23)</f>
        <v>14</v>
      </c>
      <c r="B23" s="28">
        <v>21</v>
      </c>
      <c r="C23" s="7" t="s">
        <v>1632</v>
      </c>
      <c r="D23" s="8">
        <f>Base!N455</f>
        <v>1888290.0</v>
      </c>
      <c r="E23" s="8">
        <f>Base!O455</f>
        <v>1878163.81</v>
      </c>
      <c r="F23" s="8">
        <f>D23-E23</f>
        <v>10126.189999999944</v>
      </c>
      <c r="G23" s="8">
        <f>Base!Q455</f>
        <v>1807695.78</v>
      </c>
      <c r="H23" s="8">
        <f>D23-G23</f>
        <v>80594.21999999997</v>
      </c>
      <c r="I23" s="29">
        <f>IF(D23=0,0,G23/D23)</f>
        <v>0.9573189393578317</v>
      </c>
      <c r="J23" s="7" t="str">
        <f>Base!AH455</f>
        <v>Administración directa / Contrata / Personal/bienes/servicios</v>
      </c>
      <c r="K23" s="28" t="str">
        <f>Base!I455</f>
        <v>Proyecto de inversión</v>
      </c>
      <c r="L23" s="8">
        <f>Base!AA455</f>
        <v>1750000.0</v>
      </c>
      <c r="M23" s="8">
        <f>Base!AB455</f>
        <v>0</v>
      </c>
      <c r="N23" s="8">
        <f>Base!AC455</f>
        <v>0</v>
      </c>
      <c r="O23" s="8">
        <f>Base!AD455</f>
        <v>0</v>
      </c>
      <c r="P23" s="7">
        <f>IF(Base!AI455="","",Base!AI455)</f>
        <v/>
      </c>
      <c r="Q23" s="28" t="str">
        <f>Base!J455</f>
        <v>No mover</v>
      </c>
      <c r="R23" s="29">
        <f>Base!X455</f>
        <v>0.9811918743833363</v>
      </c>
      <c r="S23" s="8">
        <f>Base!K455</f>
        <v>0.0</v>
      </c>
      <c r="T23" s="7" t="str">
        <f>Base!M455</f>
        <v>Devengado 2026 ≥ 90% del PIM</v>
      </c>
    </row>
    <row r="24" spans="1:20">
      <c r="A24" s="28">
        <f>SUBTOTAL(103,$B$6:B24)</f>
        <v>15</v>
      </c>
      <c r="B24" s="28">
        <v>17</v>
      </c>
      <c r="C24" s="7" t="s">
        <v>1622</v>
      </c>
      <c r="D24" s="8">
        <f>Base!N456</f>
        <v>1733600.0</v>
      </c>
      <c r="E24" s="8">
        <f>Base!O456</f>
        <v>1695198.5100000002</v>
      </c>
      <c r="F24" s="8">
        <f>D24-E24</f>
        <v>38401.48999999976</v>
      </c>
      <c r="G24" s="8">
        <f>Base!Q456</f>
        <v>1216702.31</v>
      </c>
      <c r="H24" s="8">
        <f>D24-G24</f>
        <v>516897.68999999994</v>
      </c>
      <c r="I24" s="29">
        <f>IF(D24=0,0,G24/D24)</f>
        <v>0.7018356656668205</v>
      </c>
      <c r="J24" s="7" t="str">
        <f>Base!AH456</f>
        <v>Administración directa / Contrata / Personal/bienes/servicios</v>
      </c>
      <c r="K24" s="28" t="str">
        <f>Base!I456</f>
        <v>Proyecto de inversión</v>
      </c>
      <c r="L24" s="8">
        <f>Base!AA456</f>
        <v>5730000.0</v>
      </c>
      <c r="M24" s="8">
        <f>Base!AB456</f>
        <v>7379001.0</v>
      </c>
      <c r="N24" s="8">
        <f>Base!AC456</f>
        <v>1300000.0</v>
      </c>
      <c r="O24" s="8">
        <f>Base!AD456</f>
        <v>1500000.0</v>
      </c>
      <c r="P24" s="7">
        <f>IF(Base!AI456="","",Base!AI456)</f>
        <v/>
      </c>
      <c r="Q24" s="28" t="str">
        <f>Base!J456</f>
        <v>Sin saldo útil</v>
      </c>
      <c r="R24" s="29">
        <f>Base!X456</f>
        <v>0.07465276051625265</v>
      </c>
      <c r="S24" s="8">
        <f>Base!K456</f>
        <v>0.0</v>
      </c>
      <c r="T24" s="7" t="str">
        <f>Base!M456</f>
        <v>Saldo libre menor a S/ 10,000</v>
      </c>
    </row>
    <row r="25" spans="1:20">
      <c r="A25" s="28">
        <f>SUBTOTAL(103,$B$6:B25)</f>
        <v>16</v>
      </c>
      <c r="B25" s="28">
        <v>36</v>
      </c>
      <c r="C25" s="7" t="s">
        <v>1640</v>
      </c>
      <c r="D25" s="8">
        <f>Base!N457</f>
        <v>390300.0</v>
      </c>
      <c r="E25" s="8">
        <f>Base!O457</f>
        <v>369779.36</v>
      </c>
      <c r="F25" s="8">
        <f>D25-E25</f>
        <v>20520.640000000014</v>
      </c>
      <c r="G25" s="8">
        <f>Base!Q457</f>
        <v>221110.69999999998</v>
      </c>
      <c r="H25" s="8">
        <f>D25-G25</f>
        <v>169189.30000000002</v>
      </c>
      <c r="I25" s="29">
        <f>IF(D25=0,0,G25/D25)</f>
        <v>0.566514732257238</v>
      </c>
      <c r="J25" s="7" t="str">
        <f>Base!AH457</f>
        <v>Estudio de preinversión</v>
      </c>
      <c r="K25" s="28" t="str">
        <f>Base!I457</f>
        <v>Sin dato</v>
      </c>
      <c r="L25" s="8" t="str">
        <f>Base!AA457</f>
        <v>No registrado en cartera</v>
      </c>
      <c r="M25" s="8" t="str">
        <f>Base!AB457</f>
        <v>No registrado en cartera</v>
      </c>
      <c r="N25" s="8" t="str">
        <f>Base!AC457</f>
        <v>No registrado en cartera</v>
      </c>
      <c r="O25" s="8" t="str">
        <f>Base!AD457</f>
        <v>No registrado en cartera</v>
      </c>
      <c r="P25" s="7">
        <f>IF(Base!AI457="","",Base!AI457)</f>
        <v/>
      </c>
      <c r="Q25" s="28" t="str">
        <f>Base!J457</f>
        <v>Bolsa genérica</v>
      </c>
      <c r="R25" s="29" t="str">
        <f>Base!X457</f>
        <v>s/d</v>
      </c>
      <c r="S25" s="8">
        <f>Base!K457</f>
        <v>20520.640000000014</v>
      </c>
      <c r="T25" s="7" t="str">
        <f>Base!M457</f>
        <v>Código genérico (no es una inversión con CUI propio)</v>
      </c>
    </row>
    <row r="26" spans="1:20">
      <c r="A26" s="28">
        <f>SUBTOTAL(103,$B$6:B26)</f>
        <v>17</v>
      </c>
      <c r="B26" s="28">
        <v>30</v>
      </c>
      <c r="C26" s="7" t="s">
        <v>1635</v>
      </c>
      <c r="D26" s="8">
        <f>Base!N458</f>
        <v>318683.0</v>
      </c>
      <c r="E26" s="8">
        <f>Base!O458</f>
        <v>303987.53</v>
      </c>
      <c r="F26" s="8">
        <f>D26-E26</f>
        <v>14695.469999999972</v>
      </c>
      <c r="G26" s="8">
        <f>Base!Q458</f>
        <v>288256.93</v>
      </c>
      <c r="H26" s="8">
        <f>D26-G26</f>
        <v>30426.070000000007</v>
      </c>
      <c r="I26" s="29">
        <f>IF(D26=0,0,G26/D26)</f>
        <v>0.9045255943994502</v>
      </c>
      <c r="J26" s="7" t="str">
        <f>Base!AH458</f>
        <v>Administración directa</v>
      </c>
      <c r="K26" s="28" t="str">
        <f>Base!I458</f>
        <v>Proyecto de inversión</v>
      </c>
      <c r="L26" s="8">
        <f>Base!AA458</f>
        <v>1580000.0</v>
      </c>
      <c r="M26" s="8">
        <f>Base!AB458</f>
        <v>285490.0</v>
      </c>
      <c r="N26" s="8">
        <f>Base!AC458</f>
        <v>0</v>
      </c>
      <c r="O26" s="8">
        <f>Base!AD458</f>
        <v>0</v>
      </c>
      <c r="P26" s="7">
        <f>IF(Base!AI458="","",Base!AI458)</f>
        <v/>
      </c>
      <c r="Q26" s="28" t="str">
        <f>Base!J458</f>
        <v>No mover</v>
      </c>
      <c r="R26" s="29">
        <f>Base!X458</f>
        <v>0.9356821592317719</v>
      </c>
      <c r="S26" s="8">
        <f>Base!K458</f>
        <v>0.0</v>
      </c>
      <c r="T26" s="7" t="str">
        <f>Base!M458</f>
        <v>Avance financiero acumulado 94% (&gt; 90%)</v>
      </c>
    </row>
    <row r="27" spans="1:20">
      <c r="A27" s="28">
        <f>SUBTOTAL(103,$B$6:B27)</f>
        <v>18</v>
      </c>
      <c r="B27" s="28">
        <v>13</v>
      </c>
      <c r="C27" s="7" t="s">
        <v>1629</v>
      </c>
      <c r="D27" s="8">
        <f>Base!N459</f>
        <v>304784.0</v>
      </c>
      <c r="E27" s="8">
        <f>Base!O459</f>
        <v>301167.4</v>
      </c>
      <c r="F27" s="8">
        <f>D27-E27</f>
        <v>3616.5999999999767</v>
      </c>
      <c r="G27" s="8">
        <f>Base!Q459</f>
        <v>299374.49</v>
      </c>
      <c r="H27" s="8">
        <f>D27-G27</f>
        <v>5409.510000000009</v>
      </c>
      <c r="I27" s="29">
        <f>IF(D27=0,0,G27/D27)</f>
        <v>0.9822513320909234</v>
      </c>
      <c r="J27" s="7" t="str">
        <f>Base!AH459</f>
        <v>Administración directa</v>
      </c>
      <c r="K27" s="28" t="str">
        <f>Base!I459</f>
        <v>Proyecto de inversión</v>
      </c>
      <c r="L27" s="8">
        <f>Base!AA459</f>
        <v>4665000.0</v>
      </c>
      <c r="M27" s="8">
        <f>Base!AB459</f>
        <v>62456.0</v>
      </c>
      <c r="N27" s="8">
        <f>Base!AC459</f>
        <v>0</v>
      </c>
      <c r="O27" s="8">
        <f>Base!AD459</f>
        <v>0</v>
      </c>
      <c r="P27" s="7">
        <f>IF(Base!AI459="","",Base!AI459)</f>
        <v/>
      </c>
      <c r="Q27" s="28" t="str">
        <f>Base!J459</f>
        <v>Sin saldo útil</v>
      </c>
      <c r="R27" s="29">
        <f>Base!X459</f>
        <v>0.7620846705482515</v>
      </c>
      <c r="S27" s="8">
        <f>Base!K459</f>
        <v>3616.5999999999767</v>
      </c>
      <c r="T27" s="7" t="str">
        <f>Base!M459</f>
        <v>Saldo libre menor a S/ 10,000</v>
      </c>
    </row>
    <row r="28" spans="1:20">
      <c r="A28" s="28">
        <f>SUBTOTAL(103,$B$6:B28)</f>
        <v>19</v>
      </c>
      <c r="B28" s="28">
        <v>43</v>
      </c>
      <c r="C28" s="7" t="s">
        <v>1643</v>
      </c>
      <c r="D28" s="8">
        <f>Base!N460</f>
        <v>300185.0</v>
      </c>
      <c r="E28" s="8">
        <f>Base!O460</f>
        <v>114970.06999999999</v>
      </c>
      <c r="F28" s="8">
        <f>D28-E28</f>
        <v>185214.93</v>
      </c>
      <c r="G28" s="8">
        <f>Base!Q460</f>
        <v>12801.369999999999</v>
      </c>
      <c r="H28" s="8">
        <f>D28-G28</f>
        <v>287383.63</v>
      </c>
      <c r="I28" s="29">
        <f>IF(D28=0,0,G28/D28)</f>
        <v>0.04264493562303246</v>
      </c>
      <c r="J28" s="7" t="str">
        <f>Base!AH460</f>
        <v>Administración directa / Equipamiento / Contrata / Personal/bienes/servicios</v>
      </c>
      <c r="K28" s="28" t="str">
        <f>Base!I460</f>
        <v>Proyecto de inversión</v>
      </c>
      <c r="L28" s="8">
        <f>Base!AA460</f>
        <v>6500000.0</v>
      </c>
      <c r="M28" s="8">
        <f>Base!AB460</f>
        <v>4715948.0</v>
      </c>
      <c r="N28" s="8">
        <f>Base!AC460</f>
        <v>5327000.0</v>
      </c>
      <c r="O28" s="8">
        <f>Base!AD460</f>
        <v>7815000.0</v>
      </c>
      <c r="P28" s="7">
        <f>IF(Base!AI460="","",Base!AI460)</f>
        <v/>
      </c>
      <c r="Q28" s="28" t="str">
        <f>Base!J460</f>
        <v>Sin saldo útil</v>
      </c>
      <c r="R28" s="29">
        <f>Base!X460</f>
        <v>0.01643307846335088</v>
      </c>
      <c r="S28" s="8">
        <f>Base!K460</f>
        <v>0.0</v>
      </c>
      <c r="T28" s="7" t="str">
        <f>Base!M460</f>
        <v>Saldo libre menor a S/ 10,000</v>
      </c>
    </row>
    <row r="29" spans="1:20">
      <c r="A29" s="28">
        <f>SUBTOTAL(103,$B$6:B29)</f>
        <v>20</v>
      </c>
      <c r="B29" s="28">
        <v>42</v>
      </c>
      <c r="C29" s="7" t="s">
        <v>1643</v>
      </c>
      <c r="D29" s="8">
        <f>Base!N461</f>
        <v>292185.0</v>
      </c>
      <c r="E29" s="8">
        <f>Base!O461</f>
        <v>72896.23000000001</v>
      </c>
      <c r="F29" s="8">
        <f>D29-E29</f>
        <v>219288.77</v>
      </c>
      <c r="G29" s="8">
        <f>Base!Q461</f>
        <v>12396.83</v>
      </c>
      <c r="H29" s="8">
        <f>D29-G29</f>
        <v>279788.17</v>
      </c>
      <c r="I29" s="29">
        <f>IF(D29=0,0,G29/D29)</f>
        <v>0.04242801649639783</v>
      </c>
      <c r="J29" s="7" t="str">
        <f>Base!AH461</f>
        <v>Administración directa / Contrata / Personal/bienes/servicios</v>
      </c>
      <c r="K29" s="28" t="str">
        <f>Base!I461</f>
        <v>Proyecto de inversión</v>
      </c>
      <c r="L29" s="8">
        <f>Base!AA461</f>
        <v>6500000.0</v>
      </c>
      <c r="M29" s="8">
        <f>Base!AB461</f>
        <v>4715948.0</v>
      </c>
      <c r="N29" s="8">
        <f>Base!AC461</f>
        <v>5327000.0</v>
      </c>
      <c r="O29" s="8">
        <f>Base!AD461</f>
        <v>7815000.0</v>
      </c>
      <c r="P29" s="7">
        <f>IF(Base!AI461="","",Base!AI461)</f>
        <v/>
      </c>
      <c r="Q29" s="28" t="str">
        <f>Base!J461</f>
        <v>Sin saldo útil</v>
      </c>
      <c r="R29" s="29">
        <f>Base!X461</f>
        <v>0.01643307846335088</v>
      </c>
      <c r="S29" s="8">
        <f>Base!K461</f>
        <v>0.0</v>
      </c>
      <c r="T29" s="7" t="str">
        <f>Base!M461</f>
        <v>Saldo libre menor a S/ 10,000</v>
      </c>
    </row>
    <row r="30" spans="1:20">
      <c r="A30" s="28">
        <f>SUBTOTAL(103,$B$6:B30)</f>
        <v>21</v>
      </c>
      <c r="B30" s="28">
        <v>14</v>
      </c>
      <c r="C30" s="7" t="s">
        <v>1645</v>
      </c>
      <c r="D30" s="8">
        <f>Base!N462</f>
        <v>267289.0</v>
      </c>
      <c r="E30" s="8">
        <f>Base!O462</f>
        <v>267284.07</v>
      </c>
      <c r="F30" s="8">
        <f>D30-E30</f>
        <v>4.929999999993015</v>
      </c>
      <c r="G30" s="8">
        <f>Base!Q462</f>
        <v>245284.07</v>
      </c>
      <c r="H30" s="8">
        <f>D30-G30</f>
        <v>22004.929999999993</v>
      </c>
      <c r="I30" s="29">
        <f>IF(D30=0,0,G30/D30)</f>
        <v>0.9176736416388254</v>
      </c>
      <c r="J30" s="7" t="str">
        <f>Base!AH462</f>
        <v>Expediente técnico</v>
      </c>
      <c r="K30" s="28" t="str">
        <f>Base!I462</f>
        <v>Proyecto de inversión</v>
      </c>
      <c r="L30" s="8">
        <f>Base!AA462</f>
        <v>7834316.0</v>
      </c>
      <c r="M30" s="8">
        <f>Base!AB462</f>
        <v>8107762.0</v>
      </c>
      <c r="N30" s="8">
        <f>Base!AC462</f>
        <v>700000.0</v>
      </c>
      <c r="O30" s="8">
        <f>Base!AD462</f>
        <v>900000.0</v>
      </c>
      <c r="P30" s="7">
        <f>IF(Base!AI462="","",Base!AI462)</f>
        <v/>
      </c>
      <c r="Q30" s="28" t="str">
        <f>Base!J462</f>
        <v>No mover</v>
      </c>
      <c r="R30" s="29">
        <f>Base!X462</f>
        <v>0.026832506654928763</v>
      </c>
      <c r="S30" s="8">
        <f>Base!K462</f>
        <v>0.0</v>
      </c>
      <c r="T30" s="7" t="str">
        <f>Base!M462</f>
        <v>Devengado 2026 ≥ 90% del PIM</v>
      </c>
    </row>
    <row r="31" spans="1:20">
      <c r="A31" s="28">
        <f>SUBTOTAL(103,$B$6:B31)</f>
        <v>22</v>
      </c>
      <c r="B31" s="28">
        <v>19</v>
      </c>
      <c r="C31" s="7" t="s">
        <v>1643</v>
      </c>
      <c r="D31" s="8">
        <f>Base!N463</f>
        <v>262883.0</v>
      </c>
      <c r="E31" s="8">
        <f>Base!O463</f>
        <v>262882.9</v>
      </c>
      <c r="F31" s="8">
        <f>D31-E31</f>
        <v>0.09999999997671694</v>
      </c>
      <c r="G31" s="8">
        <f>Base!Q463</f>
        <v>262822.9</v>
      </c>
      <c r="H31" s="8">
        <f>D31-G31</f>
        <v>60.09999999997672</v>
      </c>
      <c r="I31" s="29">
        <f>IF(D31=0,0,G31/D31)</f>
        <v>0.9997713811847857</v>
      </c>
      <c r="J31" s="7" t="str">
        <f>Base!AH463</f>
        <v>Expediente técnico</v>
      </c>
      <c r="K31" s="28" t="str">
        <f>Base!I463</f>
        <v>Proyecto de inversión</v>
      </c>
      <c r="L31" s="8">
        <f>Base!AA463</f>
        <v>6500000.0</v>
      </c>
      <c r="M31" s="8">
        <f>Base!AB463</f>
        <v>4715948.0</v>
      </c>
      <c r="N31" s="8">
        <f>Base!AC463</f>
        <v>5327000.0</v>
      </c>
      <c r="O31" s="8">
        <f>Base!AD463</f>
        <v>7815000.0</v>
      </c>
      <c r="P31" s="7">
        <f>IF(Base!AI463="","",Base!AI463)</f>
        <v/>
      </c>
      <c r="Q31" s="28" t="str">
        <f>Base!J463</f>
        <v>Sin saldo útil</v>
      </c>
      <c r="R31" s="29">
        <f>Base!X463</f>
        <v>0.01643307846335088</v>
      </c>
      <c r="S31" s="8">
        <f>Base!K463</f>
        <v>0.0</v>
      </c>
      <c r="T31" s="7" t="str">
        <f>Base!M463</f>
        <v>Saldo libre menor a S/ 10,000</v>
      </c>
    </row>
    <row r="32" spans="1:20">
      <c r="A32" s="28">
        <f>SUBTOTAL(103,$B$6:B32)</f>
        <v>23</v>
      </c>
      <c r="B32" s="28">
        <v>35</v>
      </c>
      <c r="C32" s="7" t="s">
        <v>1640</v>
      </c>
      <c r="D32" s="8">
        <f>Base!N464</f>
        <v>230000.0</v>
      </c>
      <c r="E32" s="8">
        <f>Base!O464</f>
        <v>210073.85</v>
      </c>
      <c r="F32" s="8">
        <f>D32-E32</f>
        <v>19926.149999999994</v>
      </c>
      <c r="G32" s="8">
        <f>Base!Q464</f>
        <v>192936.75</v>
      </c>
      <c r="H32" s="8">
        <f>D32-G32</f>
        <v>37063.25</v>
      </c>
      <c r="I32" s="29">
        <f>IF(D32=0,0,G32/D32)</f>
        <v>0.8388554347826087</v>
      </c>
      <c r="J32" s="7" t="str">
        <f>Base!AH464</f>
        <v>Estudio de preinversión</v>
      </c>
      <c r="K32" s="28" t="str">
        <f>Base!I464</f>
        <v>Sin dato</v>
      </c>
      <c r="L32" s="8" t="str">
        <f>Base!AA464</f>
        <v>No registrado en cartera</v>
      </c>
      <c r="M32" s="8" t="str">
        <f>Base!AB464</f>
        <v>No registrado en cartera</v>
      </c>
      <c r="N32" s="8" t="str">
        <f>Base!AC464</f>
        <v>No registrado en cartera</v>
      </c>
      <c r="O32" s="8" t="str">
        <f>Base!AD464</f>
        <v>No registrado en cartera</v>
      </c>
      <c r="P32" s="7">
        <f>IF(Base!AI464="","",Base!AI464)</f>
        <v/>
      </c>
      <c r="Q32" s="28" t="str">
        <f>Base!J464</f>
        <v>Bolsa genérica</v>
      </c>
      <c r="R32" s="29" t="str">
        <f>Base!X464</f>
        <v>s/d</v>
      </c>
      <c r="S32" s="8">
        <f>Base!K464</f>
        <v>19926.149999999994</v>
      </c>
      <c r="T32" s="7" t="str">
        <f>Base!M464</f>
        <v>Código genérico (no es una inversión con CUI propio)</v>
      </c>
    </row>
    <row r="33" spans="1:20">
      <c r="A33" s="28">
        <f>SUBTOTAL(103,$B$6:B33)</f>
        <v>24</v>
      </c>
      <c r="B33" s="28">
        <v>22</v>
      </c>
      <c r="C33" s="7" t="s">
        <v>1632</v>
      </c>
      <c r="D33" s="8">
        <f>Base!N465</f>
        <v>190283.0</v>
      </c>
      <c r="E33" s="8">
        <f>Base!O465</f>
        <v>190281.56</v>
      </c>
      <c r="F33" s="8">
        <f>D33-E33</f>
        <v>1.4400000000023283</v>
      </c>
      <c r="G33" s="8">
        <f>Base!Q465</f>
        <v>190281.56</v>
      </c>
      <c r="H33" s="8">
        <f>D33-G33</f>
        <v>1.4400000000023283</v>
      </c>
      <c r="I33" s="29">
        <f>IF(D33=0,0,G33/D33)</f>
        <v>0.9999924323244851</v>
      </c>
      <c r="J33" s="7" t="str">
        <f>Base!AH465</f>
        <v>Contrata</v>
      </c>
      <c r="K33" s="28" t="str">
        <f>Base!I465</f>
        <v>Proyecto de inversión</v>
      </c>
      <c r="L33" s="8">
        <f>Base!AA465</f>
        <v>1750000.0</v>
      </c>
      <c r="M33" s="8">
        <f>Base!AB465</f>
        <v>0</v>
      </c>
      <c r="N33" s="8">
        <f>Base!AC465</f>
        <v>0</v>
      </c>
      <c r="O33" s="8">
        <f>Base!AD465</f>
        <v>0</v>
      </c>
      <c r="P33" s="7">
        <f>IF(Base!AI465="","",Base!AI465)</f>
        <v/>
      </c>
      <c r="Q33" s="28" t="str">
        <f>Base!J465</f>
        <v>No mover</v>
      </c>
      <c r="R33" s="29">
        <f>Base!X465</f>
        <v>0.9811918743833363</v>
      </c>
      <c r="S33" s="8">
        <f>Base!K465</f>
        <v>0.0</v>
      </c>
      <c r="T33" s="7" t="str">
        <f>Base!M465</f>
        <v>Devengado 2026 ≥ 90% del PIM</v>
      </c>
    </row>
    <row r="34" spans="1:20">
      <c r="A34" s="28">
        <f>SUBTOTAL(103,$B$6:B34)</f>
        <v>25</v>
      </c>
      <c r="B34" s="28">
        <v>31</v>
      </c>
      <c r="C34" s="7" t="s">
        <v>1629</v>
      </c>
      <c r="D34" s="8">
        <f>Base!N466</f>
        <v>176980.0</v>
      </c>
      <c r="E34" s="8">
        <f>Base!O466</f>
        <v>174789.06</v>
      </c>
      <c r="F34" s="8">
        <f>D34-E34</f>
        <v>2190.9400000000023</v>
      </c>
      <c r="G34" s="8">
        <f>Base!Q466</f>
        <v>171789.06</v>
      </c>
      <c r="H34" s="8">
        <f>D34-G34</f>
        <v>5190.940000000002</v>
      </c>
      <c r="I34" s="29">
        <f>IF(D34=0,0,G34/D34)</f>
        <v>0.9706693411684936</v>
      </c>
      <c r="J34" s="7" t="str">
        <f>Base!AH466</f>
        <v>Contrata / Personal/bienes/servicios</v>
      </c>
      <c r="K34" s="28" t="str">
        <f>Base!I466</f>
        <v>Proyecto de inversión</v>
      </c>
      <c r="L34" s="8">
        <f>Base!AA466</f>
        <v>4665000.0</v>
      </c>
      <c r="M34" s="8">
        <f>Base!AB466</f>
        <v>62456.0</v>
      </c>
      <c r="N34" s="8">
        <f>Base!AC466</f>
        <v>0</v>
      </c>
      <c r="O34" s="8">
        <f>Base!AD466</f>
        <v>0</v>
      </c>
      <c r="P34" s="7">
        <f>IF(Base!AI466="","",Base!AI466)</f>
        <v/>
      </c>
      <c r="Q34" s="28" t="str">
        <f>Base!J466</f>
        <v>Sin saldo útil</v>
      </c>
      <c r="R34" s="29">
        <f>Base!X466</f>
        <v>0.7620846705482515</v>
      </c>
      <c r="S34" s="8">
        <f>Base!K466</f>
        <v>2190.9400000000023</v>
      </c>
      <c r="T34" s="7" t="str">
        <f>Base!M466</f>
        <v>Saldo libre menor a S/ 10,000</v>
      </c>
    </row>
    <row r="35" spans="1:20">
      <c r="A35" s="28">
        <f>SUBTOTAL(103,$B$6:B35)</f>
        <v>26</v>
      </c>
      <c r="B35" s="28">
        <v>37</v>
      </c>
      <c r="C35" s="7" t="s">
        <v>1638</v>
      </c>
      <c r="D35" s="8">
        <f>Base!N467</f>
        <v>154443.0</v>
      </c>
      <c r="E35" s="8">
        <f>Base!O467</f>
        <v>109916.87999999999</v>
      </c>
      <c r="F35" s="8">
        <f>D35-E35</f>
        <v>44526.12000000001</v>
      </c>
      <c r="G35" s="8">
        <f>Base!Q467</f>
        <v>90449.34999999999</v>
      </c>
      <c r="H35" s="8">
        <f>D35-G35</f>
        <v>63993.65000000001</v>
      </c>
      <c r="I35" s="29">
        <f>IF(D35=0,0,G35/D35)</f>
        <v>0.5856487506717688</v>
      </c>
      <c r="J35" s="7" t="str">
        <f>Base!AH467</f>
        <v>Contrata / Personal/bienes/servicios</v>
      </c>
      <c r="K35" s="28" t="str">
        <f>Base!I467</f>
        <v>Proyecto de inversión</v>
      </c>
      <c r="L35" s="8">
        <f>Base!AA467</f>
        <v>1850000.0</v>
      </c>
      <c r="M35" s="8">
        <f>Base!AB467</f>
        <v>0</v>
      </c>
      <c r="N35" s="8">
        <f>Base!AC467</f>
        <v>0</v>
      </c>
      <c r="O35" s="8">
        <f>Base!AD467</f>
        <v>0</v>
      </c>
      <c r="P35" s="7">
        <f>IF(Base!AI467="","",Base!AI467)</f>
        <v/>
      </c>
      <c r="Q35" s="28" t="str">
        <f>Base!J467</f>
        <v>No mover</v>
      </c>
      <c r="R35" s="29">
        <f>Base!X467</f>
        <v>0.9412715319340418</v>
      </c>
      <c r="S35" s="8">
        <f>Base!K467</f>
        <v>0.0</v>
      </c>
      <c r="T35" s="7" t="str">
        <f>Base!M467</f>
        <v>Devengado 2026 ≥ 90% del PIM</v>
      </c>
    </row>
    <row r="36" spans="1:20">
      <c r="A36" s="28">
        <f>SUBTOTAL(103,$B$6:B36)</f>
        <v>27</v>
      </c>
      <c r="B36" s="28">
        <v>20</v>
      </c>
      <c r="C36" s="7" t="s">
        <v>1648</v>
      </c>
      <c r="D36" s="8">
        <f>Base!N468</f>
        <v>152639.0</v>
      </c>
      <c r="E36" s="8">
        <f>Base!O468</f>
        <v>152604.55</v>
      </c>
      <c r="F36" s="8">
        <f>D36-E36</f>
        <v>34.45000000001164</v>
      </c>
      <c r="G36" s="8">
        <f>Base!Q468</f>
        <v>152604.55</v>
      </c>
      <c r="H36" s="8">
        <f>D36-G36</f>
        <v>34.45000000001164</v>
      </c>
      <c r="I36" s="29">
        <f>IF(D36=0,0,G36/D36)</f>
        <v>0.9997743040769397</v>
      </c>
      <c r="J36" s="7" t="str">
        <f>Base!AH468</f>
        <v>Expediente técnico</v>
      </c>
      <c r="K36" s="28" t="str">
        <f>Base!I468</f>
        <v>Proyecto de inversión</v>
      </c>
      <c r="L36" s="8" t="str">
        <f>Base!AA468</f>
        <v>No registrado en cartera</v>
      </c>
      <c r="M36" s="8" t="str">
        <f>Base!AB468</f>
        <v>No registrado en cartera</v>
      </c>
      <c r="N36" s="8" t="str">
        <f>Base!AC468</f>
        <v>No registrado en cartera</v>
      </c>
      <c r="O36" s="8" t="str">
        <f>Base!AD468</f>
        <v>No registrado en cartera</v>
      </c>
      <c r="P36" s="7">
        <f>IF(Base!AI468="","",Base!AI468)</f>
        <v/>
      </c>
      <c r="Q36" s="28" t="str">
        <f>Base!J468</f>
        <v>No mover</v>
      </c>
      <c r="R36" s="29">
        <f>Base!X468</f>
        <v>0.02719034554755385</v>
      </c>
      <c r="S36" s="8">
        <f>Base!K468</f>
        <v>0.0</v>
      </c>
      <c r="T36" s="7" t="str">
        <f>Base!M468</f>
        <v>Devengado 2026 ≥ 90% del PIM</v>
      </c>
    </row>
    <row r="37" spans="1:20">
      <c r="A37" s="28">
        <f>SUBTOTAL(103,$B$6:B37)</f>
        <v>28</v>
      </c>
      <c r="B37" s="28">
        <v>4</v>
      </c>
      <c r="C37" s="7" t="s">
        <v>1638</v>
      </c>
      <c r="D37" s="8">
        <f>Base!N469</f>
        <v>150000.0</v>
      </c>
      <c r="E37" s="8">
        <f>Base!O469</f>
        <v>149949.14</v>
      </c>
      <c r="F37" s="8">
        <f>D37-E37</f>
        <v>50.85999999998603</v>
      </c>
      <c r="G37" s="8">
        <f>Base!Q469</f>
        <v>148925.24</v>
      </c>
      <c r="H37" s="8">
        <f>D37-G37</f>
        <v>1074.7600000000093</v>
      </c>
      <c r="I37" s="29">
        <f>IF(D37=0,0,G37/D37)</f>
        <v>0.9928349333333333</v>
      </c>
      <c r="J37" s="7" t="str">
        <f>Base!AH469</f>
        <v>Administración directa / Equipamiento</v>
      </c>
      <c r="K37" s="28" t="str">
        <f>Base!I469</f>
        <v>Proyecto de inversión</v>
      </c>
      <c r="L37" s="8">
        <f>Base!AA469</f>
        <v>1850000.0</v>
      </c>
      <c r="M37" s="8">
        <f>Base!AB469</f>
        <v>0</v>
      </c>
      <c r="N37" s="8">
        <f>Base!AC469</f>
        <v>0</v>
      </c>
      <c r="O37" s="8">
        <f>Base!AD469</f>
        <v>0</v>
      </c>
      <c r="P37" s="7">
        <f>IF(Base!AI469="","",Base!AI469)</f>
        <v/>
      </c>
      <c r="Q37" s="28" t="str">
        <f>Base!J469</f>
        <v>No mover</v>
      </c>
      <c r="R37" s="29">
        <f>Base!X469</f>
        <v>0.9412715319340418</v>
      </c>
      <c r="S37" s="8">
        <f>Base!K469</f>
        <v>0.0</v>
      </c>
      <c r="T37" s="7" t="str">
        <f>Base!M469</f>
        <v>Devengado 2026 ≥ 90% del PIM</v>
      </c>
    </row>
    <row r="38" spans="1:20">
      <c r="A38" s="28">
        <f>SUBTOTAL(103,$B$6:B38)</f>
        <v>29</v>
      </c>
      <c r="B38" s="28">
        <v>41</v>
      </c>
      <c r="C38" s="7" t="s">
        <v>1651</v>
      </c>
      <c r="D38" s="8">
        <f>Base!N470</f>
        <v>150000.0</v>
      </c>
      <c r="E38" s="8">
        <f>Base!O470</f>
        <v>149147.0</v>
      </c>
      <c r="F38" s="8">
        <f>D38-E38</f>
        <v>853.0</v>
      </c>
      <c r="G38" s="8">
        <f>Base!Q470</f>
        <v>88700.4</v>
      </c>
      <c r="H38" s="8">
        <f>D38-G38</f>
        <v>61299.600000000006</v>
      </c>
      <c r="I38" s="29">
        <f>IF(D38=0,0,G38/D38)</f>
        <v>0.591336</v>
      </c>
      <c r="J38" s="7" t="str">
        <f>Base!AH470</f>
        <v>Expediente técnico</v>
      </c>
      <c r="K38" s="28" t="str">
        <f>Base!I470</f>
        <v>Proyecto de inversión</v>
      </c>
      <c r="L38" s="8">
        <f>Base!AA470</f>
        <v>150000.0</v>
      </c>
      <c r="M38" s="8">
        <f>Base!AB470</f>
        <v>414813.0</v>
      </c>
      <c r="N38" s="8">
        <f>Base!AC470</f>
        <v>900000.0</v>
      </c>
      <c r="O38" s="8">
        <f>Base!AD470</f>
        <v>1046334.0</v>
      </c>
      <c r="P38" s="7">
        <f>IF(Base!AI470="","",Base!AI470)</f>
        <v/>
      </c>
      <c r="Q38" s="28" t="str">
        <f>Base!J470</f>
        <v>Sin saldo útil</v>
      </c>
      <c r="R38" s="29">
        <f>Base!X470</f>
        <v>0.007455295741519731</v>
      </c>
      <c r="S38" s="8">
        <f>Base!K470</f>
        <v>0.0</v>
      </c>
      <c r="T38" s="7" t="str">
        <f>Base!M470</f>
        <v>Saldo libre menor a S/ 10,000</v>
      </c>
    </row>
    <row r="39" spans="1:20">
      <c r="A39" s="28">
        <f>SUBTOTAL(103,$B$6:B39)</f>
        <v>30</v>
      </c>
      <c r="B39" s="28">
        <v>39</v>
      </c>
      <c r="C39" s="7" t="s">
        <v>1635</v>
      </c>
      <c r="D39" s="8">
        <f>Base!N471</f>
        <v>69000.0</v>
      </c>
      <c r="E39" s="8">
        <f>Base!O471</f>
        <v>43756.53999999999</v>
      </c>
      <c r="F39" s="8">
        <f>D39-E39</f>
        <v>25243.460000000006</v>
      </c>
      <c r="G39" s="8">
        <f>Base!Q471</f>
        <v>40656.53999999999</v>
      </c>
      <c r="H39" s="8">
        <f>D39-G39</f>
        <v>28343.460000000006</v>
      </c>
      <c r="I39" s="29">
        <f>IF(D39=0,0,G39/D39)</f>
        <v>0.5892252173913043</v>
      </c>
      <c r="J39" s="7" t="str">
        <f>Base!AH471</f>
        <v>Contrata / Personal/bienes/servicios</v>
      </c>
      <c r="K39" s="28" t="str">
        <f>Base!I471</f>
        <v>Proyecto de inversión</v>
      </c>
      <c r="L39" s="8">
        <f>Base!AA471</f>
        <v>1580000.0</v>
      </c>
      <c r="M39" s="8">
        <f>Base!AB471</f>
        <v>285490.0</v>
      </c>
      <c r="N39" s="8">
        <f>Base!AC471</f>
        <v>0</v>
      </c>
      <c r="O39" s="8">
        <f>Base!AD471</f>
        <v>0</v>
      </c>
      <c r="P39" s="7">
        <f>IF(Base!AI471="","",Base!AI471)</f>
        <v/>
      </c>
      <c r="Q39" s="28" t="str">
        <f>Base!J471</f>
        <v>No mover</v>
      </c>
      <c r="R39" s="29">
        <f>Base!X471</f>
        <v>0.9356821592317719</v>
      </c>
      <c r="S39" s="8">
        <f>Base!K471</f>
        <v>0.0</v>
      </c>
      <c r="T39" s="7" t="str">
        <f>Base!M471</f>
        <v>Avance financiero acumulado 94% (&gt; 90%)</v>
      </c>
    </row>
    <row r="40" spans="1:20">
      <c r="A40" s="28">
        <f>SUBTOTAL(103,$B$6:B40)</f>
        <v>31</v>
      </c>
      <c r="B40" s="28">
        <v>1</v>
      </c>
      <c r="C40" s="7" t="s">
        <v>1640</v>
      </c>
      <c r="D40" s="8">
        <f>Base!N472</f>
        <v>57914.0</v>
      </c>
      <c r="E40" s="8">
        <f>Base!O472</f>
        <v>15000.0</v>
      </c>
      <c r="F40" s="8">
        <f>D40-E40</f>
        <v>42914.0</v>
      </c>
      <c r="G40" s="8">
        <f>Base!Q472</f>
        <v>10000.0</v>
      </c>
      <c r="H40" s="8">
        <f>D40-G40</f>
        <v>47914.0</v>
      </c>
      <c r="I40" s="29">
        <f>IF(D40=0,0,G40/D40)</f>
        <v>0.17266982076872603</v>
      </c>
      <c r="J40" s="7" t="str">
        <f>Base!AH472</f>
        <v>Estudio de preinversión</v>
      </c>
      <c r="K40" s="28" t="str">
        <f>Base!I472</f>
        <v>Sin dato</v>
      </c>
      <c r="L40" s="8" t="str">
        <f>Base!AA472</f>
        <v>No registrado en cartera</v>
      </c>
      <c r="M40" s="8" t="str">
        <f>Base!AB472</f>
        <v>No registrado en cartera</v>
      </c>
      <c r="N40" s="8" t="str">
        <f>Base!AC472</f>
        <v>No registrado en cartera</v>
      </c>
      <c r="O40" s="8" t="str">
        <f>Base!AD472</f>
        <v>No registrado en cartera</v>
      </c>
      <c r="P40" s="7">
        <f>IF(Base!AI472="","",Base!AI472)</f>
        <v/>
      </c>
      <c r="Q40" s="28" t="str">
        <f>Base!J472</f>
        <v>Bolsa genérica</v>
      </c>
      <c r="R40" s="29" t="str">
        <f>Base!X472</f>
        <v>s/d</v>
      </c>
      <c r="S40" s="8">
        <f>Base!K472</f>
        <v>42914.0</v>
      </c>
      <c r="T40" s="7" t="str">
        <f>Base!M472</f>
        <v>Código genérico (no es una inversión con CUI propio)</v>
      </c>
    </row>
    <row r="41" spans="1:20">
      <c r="A41" s="28">
        <f>SUBTOTAL(103,$B$6:B41)</f>
        <v>32</v>
      </c>
      <c r="B41" s="28">
        <v>27</v>
      </c>
      <c r="C41" s="7" t="s">
        <v>1632</v>
      </c>
      <c r="D41" s="8">
        <f>Base!N473</f>
        <v>49820.0</v>
      </c>
      <c r="E41" s="8">
        <f>Base!O473</f>
        <v>49819.22</v>
      </c>
      <c r="F41" s="8">
        <f>D41-E41</f>
        <v>0.7799999999988358</v>
      </c>
      <c r="G41" s="8">
        <f>Base!Q473</f>
        <v>49819.22</v>
      </c>
      <c r="H41" s="8">
        <f>D41-G41</f>
        <v>0.7799999999988358</v>
      </c>
      <c r="I41" s="29">
        <f>IF(D41=0,0,G41/D41)</f>
        <v>0.9999843436370935</v>
      </c>
      <c r="J41" s="7" t="str">
        <f>Base!AH473</f>
        <v>Administración directa</v>
      </c>
      <c r="K41" s="28" t="str">
        <f>Base!I473</f>
        <v>Proyecto de inversión</v>
      </c>
      <c r="L41" s="8">
        <f>Base!AA473</f>
        <v>1750000.0</v>
      </c>
      <c r="M41" s="8">
        <f>Base!AB473</f>
        <v>0</v>
      </c>
      <c r="N41" s="8">
        <f>Base!AC473</f>
        <v>0</v>
      </c>
      <c r="O41" s="8">
        <f>Base!AD473</f>
        <v>0</v>
      </c>
      <c r="P41" s="7">
        <f>IF(Base!AI473="","",Base!AI473)</f>
        <v/>
      </c>
      <c r="Q41" s="28" t="str">
        <f>Base!J473</f>
        <v>No mover</v>
      </c>
      <c r="R41" s="29">
        <f>Base!X473</f>
        <v>0.9811918743833363</v>
      </c>
      <c r="S41" s="8">
        <f>Base!K473</f>
        <v>0.0</v>
      </c>
      <c r="T41" s="7" t="str">
        <f>Base!M473</f>
        <v>Devengado 2026 ≥ 90% del PIM</v>
      </c>
    </row>
    <row r="42" spans="1:20">
      <c r="A42" s="28">
        <f>SUBTOTAL(103,$B$6:B42)</f>
        <v>33</v>
      </c>
      <c r="B42" s="28">
        <v>7</v>
      </c>
      <c r="C42" s="7" t="s">
        <v>1635</v>
      </c>
      <c r="D42" s="8">
        <f>Base!N474</f>
        <v>45545.0</v>
      </c>
      <c r="E42" s="8">
        <f>Base!O474</f>
        <v>41539.479999999996</v>
      </c>
      <c r="F42" s="8">
        <f>D42-E42</f>
        <v>4005.520000000004</v>
      </c>
      <c r="G42" s="8">
        <f>Base!Q474</f>
        <v>36436.479999999996</v>
      </c>
      <c r="H42" s="8">
        <f>D42-G42</f>
        <v>9108.520000000004</v>
      </c>
      <c r="I42" s="29">
        <f>IF(D42=0,0,G42/D42)</f>
        <v>0.8000105390273355</v>
      </c>
      <c r="J42" s="7" t="str">
        <f>Base!AH474</f>
        <v>Administración directa</v>
      </c>
      <c r="K42" s="28" t="str">
        <f>Base!I474</f>
        <v>Proyecto de inversión</v>
      </c>
      <c r="L42" s="8">
        <f>Base!AA474</f>
        <v>1580000.0</v>
      </c>
      <c r="M42" s="8">
        <f>Base!AB474</f>
        <v>285490.0</v>
      </c>
      <c r="N42" s="8">
        <f>Base!AC474</f>
        <v>0</v>
      </c>
      <c r="O42" s="8">
        <f>Base!AD474</f>
        <v>0</v>
      </c>
      <c r="P42" s="7">
        <f>IF(Base!AI474="","",Base!AI474)</f>
        <v/>
      </c>
      <c r="Q42" s="28" t="str">
        <f>Base!J474</f>
        <v>No mover</v>
      </c>
      <c r="R42" s="29">
        <f>Base!X474</f>
        <v>0.9356821592317719</v>
      </c>
      <c r="S42" s="8">
        <f>Base!K474</f>
        <v>0.0</v>
      </c>
      <c r="T42" s="7" t="str">
        <f>Base!M474</f>
        <v>Avance financiero acumulado 94% (&gt; 90%)</v>
      </c>
    </row>
    <row r="43" spans="1:20">
      <c r="A43" s="28">
        <f>SUBTOTAL(103,$B$6:B43)</f>
        <v>34</v>
      </c>
      <c r="B43" s="28">
        <v>23</v>
      </c>
      <c r="C43" s="7" t="s">
        <v>1632</v>
      </c>
      <c r="D43" s="8">
        <f>Base!N475</f>
        <v>41248.0</v>
      </c>
      <c r="E43" s="8">
        <f>Base!O475</f>
        <v>27287.93</v>
      </c>
      <c r="F43" s="8">
        <f>D43-E43</f>
        <v>13960.07</v>
      </c>
      <c r="G43" s="8">
        <f>Base!Q475</f>
        <v>27287.93</v>
      </c>
      <c r="H43" s="8">
        <f>D43-G43</f>
        <v>13960.07</v>
      </c>
      <c r="I43" s="29">
        <f>IF(D43=0,0,G43/D43)</f>
        <v>0.661557651280062</v>
      </c>
      <c r="J43" s="7" t="str">
        <f>Base!AH475</f>
        <v>Administración directa</v>
      </c>
      <c r="K43" s="28" t="str">
        <f>Base!I475</f>
        <v>Proyecto de inversión</v>
      </c>
      <c r="L43" s="8">
        <f>Base!AA475</f>
        <v>1750000.0</v>
      </c>
      <c r="M43" s="8">
        <f>Base!AB475</f>
        <v>0</v>
      </c>
      <c r="N43" s="8">
        <f>Base!AC475</f>
        <v>0</v>
      </c>
      <c r="O43" s="8">
        <f>Base!AD475</f>
        <v>0</v>
      </c>
      <c r="P43" s="7">
        <f>IF(Base!AI475="","",Base!AI475)</f>
        <v/>
      </c>
      <c r="Q43" s="28" t="str">
        <f>Base!J475</f>
        <v>No mover</v>
      </c>
      <c r="R43" s="29">
        <f>Base!X475</f>
        <v>0.9811918743833363</v>
      </c>
      <c r="S43" s="8">
        <f>Base!K475</f>
        <v>0.0</v>
      </c>
      <c r="T43" s="7" t="str">
        <f>Base!M475</f>
        <v>Devengado 2026 ≥ 90% del PIM</v>
      </c>
    </row>
    <row r="44" spans="1:20">
      <c r="A44" s="28">
        <f>SUBTOTAL(103,$B$6:B44)</f>
        <v>35</v>
      </c>
      <c r="B44" s="28">
        <v>2</v>
      </c>
      <c r="C44" s="7" t="s">
        <v>1653</v>
      </c>
      <c r="D44" s="8">
        <f>Base!N476</f>
        <v>32000.0</v>
      </c>
      <c r="E44" s="8">
        <f>Base!O476</f>
        <v>31660.629999999997</v>
      </c>
      <c r="F44" s="8">
        <f>D44-E44</f>
        <v>339.3700000000026</v>
      </c>
      <c r="G44" s="8">
        <f>Base!Q476</f>
        <v>31233.949999999997</v>
      </c>
      <c r="H44" s="8">
        <f>D44-G44</f>
        <v>766.0500000000029</v>
      </c>
      <c r="I44" s="29">
        <f>IF(D44=0,0,G44/D44)</f>
        <v>0.9760609374999999</v>
      </c>
      <c r="J44" s="7" t="str">
        <f>Base!AH476</f>
        <v>Contrata / Personal/bienes/servicios</v>
      </c>
      <c r="K44" s="28" t="str">
        <f>Base!I476</f>
        <v>Proyecto de inversión</v>
      </c>
      <c r="L44" s="8">
        <f>Base!AA476</f>
        <v>20000.0</v>
      </c>
      <c r="M44" s="8">
        <f>Base!AB476</f>
        <v>0</v>
      </c>
      <c r="N44" s="8">
        <f>Base!AC476</f>
        <v>0</v>
      </c>
      <c r="O44" s="8">
        <f>Base!AD476</f>
        <v>0</v>
      </c>
      <c r="P44" s="7">
        <f>IF(Base!AI476="","",Base!AI476)</f>
        <v/>
      </c>
      <c r="Q44" s="28" t="str">
        <f>Base!J476</f>
        <v>No mover</v>
      </c>
      <c r="R44" s="29">
        <f>Base!X476</f>
        <v>0.9506136820029388</v>
      </c>
      <c r="S44" s="8">
        <f>Base!K476</f>
        <v>0.0</v>
      </c>
      <c r="T44" s="7" t="str">
        <f>Base!M476</f>
        <v>Devengado 2026 ≥ 90% del PIM</v>
      </c>
    </row>
    <row r="45" spans="1:20">
      <c r="A45" s="28">
        <f>SUBTOTAL(103,$B$6:B45)</f>
        <v>36</v>
      </c>
      <c r="B45" s="28">
        <v>29</v>
      </c>
      <c r="C45" s="7" t="s">
        <v>1635</v>
      </c>
      <c r="D45" s="8">
        <f>Base!N477</f>
        <v>21135.0</v>
      </c>
      <c r="E45" s="8">
        <f>Base!O477</f>
        <v>20274.0</v>
      </c>
      <c r="F45" s="8">
        <f>D45-E45</f>
        <v>861.0</v>
      </c>
      <c r="G45" s="8">
        <f>Base!Q477</f>
        <v>20274.0</v>
      </c>
      <c r="H45" s="8">
        <f>D45-G45</f>
        <v>861.0</v>
      </c>
      <c r="I45" s="29">
        <f>IF(D45=0,0,G45/D45)</f>
        <v>0.9592618878637331</v>
      </c>
      <c r="J45" s="7" t="str">
        <f>Base!AH477</f>
        <v>Administración directa</v>
      </c>
      <c r="K45" s="28" t="str">
        <f>Base!I477</f>
        <v>Proyecto de inversión</v>
      </c>
      <c r="L45" s="8">
        <f>Base!AA477</f>
        <v>1580000.0</v>
      </c>
      <c r="M45" s="8">
        <f>Base!AB477</f>
        <v>285490.0</v>
      </c>
      <c r="N45" s="8">
        <f>Base!AC477</f>
        <v>0</v>
      </c>
      <c r="O45" s="8">
        <f>Base!AD477</f>
        <v>0</v>
      </c>
      <c r="P45" s="7">
        <f>IF(Base!AI477="","",Base!AI477)</f>
        <v/>
      </c>
      <c r="Q45" s="28" t="str">
        <f>Base!J477</f>
        <v>No mover</v>
      </c>
      <c r="R45" s="29">
        <f>Base!X477</f>
        <v>0.9356821592317719</v>
      </c>
      <c r="S45" s="8">
        <f>Base!K477</f>
        <v>0.0</v>
      </c>
      <c r="T45" s="7" t="str">
        <f>Base!M477</f>
        <v>Avance financiero acumulado 94% (&gt; 90%)</v>
      </c>
    </row>
    <row r="46" spans="1:20">
      <c r="A46" s="28">
        <f>SUBTOTAL(103,$B$6:B46)</f>
        <v>37</v>
      </c>
      <c r="B46" s="28">
        <v>26</v>
      </c>
      <c r="C46" s="7" t="s">
        <v>1625</v>
      </c>
      <c r="D46" s="8">
        <f>Base!N478</f>
        <v>5726.0</v>
      </c>
      <c r="E46" s="8">
        <f>Base!O478</f>
        <v>5726.0</v>
      </c>
      <c r="F46" s="8">
        <f>D46-E46</f>
        <v>0.0</v>
      </c>
      <c r="G46" s="8">
        <f>Base!Q478</f>
        <v>5104.8</v>
      </c>
      <c r="H46" s="8">
        <f>D46-G46</f>
        <v>621.1999999999998</v>
      </c>
      <c r="I46" s="29">
        <f>IF(D46=0,0,G46/D46)</f>
        <v>0.8915123995808593</v>
      </c>
      <c r="J46" s="7" t="str">
        <f>Base!AH478</f>
        <v>Administración directa / Equipamiento</v>
      </c>
      <c r="K46" s="28" t="str">
        <f>Base!I478</f>
        <v>Proyecto de inversión</v>
      </c>
      <c r="L46" s="8">
        <f>Base!AA478</f>
        <v>2780000.0</v>
      </c>
      <c r="M46" s="8">
        <f>Base!AB478</f>
        <v>108325.0</v>
      </c>
      <c r="N46" s="8">
        <f>Base!AC478</f>
        <v>0</v>
      </c>
      <c r="O46" s="8">
        <f>Base!AD478</f>
        <v>0</v>
      </c>
      <c r="P46" s="7">
        <f>IF(Base!AI478="","",Base!AI478)</f>
        <v/>
      </c>
      <c r="Q46" s="28" t="str">
        <f>Base!J478</f>
        <v>Sin saldo útil</v>
      </c>
      <c r="R46" s="29">
        <f>Base!X478</f>
        <v>0.857122748986519</v>
      </c>
      <c r="S46" s="8">
        <f>Base!K478</f>
        <v>0.0</v>
      </c>
      <c r="T46" s="7" t="str">
        <f>Base!M478</f>
        <v>Saldo libre menor a S/ 10,000</v>
      </c>
    </row>
    <row r="47" spans="1:20">
      <c r="A47" s="28">
        <f>SUBTOTAL(103,$B$6:B47)</f>
        <v>38</v>
      </c>
      <c r="B47" s="28">
        <v>38</v>
      </c>
      <c r="C47" s="7" t="s">
        <v>1622</v>
      </c>
      <c r="D47" s="8">
        <f>Base!N479</f>
        <v>2400.0</v>
      </c>
      <c r="E47" s="8">
        <f>Base!O479</f>
        <v>2400.0</v>
      </c>
      <c r="F47" s="8">
        <f>D47-E47</f>
        <v>0.0</v>
      </c>
      <c r="G47" s="8">
        <f>Base!Q479</f>
        <v>2400.0</v>
      </c>
      <c r="H47" s="8">
        <f>D47-G47</f>
        <v>0.0</v>
      </c>
      <c r="I47" s="29">
        <f>IF(D47=0,0,G47/D47)</f>
        <v>1.0</v>
      </c>
      <c r="J47" s="7" t="str">
        <f>Base!AH479</f>
        <v>Expediente técnico</v>
      </c>
      <c r="K47" s="28" t="str">
        <f>Base!I479</f>
        <v>Proyecto de inversión</v>
      </c>
      <c r="L47" s="8">
        <f>Base!AA479</f>
        <v>5730000.0</v>
      </c>
      <c r="M47" s="8">
        <f>Base!AB479</f>
        <v>7379001.0</v>
      </c>
      <c r="N47" s="8">
        <f>Base!AC479</f>
        <v>1300000.0</v>
      </c>
      <c r="O47" s="8">
        <f>Base!AD479</f>
        <v>1500000.0</v>
      </c>
      <c r="P47" s="7">
        <f>IF(Base!AI479="","",Base!AI479)</f>
        <v/>
      </c>
      <c r="Q47" s="28" t="str">
        <f>Base!J479</f>
        <v>Sin saldo útil</v>
      </c>
      <c r="R47" s="29">
        <f>Base!X479</f>
        <v>0.07465276051625265</v>
      </c>
      <c r="S47" s="8">
        <f>Base!K479</f>
        <v>0.0</v>
      </c>
      <c r="T47" s="7" t="str">
        <f>Base!M479</f>
        <v>Saldo libre menor a S/ 10,000</v>
      </c>
    </row>
    <row r="48" spans="1:20">
      <c r="A48" s="28">
        <f>SUBTOTAL(103,$B$6:B48)</f>
        <v>39</v>
      </c>
      <c r="B48" s="28">
        <v>32</v>
      </c>
      <c r="C48" s="7" t="s">
        <v>1653</v>
      </c>
      <c r="D48" s="8">
        <f>Base!N480</f>
        <v>2081.0</v>
      </c>
      <c r="E48" s="8">
        <f>Base!O480</f>
        <v>2080.85</v>
      </c>
      <c r="F48" s="8">
        <f>D48-E48</f>
        <v>0.15000000000009095</v>
      </c>
      <c r="G48" s="8">
        <f>Base!Q480</f>
        <v>2080.85</v>
      </c>
      <c r="H48" s="8">
        <f>D48-G48</f>
        <v>0.15000000000009095</v>
      </c>
      <c r="I48" s="29">
        <f>IF(D48=0,0,G48/D48)</f>
        <v>0.9999279192695819</v>
      </c>
      <c r="J48" s="7" t="str">
        <f>Base!AH480</f>
        <v>Administración directa</v>
      </c>
      <c r="K48" s="28" t="str">
        <f>Base!I480</f>
        <v>Proyecto de inversión</v>
      </c>
      <c r="L48" s="8">
        <f>Base!AA480</f>
        <v>20000.0</v>
      </c>
      <c r="M48" s="8">
        <f>Base!AB480</f>
        <v>0</v>
      </c>
      <c r="N48" s="8">
        <f>Base!AC480</f>
        <v>0</v>
      </c>
      <c r="O48" s="8">
        <f>Base!AD480</f>
        <v>0</v>
      </c>
      <c r="P48" s="7">
        <f>IF(Base!AI480="","",Base!AI480)</f>
        <v/>
      </c>
      <c r="Q48" s="28" t="str">
        <f>Base!J480</f>
        <v>No mover</v>
      </c>
      <c r="R48" s="29">
        <f>Base!X480</f>
        <v>0.9506136820029388</v>
      </c>
      <c r="S48" s="8">
        <f>Base!K480</f>
        <v>0.0</v>
      </c>
      <c r="T48" s="7" t="str">
        <f>Base!M480</f>
        <v>Devengado 2026 ≥ 90% del PIM</v>
      </c>
    </row>
    <row r="49" spans="1:20">
      <c r="A49" s="28">
        <f>SUBTOTAL(103,$B$6:B49)</f>
        <v>40</v>
      </c>
      <c r="B49" s="28">
        <v>25</v>
      </c>
      <c r="C49" s="7" t="s">
        <v>1632</v>
      </c>
      <c r="D49" s="8">
        <f>Base!N481</f>
        <v>1097.0</v>
      </c>
      <c r="E49" s="8">
        <f>Base!O481</f>
        <v>1096.07</v>
      </c>
      <c r="F49" s="8">
        <f>D49-E49</f>
        <v>0.9300000000000637</v>
      </c>
      <c r="G49" s="8">
        <f>Base!Q481</f>
        <v>1096.07</v>
      </c>
      <c r="H49" s="8">
        <f>D49-G49</f>
        <v>0.9300000000000637</v>
      </c>
      <c r="I49" s="29">
        <f>IF(D49=0,0,G49/D49)</f>
        <v>0.9991522333637192</v>
      </c>
      <c r="J49" s="7" t="str">
        <f>Base!AH481</f>
        <v>Administración directa</v>
      </c>
      <c r="K49" s="28" t="str">
        <f>Base!I481</f>
        <v>Proyecto de inversión</v>
      </c>
      <c r="L49" s="8">
        <f>Base!AA481</f>
        <v>1750000.0</v>
      </c>
      <c r="M49" s="8">
        <f>Base!AB481</f>
        <v>0</v>
      </c>
      <c r="N49" s="8">
        <f>Base!AC481</f>
        <v>0</v>
      </c>
      <c r="O49" s="8">
        <f>Base!AD481</f>
        <v>0</v>
      </c>
      <c r="P49" s="7">
        <f>IF(Base!AI481="","",Base!AI481)</f>
        <v/>
      </c>
      <c r="Q49" s="28" t="str">
        <f>Base!J481</f>
        <v>No mover</v>
      </c>
      <c r="R49" s="29">
        <f>Base!X481</f>
        <v>0.9811918743833363</v>
      </c>
      <c r="S49" s="8">
        <f>Base!K481</f>
        <v>0.0</v>
      </c>
      <c r="T49" s="7" t="str">
        <f>Base!M481</f>
        <v>Devengado 2026 ≥ 90% del PIM</v>
      </c>
    </row>
    <row r="50" spans="1:20">
      <c r="A50" s="28">
        <f>SUBTOTAL(103,$B$6:B50)</f>
        <v>41</v>
      </c>
      <c r="B50" s="28">
        <v>10</v>
      </c>
      <c r="C50" s="7" t="s">
        <v>1657</v>
      </c>
      <c r="D50" s="8">
        <f>Base!N482</f>
        <v>0.0</v>
      </c>
      <c r="E50" s="8">
        <f>Base!O482</f>
        <v>0.0</v>
      </c>
      <c r="F50" s="8">
        <f>D50-E50</f>
        <v>0.0</v>
      </c>
      <c r="G50" s="8">
        <f>Base!Q482</f>
        <v>0.0</v>
      </c>
      <c r="H50" s="8">
        <f>D50-G50</f>
        <v>0.0</v>
      </c>
      <c r="I50" s="29">
        <f>IF(D50=0,0,G50/D50)</f>
        <v>0</v>
      </c>
      <c r="J50" s="7" t="str">
        <f>Base!AH482</f>
        <v>Administración directa</v>
      </c>
      <c r="K50" s="28" t="str">
        <f>Base!I482</f>
        <v>Proyecto de inversión</v>
      </c>
      <c r="L50" s="8">
        <f>Base!AA482</f>
        <v>1315000.0</v>
      </c>
      <c r="M50" s="8">
        <f>Base!AB482</f>
        <v>0</v>
      </c>
      <c r="N50" s="8">
        <f>Base!AC482</f>
        <v>0</v>
      </c>
      <c r="O50" s="8">
        <f>Base!AD482</f>
        <v>0</v>
      </c>
      <c r="P50" s="7">
        <f>IF(Base!AI482="","",Base!AI482)</f>
        <v/>
      </c>
      <c r="Q50" s="28" t="str">
        <f>Base!J482</f>
        <v>Sin PIM</v>
      </c>
      <c r="R50" s="29">
        <f>Base!X482</f>
        <v>0.02177285746081855</v>
      </c>
      <c r="S50" s="8">
        <f>Base!K482</f>
        <v>0.0</v>
      </c>
      <c r="T50" s="7" t="str">
        <f>Base!M482</f>
        <v>PIM igual a 0</v>
      </c>
    </row>
    <row r="51" spans="1:20">
      <c r="A51" s="28">
        <f>SUBTOTAL(103,$B$6:B51)</f>
        <v>42</v>
      </c>
      <c r="B51" s="28">
        <v>11</v>
      </c>
      <c r="C51" s="7" t="s">
        <v>1657</v>
      </c>
      <c r="D51" s="8">
        <f>Base!N483</f>
        <v>0.0</v>
      </c>
      <c r="E51" s="8">
        <f>Base!O483</f>
        <v>0.0</v>
      </c>
      <c r="F51" s="8">
        <f>D51-E51</f>
        <v>0.0</v>
      </c>
      <c r="G51" s="8">
        <f>Base!Q483</f>
        <v>0.0</v>
      </c>
      <c r="H51" s="8">
        <f>D51-G51</f>
        <v>0.0</v>
      </c>
      <c r="I51" s="29">
        <f>IF(D51=0,0,G51/D51)</f>
        <v>0</v>
      </c>
      <c r="J51" s="7" t="str">
        <f>Base!AH483</f>
        <v>Administración directa</v>
      </c>
      <c r="K51" s="28" t="str">
        <f>Base!I483</f>
        <v>Proyecto de inversión</v>
      </c>
      <c r="L51" s="8">
        <f>Base!AA483</f>
        <v>1315000.0</v>
      </c>
      <c r="M51" s="8">
        <f>Base!AB483</f>
        <v>0</v>
      </c>
      <c r="N51" s="8">
        <f>Base!AC483</f>
        <v>0</v>
      </c>
      <c r="O51" s="8">
        <f>Base!AD483</f>
        <v>0</v>
      </c>
      <c r="P51" s="7">
        <f>IF(Base!AI483="","",Base!AI483)</f>
        <v/>
      </c>
      <c r="Q51" s="28" t="str">
        <f>Base!J483</f>
        <v>Sin PIM</v>
      </c>
      <c r="R51" s="29">
        <f>Base!X483</f>
        <v>0.02177285746081855</v>
      </c>
      <c r="S51" s="8">
        <f>Base!K483</f>
        <v>0.0</v>
      </c>
      <c r="T51" s="7" t="str">
        <f>Base!M483</f>
        <v>PIM igual a 0</v>
      </c>
    </row>
    <row r="52" spans="1:20">
      <c r="A52" s="28">
        <f>SUBTOTAL(103,$B$6:B52)</f>
        <v>43</v>
      </c>
      <c r="B52" s="28">
        <v>15</v>
      </c>
      <c r="C52" s="7" t="s">
        <v>1645</v>
      </c>
      <c r="D52" s="8">
        <f>Base!N485</f>
        <v>0.0</v>
      </c>
      <c r="E52" s="8">
        <f>Base!O485</f>
        <v>0.0</v>
      </c>
      <c r="F52" s="8">
        <f>D52-E52</f>
        <v>0.0</v>
      </c>
      <c r="G52" s="8">
        <f>Base!Q485</f>
        <v>0.0</v>
      </c>
      <c r="H52" s="8">
        <f>D52-G52</f>
        <v>0.0</v>
      </c>
      <c r="I52" s="29">
        <f>IF(D52=0,0,G52/D52)</f>
        <v>0</v>
      </c>
      <c r="J52" s="7" t="str">
        <f>Base!AH485</f>
        <v>Administración directa</v>
      </c>
      <c r="K52" s="28" t="str">
        <f>Base!I485</f>
        <v>Proyecto de inversión</v>
      </c>
      <c r="L52" s="8">
        <f>Base!AA485</f>
        <v>7834316.0</v>
      </c>
      <c r="M52" s="8">
        <f>Base!AB485</f>
        <v>8107762.0</v>
      </c>
      <c r="N52" s="8">
        <f>Base!AC485</f>
        <v>700000.0</v>
      </c>
      <c r="O52" s="8">
        <f>Base!AD485</f>
        <v>900000.0</v>
      </c>
      <c r="P52" s="7">
        <f>IF(Base!AI485="","",Base!AI485)</f>
        <v/>
      </c>
      <c r="Q52" s="28" t="str">
        <f>Base!J485</f>
        <v>Sin PIM</v>
      </c>
      <c r="R52" s="29">
        <f>Base!X485</f>
        <v>0.026832506654928763</v>
      </c>
      <c r="S52" s="8">
        <f>Base!K485</f>
        <v>0.0</v>
      </c>
      <c r="T52" s="7" t="str">
        <f>Base!M485</f>
        <v>PIM igual a 0</v>
      </c>
    </row>
    <row r="53" spans="1:20">
      <c r="A53" s="28">
        <f>SUBTOTAL(103,$B$6:B53)</f>
        <v>44</v>
      </c>
      <c r="B53" s="28">
        <v>16</v>
      </c>
      <c r="C53" s="7" t="s">
        <v>1643</v>
      </c>
      <c r="D53" s="8">
        <f>Base!N486</f>
        <v>0.0</v>
      </c>
      <c r="E53" s="8">
        <f>Base!O486</f>
        <v>0.0</v>
      </c>
      <c r="F53" s="8">
        <f>D53-E53</f>
        <v>0.0</v>
      </c>
      <c r="G53" s="8">
        <f>Base!Q486</f>
        <v>0.0</v>
      </c>
      <c r="H53" s="8">
        <f>D53-G53</f>
        <v>0.0</v>
      </c>
      <c r="I53" s="29">
        <f>IF(D53=0,0,G53/D53)</f>
        <v>0</v>
      </c>
      <c r="J53" s="7" t="str">
        <f>Base!AH486</f>
        <v>Administración directa</v>
      </c>
      <c r="K53" s="28" t="str">
        <f>Base!I486</f>
        <v>Proyecto de inversión</v>
      </c>
      <c r="L53" s="8">
        <f>Base!AA486</f>
        <v>6500000.0</v>
      </c>
      <c r="M53" s="8">
        <f>Base!AB486</f>
        <v>4715948.0</v>
      </c>
      <c r="N53" s="8">
        <f>Base!AC486</f>
        <v>5327000.0</v>
      </c>
      <c r="O53" s="8">
        <f>Base!AD486</f>
        <v>7815000.0</v>
      </c>
      <c r="P53" s="7">
        <f>IF(Base!AI486="","",Base!AI486)</f>
        <v/>
      </c>
      <c r="Q53" s="28" t="str">
        <f>Base!J486</f>
        <v>Sin PIM</v>
      </c>
      <c r="R53" s="29">
        <f>Base!X486</f>
        <v>0.01643307846335088</v>
      </c>
      <c r="S53" s="8">
        <f>Base!K486</f>
        <v>0.0</v>
      </c>
      <c r="T53" s="7" t="str">
        <f>Base!M486</f>
        <v>PIM igual a 0</v>
      </c>
    </row>
    <row r="54" spans="1:20">
      <c r="A54" s="25" t="s">
        <v>353</v>
      </c>
      <c r="B54" s="25"/>
      <c r="C54" s="25"/>
      <c r="D54" s="26">
        <f>SUM(D55:D55)</f>
        <v>0.0</v>
      </c>
      <c r="E54" s="26">
        <f>SUM(E55:E55)</f>
        <v>0.0</v>
      </c>
      <c r="F54" s="26">
        <f>D54-E54</f>
        <v>0.0</v>
      </c>
      <c r="G54" s="26">
        <f>SUM(G55:G55)</f>
        <v>0.0</v>
      </c>
      <c r="H54" s="26">
        <f>D54-G54</f>
        <v>0.0</v>
      </c>
      <c r="I54" s="27">
        <f>IF(D54=0,0,G54/D54)</f>
        <v>0</v>
      </c>
      <c r="J54" s="25"/>
      <c r="K54" s="25"/>
      <c r="L54" s="25"/>
      <c r="M54" s="25"/>
      <c r="N54" s="25"/>
      <c r="O54" s="25"/>
      <c r="P54" s="25"/>
      <c r="Q54" s="25"/>
      <c r="R54" s="25"/>
      <c r="S54" s="26">
        <f>SUM(S55:S55)</f>
        <v>0.0</v>
      </c>
      <c r="T54" s="25"/>
    </row>
    <row r="55" spans="1:20">
      <c r="A55" s="28">
        <f>SUBTOTAL(103,$B$6:B55)</f>
        <v>45</v>
      </c>
      <c r="B55" s="28">
        <v>18</v>
      </c>
      <c r="C55" s="7" t="s">
        <v>1661</v>
      </c>
      <c r="D55" s="8">
        <f>Base!N484</f>
        <v>0.0</v>
      </c>
      <c r="E55" s="8">
        <f>Base!O484</f>
        <v>0.0</v>
      </c>
      <c r="F55" s="8">
        <f>D55-E55</f>
        <v>0.0</v>
      </c>
      <c r="G55" s="8">
        <f>Base!Q484</f>
        <v>0.0</v>
      </c>
      <c r="H55" s="8">
        <f>D55-G55</f>
        <v>0.0</v>
      </c>
      <c r="I55" s="29">
        <f>IF(D55=0,0,G55/D55)</f>
        <v>0</v>
      </c>
      <c r="J55" s="7" t="str">
        <f>Base!AH484</f>
        <v>Contrata</v>
      </c>
      <c r="K55" s="28" t="str">
        <f>Base!I484</f>
        <v>IOARR</v>
      </c>
      <c r="L55" s="8">
        <f>Base!AA484</f>
        <v>50000.0</v>
      </c>
      <c r="M55" s="8">
        <f>Base!AB484</f>
        <v>27160.0</v>
      </c>
      <c r="N55" s="8">
        <f>Base!AC484</f>
        <v>200000.0</v>
      </c>
      <c r="O55" s="8">
        <f>Base!AD484</f>
        <v>200000.0</v>
      </c>
      <c r="P55" s="7">
        <f>IF(Base!AI484="","",Base!AI484)</f>
        <v/>
      </c>
      <c r="Q55" s="28" t="str">
        <f>Base!J484</f>
        <v>Sin PIM</v>
      </c>
      <c r="R55" s="29">
        <f>Base!X484</f>
        <v>0.2258815082407705</v>
      </c>
      <c r="S55" s="8">
        <f>Base!K484</f>
        <v>0.0</v>
      </c>
      <c r="T55" s="7" t="str">
        <f>Base!M484</f>
        <v>PIM igual a 0</v>
      </c>
    </row>
    <row r="56" spans="1:20">
      <c r="A56" s="21" t="s">
        <v>1664</v>
      </c>
      <c r="B56" s="21"/>
      <c r="C56" s="21"/>
      <c r="D56" s="22">
        <f>D57</f>
        <v>20087412.0</v>
      </c>
      <c r="E56" s="22">
        <f>E57</f>
        <v>19625208.96</v>
      </c>
      <c r="F56" s="22">
        <f>D56-E56</f>
        <v>462203.0399999991</v>
      </c>
      <c r="G56" s="22">
        <f>G57</f>
        <v>15134741.829999996</v>
      </c>
      <c r="H56" s="22">
        <f>D56-G56</f>
        <v>4952670.170000004</v>
      </c>
      <c r="I56" s="23">
        <f>IF(D56=0,0,G56/D56)</f>
        <v>0.7534440887656407</v>
      </c>
      <c r="J56" s="21"/>
      <c r="K56" s="21"/>
      <c r="L56" s="21"/>
      <c r="M56" s="21"/>
      <c r="N56" s="21"/>
      <c r="O56" s="21"/>
      <c r="P56" s="21"/>
      <c r="Q56" s="21"/>
      <c r="R56" s="21"/>
      <c r="S56" s="22">
        <f>S57</f>
        <v>0.0</v>
      </c>
      <c r="T56" s="21"/>
    </row>
    <row r="57" spans="1:20">
      <c r="A57" s="25" t="s">
        <v>1128</v>
      </c>
      <c r="B57" s="25"/>
      <c r="C57" s="25"/>
      <c r="D57" s="26">
        <f>SUM(D58:D63)</f>
        <v>20087412.0</v>
      </c>
      <c r="E57" s="26">
        <f>SUM(E58:E63)</f>
        <v>19625208.96</v>
      </c>
      <c r="F57" s="26">
        <f>D57-E57</f>
        <v>462203.0399999991</v>
      </c>
      <c r="G57" s="26">
        <f>SUM(G58:G63)</f>
        <v>15134741.829999996</v>
      </c>
      <c r="H57" s="26">
        <f>D57-G57</f>
        <v>4952670.170000004</v>
      </c>
      <c r="I57" s="27">
        <f>IF(D57=0,0,G57/D57)</f>
        <v>0.7534440887656407</v>
      </c>
      <c r="J57" s="25"/>
      <c r="K57" s="25"/>
      <c r="L57" s="25"/>
      <c r="M57" s="25"/>
      <c r="N57" s="25"/>
      <c r="O57" s="25"/>
      <c r="P57" s="25"/>
      <c r="Q57" s="25"/>
      <c r="R57" s="25"/>
      <c r="S57" s="26">
        <f>SUM(S58:S63)</f>
        <v>0.0</v>
      </c>
      <c r="T57" s="25"/>
    </row>
    <row r="58" spans="1:20">
      <c r="A58" s="28">
        <f>SUBTOTAL(103,$B$6:B58)</f>
        <v>46</v>
      </c>
      <c r="B58" s="28">
        <v>4</v>
      </c>
      <c r="C58" s="7" t="s">
        <v>1666</v>
      </c>
      <c r="D58" s="8">
        <f>Base!N487</f>
        <v>10473026.0</v>
      </c>
      <c r="E58" s="8">
        <f>Base!O487</f>
        <v>10350810.32</v>
      </c>
      <c r="F58" s="8">
        <f>D58-E58</f>
        <v>122215.6799999997</v>
      </c>
      <c r="G58" s="8">
        <f>Base!Q487</f>
        <v>8610776.95</v>
      </c>
      <c r="H58" s="8">
        <f>D58-G58</f>
        <v>1862249.0500000007</v>
      </c>
      <c r="I58" s="29">
        <f>IF(D58=0,0,G58/D58)</f>
        <v>0.8221861523116623</v>
      </c>
      <c r="J58" s="7" t="str">
        <f>Base!AH487</f>
        <v>Contrata / Personal/bienes/servicios / Equipamiento</v>
      </c>
      <c r="K58" s="28" t="str">
        <f>Base!I487</f>
        <v>Proyecto de inversión</v>
      </c>
      <c r="L58" s="8">
        <f>Base!AA487</f>
        <v>3820398.0</v>
      </c>
      <c r="M58" s="8">
        <f>Base!AB487</f>
        <v>9531185.0</v>
      </c>
      <c r="N58" s="8">
        <f>Base!AC487</f>
        <v>1200000.0</v>
      </c>
      <c r="O58" s="8">
        <f>Base!AD487</f>
        <v>610419.0</v>
      </c>
      <c r="P58" s="7">
        <f>IF(Base!AI487="","",Base!AI487)</f>
        <v/>
      </c>
      <c r="Q58" s="28" t="str">
        <f>Base!J487</f>
        <v>Sin saldo útil</v>
      </c>
      <c r="R58" s="29">
        <f>Base!X487</f>
        <v>0.4977688422492125</v>
      </c>
      <c r="S58" s="8">
        <f>Base!K487</f>
        <v>0.0</v>
      </c>
      <c r="T58" s="7" t="str">
        <f>Base!M487</f>
        <v>Saldo libre menor a S/ 10,000</v>
      </c>
    </row>
    <row r="59" spans="1:20">
      <c r="A59" s="28">
        <f>SUBTOTAL(103,$B$6:B59)</f>
        <v>47</v>
      </c>
      <c r="B59" s="28">
        <v>5</v>
      </c>
      <c r="C59" s="7" t="s">
        <v>1668</v>
      </c>
      <c r="D59" s="8">
        <f>Base!N488</f>
        <v>5701948.0</v>
      </c>
      <c r="E59" s="8">
        <f>Base!O488</f>
        <v>5522663.0</v>
      </c>
      <c r="F59" s="8">
        <f>D59-E59</f>
        <v>179285.0</v>
      </c>
      <c r="G59" s="8">
        <f>Base!Q488</f>
        <v>2802264.63</v>
      </c>
      <c r="H59" s="8">
        <f>D59-G59</f>
        <v>2899683.37</v>
      </c>
      <c r="I59" s="29">
        <f>IF(D59=0,0,G59/D59)</f>
        <v>0.49145741595679227</v>
      </c>
      <c r="J59" s="7" t="str">
        <f>Base!AH488</f>
        <v>Contrata / Equipamiento / Personal/bienes/servicios / Otro (ANIMALES REPRODUCTORES)</v>
      </c>
      <c r="K59" s="28" t="str">
        <f>Base!I488</f>
        <v>Proyecto de inversión</v>
      </c>
      <c r="L59" s="8">
        <f>Base!AA488</f>
        <v>5141948.0</v>
      </c>
      <c r="M59" s="8">
        <f>Base!AB488</f>
        <v>7818572.0</v>
      </c>
      <c r="N59" s="8">
        <f>Base!AC488</f>
        <v>2825581.0</v>
      </c>
      <c r="O59" s="8">
        <f>Base!AD488</f>
        <v>9181810.0</v>
      </c>
      <c r="P59" s="7">
        <f>IF(Base!AI488="","",Base!AI488)</f>
        <v/>
      </c>
      <c r="Q59" s="28" t="str">
        <f>Base!J488</f>
        <v>Sin saldo útil</v>
      </c>
      <c r="R59" s="29">
        <f>Base!X488</f>
        <v>0.1082520796751212</v>
      </c>
      <c r="S59" s="8">
        <f>Base!K488</f>
        <v>0.0</v>
      </c>
      <c r="T59" s="7" t="str">
        <f>Base!M488</f>
        <v>Saldo libre menor a S/ 10,000</v>
      </c>
    </row>
    <row r="60" spans="1:20">
      <c r="A60" s="28">
        <f>SUBTOTAL(103,$B$6:B60)</f>
        <v>48</v>
      </c>
      <c r="B60" s="28">
        <v>8</v>
      </c>
      <c r="C60" s="7" t="s">
        <v>1671</v>
      </c>
      <c r="D60" s="8">
        <f>Base!N489</f>
        <v>2603149.0</v>
      </c>
      <c r="E60" s="8">
        <f>Base!O489</f>
        <v>2600805.44</v>
      </c>
      <c r="F60" s="8">
        <f>D60-E60</f>
        <v>2343.560000000056</v>
      </c>
      <c r="G60" s="8">
        <f>Base!Q489</f>
        <v>2578514.2399999993</v>
      </c>
      <c r="H60" s="8">
        <f>D60-G60</f>
        <v>24634.760000000708</v>
      </c>
      <c r="I60" s="29">
        <f>IF(D60=0,0,G60/D60)</f>
        <v>0.9905365539967168</v>
      </c>
      <c r="J60" s="7" t="str">
        <f>Base!AH489</f>
        <v>Equipamiento / Administración directa</v>
      </c>
      <c r="K60" s="28" t="str">
        <f>Base!I489</f>
        <v>Proyecto de inversión</v>
      </c>
      <c r="L60" s="8">
        <f>Base!AA489</f>
        <v>6632458.0</v>
      </c>
      <c r="M60" s="8">
        <f>Base!AB489</f>
        <v>451100.0</v>
      </c>
      <c r="N60" s="8">
        <f>Base!AC489</f>
        <v>500000.0</v>
      </c>
      <c r="O60" s="8">
        <f>Base!AD489</f>
        <v>500000.0</v>
      </c>
      <c r="P60" s="7">
        <f>IF(Base!AI489="","",Base!AI489)</f>
        <v/>
      </c>
      <c r="Q60" s="28" t="str">
        <f>Base!J489</f>
        <v>No mover</v>
      </c>
      <c r="R60" s="29">
        <f>Base!X489</f>
        <v>0.922565066192473</v>
      </c>
      <c r="S60" s="8">
        <f>Base!K489</f>
        <v>0.0</v>
      </c>
      <c r="T60" s="7" t="str">
        <f>Base!M489</f>
        <v>Devengado 2026 ≥ 90% del PIM</v>
      </c>
    </row>
    <row r="61" spans="1:20">
      <c r="A61" s="28">
        <f>SUBTOTAL(103,$B$6:B61)</f>
        <v>49</v>
      </c>
      <c r="B61" s="28">
        <v>2</v>
      </c>
      <c r="C61" s="7" t="s">
        <v>1671</v>
      </c>
      <c r="D61" s="8">
        <f>Base!N490</f>
        <v>1279289.0</v>
      </c>
      <c r="E61" s="8">
        <f>Base!O490</f>
        <v>1150930.2</v>
      </c>
      <c r="F61" s="8">
        <f>D61-E61</f>
        <v>128358.80000000005</v>
      </c>
      <c r="G61" s="8">
        <f>Base!Q490</f>
        <v>1143186.01</v>
      </c>
      <c r="H61" s="8">
        <f>D61-G61</f>
        <v>136102.99</v>
      </c>
      <c r="I61" s="29">
        <f>IF(D61=0,0,G61/D61)</f>
        <v>0.8936104429882537</v>
      </c>
      <c r="J61" s="7" t="str">
        <f>Base!AH490</f>
        <v>Contrata / Personal/bienes/servicios</v>
      </c>
      <c r="K61" s="28" t="str">
        <f>Base!I490</f>
        <v>Proyecto de inversión</v>
      </c>
      <c r="L61" s="8">
        <f>Base!AA490</f>
        <v>6632458.0</v>
      </c>
      <c r="M61" s="8">
        <f>Base!AB490</f>
        <v>451100.0</v>
      </c>
      <c r="N61" s="8">
        <f>Base!AC490</f>
        <v>500000.0</v>
      </c>
      <c r="O61" s="8">
        <f>Base!AD490</f>
        <v>500000.0</v>
      </c>
      <c r="P61" s="7">
        <f>IF(Base!AI490="","",Base!AI490)</f>
        <v/>
      </c>
      <c r="Q61" s="28" t="str">
        <f>Base!J490</f>
        <v>No mover</v>
      </c>
      <c r="R61" s="29">
        <f>Base!X490</f>
        <v>0.922565066192473</v>
      </c>
      <c r="S61" s="8">
        <f>Base!K490</f>
        <v>0.0</v>
      </c>
      <c r="T61" s="7" t="str">
        <f>Base!M490</f>
        <v>Devengado 2026 ≥ 90% del PIM</v>
      </c>
    </row>
    <row r="62" spans="1:20">
      <c r="A62" s="28">
        <f>SUBTOTAL(103,$B$6:B62)</f>
        <v>50</v>
      </c>
      <c r="B62" s="28">
        <v>1</v>
      </c>
      <c r="C62" s="7" t="s">
        <v>1674</v>
      </c>
      <c r="D62" s="8">
        <f>Base!N491</f>
        <v>30000.0</v>
      </c>
      <c r="E62" s="8">
        <f>Base!O491</f>
        <v>0.0</v>
      </c>
      <c r="F62" s="8">
        <f>D62-E62</f>
        <v>30000.0</v>
      </c>
      <c r="G62" s="8">
        <f>Base!Q491</f>
        <v>0.0</v>
      </c>
      <c r="H62" s="8">
        <f>D62-G62</f>
        <v>30000.0</v>
      </c>
      <c r="I62" s="29">
        <f>IF(D62=0,0,G62/D62)</f>
        <v>0.0</v>
      </c>
      <c r="J62" s="7" t="str">
        <f>Base!AH491</f>
        <v>Contrata</v>
      </c>
      <c r="K62" s="28" t="str">
        <f>Base!I491</f>
        <v>Proyecto de inversión</v>
      </c>
      <c r="L62" s="8">
        <f>Base!AA491</f>
        <v>2215165.0</v>
      </c>
      <c r="M62" s="8">
        <f>Base!AB491</f>
        <v>30192.0</v>
      </c>
      <c r="N62" s="8">
        <f>Base!AC491</f>
        <v>745055.0</v>
      </c>
      <c r="O62" s="8">
        <f>Base!AD491</f>
        <v>1459918.0</v>
      </c>
      <c r="P62" s="7">
        <f>IF(Base!AI491="","",Base!AI491)</f>
        <v/>
      </c>
      <c r="Q62" s="28" t="str">
        <f>Base!J491</f>
        <v>No mover</v>
      </c>
      <c r="R62" s="29">
        <f>Base!X491</f>
        <v>0.9467539463503415</v>
      </c>
      <c r="S62" s="8">
        <f>Base!K491</f>
        <v>0.0</v>
      </c>
      <c r="T62" s="7" t="str">
        <f>Base!M491</f>
        <v>Avance financiero acumulado 95% (&gt; 90%)</v>
      </c>
    </row>
    <row r="63" spans="1:20">
      <c r="A63" s="28">
        <f>SUBTOTAL(103,$B$6:B63)</f>
        <v>51</v>
      </c>
      <c r="B63" s="28">
        <v>3</v>
      </c>
      <c r="C63" s="7" t="s">
        <v>1676</v>
      </c>
      <c r="D63" s="8">
        <f>Base!N492</f>
        <v>0.0</v>
      </c>
      <c r="E63" s="8">
        <f>Base!O492</f>
        <v>0.0</v>
      </c>
      <c r="F63" s="8">
        <f>D63-E63</f>
        <v>0.0</v>
      </c>
      <c r="G63" s="8">
        <f>Base!Q492</f>
        <v>0.0</v>
      </c>
      <c r="H63" s="8">
        <f>D63-G63</f>
        <v>0.0</v>
      </c>
      <c r="I63" s="29">
        <f>IF(D63=0,0,G63/D63)</f>
        <v>0</v>
      </c>
      <c r="J63" s="7" t="str">
        <f>Base!AH492</f>
        <v>Contrata / Personal/bienes/servicios</v>
      </c>
      <c r="K63" s="28" t="str">
        <f>Base!I492</f>
        <v>Proyecto de inversión</v>
      </c>
      <c r="L63" s="8">
        <f>Base!AA492</f>
        <v>500000.0</v>
      </c>
      <c r="M63" s="8">
        <f>Base!AB492</f>
        <v>0</v>
      </c>
      <c r="N63" s="8">
        <f>Base!AC492</f>
        <v>0</v>
      </c>
      <c r="O63" s="8">
        <f>Base!AD492</f>
        <v>0</v>
      </c>
      <c r="P63" s="7">
        <f>IF(Base!AI492="","",Base!AI492)</f>
        <v/>
      </c>
      <c r="Q63" s="28" t="str">
        <f>Base!J492</f>
        <v>Sin PIM</v>
      </c>
      <c r="R63" s="29">
        <f>Base!X492</f>
        <v>0.004741471568399799</v>
      </c>
      <c r="S63" s="8">
        <f>Base!K492</f>
        <v>0.0</v>
      </c>
      <c r="T63" s="7" t="str">
        <f>Base!M492</f>
        <v>PIM igual a 0</v>
      </c>
    </row>
    <row r="64" spans="1:20">
      <c r="A64" s="21" t="s">
        <v>1679</v>
      </c>
      <c r="B64" s="21"/>
      <c r="C64" s="21"/>
      <c r="D64" s="22">
        <f>D65+D74</f>
        <v>14581394.0</v>
      </c>
      <c r="E64" s="22">
        <f>E65+E74</f>
        <v>12915991.439999998</v>
      </c>
      <c r="F64" s="22">
        <f>D64-E64</f>
        <v>1665402.5600000024</v>
      </c>
      <c r="G64" s="22">
        <f>G65+G74</f>
        <v>11236500.850000001</v>
      </c>
      <c r="H64" s="22">
        <f>D64-G64</f>
        <v>3344893.1499999985</v>
      </c>
      <c r="I64" s="23">
        <f>IF(D64=0,0,G64/D64)</f>
        <v>0.7706053927354272</v>
      </c>
      <c r="J64" s="21"/>
      <c r="K64" s="21"/>
      <c r="L64" s="21"/>
      <c r="M64" s="21"/>
      <c r="N64" s="21"/>
      <c r="O64" s="21"/>
      <c r="P64" s="21"/>
      <c r="Q64" s="21"/>
      <c r="R64" s="21"/>
      <c r="S64" s="22">
        <f>S65+S74</f>
        <v>63648.5</v>
      </c>
      <c r="T64" s="21"/>
    </row>
    <row r="65" spans="1:20">
      <c r="A65" s="25" t="s">
        <v>1128</v>
      </c>
      <c r="B65" s="25"/>
      <c r="C65" s="25"/>
      <c r="D65" s="26">
        <f>SUM(D66:D73)</f>
        <v>14427894.0</v>
      </c>
      <c r="E65" s="26">
        <f>SUM(E66:E73)</f>
        <v>12826139.939999998</v>
      </c>
      <c r="F65" s="26">
        <f>D65-E65</f>
        <v>1601754.0600000024</v>
      </c>
      <c r="G65" s="26">
        <f>SUM(G66:G73)</f>
        <v>11200700.350000001</v>
      </c>
      <c r="H65" s="26">
        <f>D65-G65</f>
        <v>3227193.6499999985</v>
      </c>
      <c r="I65" s="27">
        <f>IF(D65=0,0,G65/D65)</f>
        <v>0.77632261160222</v>
      </c>
      <c r="J65" s="25"/>
      <c r="K65" s="25"/>
      <c r="L65" s="25"/>
      <c r="M65" s="25"/>
      <c r="N65" s="25"/>
      <c r="O65" s="25"/>
      <c r="P65" s="25"/>
      <c r="Q65" s="25"/>
      <c r="R65" s="25"/>
      <c r="S65" s="26">
        <f>SUM(S66:S73)</f>
        <v>0.0</v>
      </c>
      <c r="T65" s="25"/>
    </row>
    <row r="66" spans="1:20">
      <c r="A66" s="28">
        <f>SUBTOTAL(103,$B$6:B66)</f>
        <v>52</v>
      </c>
      <c r="B66" s="28">
        <v>27</v>
      </c>
      <c r="C66" s="7" t="s">
        <v>1681</v>
      </c>
      <c r="D66" s="8">
        <f>Base!N493</f>
        <v>7439155.0</v>
      </c>
      <c r="E66" s="8">
        <f>Base!O493</f>
        <v>6176396.639999999</v>
      </c>
      <c r="F66" s="8">
        <f>D66-E66</f>
        <v>1262758.3600000013</v>
      </c>
      <c r="G66" s="8">
        <f>Base!Q493</f>
        <v>5504731.600000001</v>
      </c>
      <c r="H66" s="8">
        <f>D66-G66</f>
        <v>1934423.3999999994</v>
      </c>
      <c r="I66" s="29">
        <f>IF(D66=0,0,G66/D66)</f>
        <v>0.7399673215573543</v>
      </c>
      <c r="J66" s="7" t="str">
        <f>Base!AH493</f>
        <v>Contrata / Personal/bienes/servicios / Equipamiento</v>
      </c>
      <c r="K66" s="28" t="str">
        <f>Base!I493</f>
        <v>Proyecto de inversión</v>
      </c>
      <c r="L66" s="8">
        <f>Base!AA493</f>
        <v>500000.0</v>
      </c>
      <c r="M66" s="8">
        <f>Base!AB493</f>
        <v>4356339.0</v>
      </c>
      <c r="N66" s="8">
        <f>Base!AC493</f>
        <v>4468789.0</v>
      </c>
      <c r="O66" s="8">
        <f>Base!AD493</f>
        <v>15297612.0</v>
      </c>
      <c r="P66" s="7">
        <f>IF(Base!AI493="","",Base!AI493)</f>
        <v/>
      </c>
      <c r="Q66" s="28" t="str">
        <f>Base!J493</f>
        <v>Sin saldo útil</v>
      </c>
      <c r="R66" s="29">
        <f>Base!X493</f>
        <v>0.22386965668266998</v>
      </c>
      <c r="S66" s="8">
        <f>Base!K493</f>
        <v>0.0</v>
      </c>
      <c r="T66" s="7" t="str">
        <f>Base!M493</f>
        <v>Saldo libre menor a S/ 10,000</v>
      </c>
    </row>
    <row r="67" spans="1:20">
      <c r="A67" s="28">
        <f>SUBTOTAL(103,$B$6:B67)</f>
        <v>53</v>
      </c>
      <c r="B67" s="28">
        <v>3</v>
      </c>
      <c r="C67" s="7" t="s">
        <v>1683</v>
      </c>
      <c r="D67" s="8">
        <f>Base!N494</f>
        <v>4417847.0</v>
      </c>
      <c r="E67" s="8">
        <f>Base!O494</f>
        <v>4295083.77</v>
      </c>
      <c r="F67" s="8">
        <f>D67-E67</f>
        <v>122763.23000000045</v>
      </c>
      <c r="G67" s="8">
        <f>Base!Q494</f>
        <v>3703840.5300000007</v>
      </c>
      <c r="H67" s="8">
        <f>D67-G67</f>
        <v>714006.4699999993</v>
      </c>
      <c r="I67" s="29">
        <f>IF(D67=0,0,G67/D67)</f>
        <v>0.8383813495578277</v>
      </c>
      <c r="J67" s="7" t="str">
        <f>Base!AH494</f>
        <v>Contrata / Personal/bienes/servicios / Expediente técnico</v>
      </c>
      <c r="K67" s="28" t="str">
        <f>Base!I494</f>
        <v>Proyecto de inversión</v>
      </c>
      <c r="L67" s="8">
        <f>Base!AA494</f>
        <v>8534000.0</v>
      </c>
      <c r="M67" s="8">
        <f>Base!AB494</f>
        <v>7018517.0</v>
      </c>
      <c r="N67" s="8">
        <f>Base!AC494</f>
        <v>6966429.0</v>
      </c>
      <c r="O67" s="8">
        <f>Base!AD494</f>
        <v>5165856.0</v>
      </c>
      <c r="P67" s="7">
        <f>IF(Base!AI494="","",Base!AI494)</f>
        <v/>
      </c>
      <c r="Q67" s="28" t="str">
        <f>Base!J494</f>
        <v>Sin saldo útil</v>
      </c>
      <c r="R67" s="29">
        <f>Base!X494</f>
        <v>0.6348516411390659</v>
      </c>
      <c r="S67" s="8">
        <f>Base!K494</f>
        <v>0.0</v>
      </c>
      <c r="T67" s="7" t="str">
        <f>Base!M494</f>
        <v>Saldo libre menor a S/ 10,000</v>
      </c>
    </row>
    <row r="68" spans="1:20">
      <c r="A68" s="28">
        <f>SUBTOTAL(103,$B$6:B68)</f>
        <v>54</v>
      </c>
      <c r="B68" s="28">
        <v>26</v>
      </c>
      <c r="C68" s="7" t="s">
        <v>1685</v>
      </c>
      <c r="D68" s="8">
        <f>Base!N495</f>
        <v>2000000.0</v>
      </c>
      <c r="E68" s="8">
        <f>Base!O495</f>
        <v>1999999.53</v>
      </c>
      <c r="F68" s="8">
        <f>D68-E68</f>
        <v>0.4699999999720603</v>
      </c>
      <c r="G68" s="8">
        <f>Base!Q495</f>
        <v>1956578.2200000002</v>
      </c>
      <c r="H68" s="8">
        <f>D68-G68</f>
        <v>43421.779999999795</v>
      </c>
      <c r="I68" s="29">
        <f>IF(D68=0,0,G68/D68)</f>
        <v>0.9782891100000001</v>
      </c>
      <c r="J68" s="7" t="str">
        <f>Base!AH495</f>
        <v>Personal/bienes/servicios / Contrata / Otro (OTROS ANIMALES)</v>
      </c>
      <c r="K68" s="28" t="str">
        <f>Base!I495</f>
        <v>Proyecto de inversión</v>
      </c>
      <c r="L68" s="8">
        <f>Base!AA495</f>
        <v>2000000.0</v>
      </c>
      <c r="M68" s="8">
        <f>Base!AB495</f>
        <v>37016.0</v>
      </c>
      <c r="N68" s="8">
        <f>Base!AC495</f>
        <v>0</v>
      </c>
      <c r="O68" s="8">
        <f>Base!AD495</f>
        <v>0</v>
      </c>
      <c r="P68" s="7">
        <f>IF(Base!AI495="","",Base!AI495)</f>
        <v/>
      </c>
      <c r="Q68" s="28" t="str">
        <f>Base!J495</f>
        <v>No mover</v>
      </c>
      <c r="R68" s="29">
        <f>Base!X495</f>
        <v>0.9767347007541074</v>
      </c>
      <c r="S68" s="8">
        <f>Base!K495</f>
        <v>0.0</v>
      </c>
      <c r="T68" s="7" t="str">
        <f>Base!M495</f>
        <v>Devengado 2026 ≥ 90% del PIM</v>
      </c>
    </row>
    <row r="69" spans="1:20">
      <c r="A69" s="28">
        <f>SUBTOTAL(103,$B$6:B69)</f>
        <v>55</v>
      </c>
      <c r="B69" s="28">
        <v>34</v>
      </c>
      <c r="C69" s="7" t="s">
        <v>1688</v>
      </c>
      <c r="D69" s="8">
        <f>Base!N496</f>
        <v>431850.0</v>
      </c>
      <c r="E69" s="8">
        <f>Base!O496</f>
        <v>285110.0</v>
      </c>
      <c r="F69" s="8">
        <f>D69-E69</f>
        <v>146740.0</v>
      </c>
      <c r="G69" s="8">
        <f>Base!Q496</f>
        <v>0.0</v>
      </c>
      <c r="H69" s="8">
        <f>D69-G69</f>
        <v>431850.0</v>
      </c>
      <c r="I69" s="29">
        <f>IF(D69=0,0,G69/D69)</f>
        <v>0.0</v>
      </c>
      <c r="J69" s="7" t="str">
        <f>Base!AH496</f>
        <v>Personal/bienes/servicios / Otro (SEMILLAS Y ALMACIGOS) / Contrata</v>
      </c>
      <c r="K69" s="28" t="str">
        <f>Base!I496</f>
        <v>Proyecto de inversión</v>
      </c>
      <c r="L69" s="8">
        <f>Base!AA496</f>
        <v>500000.0</v>
      </c>
      <c r="M69" s="8">
        <f>Base!AB496</f>
        <v>0</v>
      </c>
      <c r="N69" s="8">
        <f>Base!AC496</f>
        <v>0</v>
      </c>
      <c r="O69" s="8">
        <f>Base!AD496</f>
        <v>0</v>
      </c>
      <c r="P69" s="7">
        <f>IF(Base!AI496="","",Base!AI496)</f>
        <v/>
      </c>
      <c r="Q69" s="28" t="str">
        <f>Base!J496</f>
        <v>Sin saldo útil</v>
      </c>
      <c r="R69" s="29">
        <f>Base!X496</f>
        <v>0.006509150462464195</v>
      </c>
      <c r="S69" s="8">
        <f>Base!K496</f>
        <v>0.0</v>
      </c>
      <c r="T69" s="7" t="str">
        <f>Base!M496</f>
        <v>Saldo libre menor a S/ 10,000</v>
      </c>
    </row>
    <row r="70" spans="1:20">
      <c r="A70" s="28">
        <f>SUBTOTAL(103,$B$6:B70)</f>
        <v>56</v>
      </c>
      <c r="B70" s="28">
        <v>12</v>
      </c>
      <c r="C70" s="7" t="s">
        <v>1688</v>
      </c>
      <c r="D70" s="8">
        <f>Base!N498</f>
        <v>68150.0</v>
      </c>
      <c r="E70" s="8">
        <f>Base!O498</f>
        <v>39550.0</v>
      </c>
      <c r="F70" s="8">
        <f>D70-E70</f>
        <v>28600.0</v>
      </c>
      <c r="G70" s="8">
        <f>Base!Q498</f>
        <v>35550.0</v>
      </c>
      <c r="H70" s="8">
        <f>D70-G70</f>
        <v>32600.0</v>
      </c>
      <c r="I70" s="29">
        <f>IF(D70=0,0,G70/D70)</f>
        <v>0.5216434336023478</v>
      </c>
      <c r="J70" s="7" t="str">
        <f>Base!AH498</f>
        <v>Expediente técnico</v>
      </c>
      <c r="K70" s="28" t="str">
        <f>Base!I498</f>
        <v>Proyecto de inversión</v>
      </c>
      <c r="L70" s="8">
        <f>Base!AA498</f>
        <v>500000.0</v>
      </c>
      <c r="M70" s="8">
        <f>Base!AB498</f>
        <v>0</v>
      </c>
      <c r="N70" s="8">
        <f>Base!AC498</f>
        <v>0</v>
      </c>
      <c r="O70" s="8">
        <f>Base!AD498</f>
        <v>0</v>
      </c>
      <c r="P70" s="7">
        <f>IF(Base!AI498="","",Base!AI498)</f>
        <v/>
      </c>
      <c r="Q70" s="28" t="str">
        <f>Base!J498</f>
        <v>Sin saldo útil</v>
      </c>
      <c r="R70" s="29">
        <f>Base!X498</f>
        <v>0.006509150462464195</v>
      </c>
      <c r="S70" s="8">
        <f>Base!K498</f>
        <v>0.0</v>
      </c>
      <c r="T70" s="7" t="str">
        <f>Base!M498</f>
        <v>Saldo libre menor a S/ 10,000</v>
      </c>
    </row>
    <row r="71" spans="1:20">
      <c r="A71" s="28">
        <f>SUBTOTAL(103,$B$6:B71)</f>
        <v>57</v>
      </c>
      <c r="B71" s="28">
        <v>32</v>
      </c>
      <c r="C71" s="7" t="s">
        <v>1691</v>
      </c>
      <c r="D71" s="8">
        <f>Base!N499</f>
        <v>40000.0</v>
      </c>
      <c r="E71" s="8">
        <f>Base!O499</f>
        <v>0.0</v>
      </c>
      <c r="F71" s="8">
        <f>D71-E71</f>
        <v>40000.0</v>
      </c>
      <c r="G71" s="8">
        <f>Base!Q499</f>
        <v>0.0</v>
      </c>
      <c r="H71" s="8">
        <f>D71-G71</f>
        <v>40000.0</v>
      </c>
      <c r="I71" s="29">
        <f>IF(D71=0,0,G71/D71)</f>
        <v>0.0</v>
      </c>
      <c r="J71" s="7" t="str">
        <f>Base!AH499</f>
        <v>Contrata</v>
      </c>
      <c r="K71" s="28" t="str">
        <f>Base!I499</f>
        <v>Proyecto de inversión</v>
      </c>
      <c r="L71" s="8" t="str">
        <f>Base!AA499</f>
        <v>No registrado en cartera</v>
      </c>
      <c r="M71" s="8" t="str">
        <f>Base!AB499</f>
        <v>No registrado en cartera</v>
      </c>
      <c r="N71" s="8" t="str">
        <f>Base!AC499</f>
        <v>No registrado en cartera</v>
      </c>
      <c r="O71" s="8" t="str">
        <f>Base!AD499</f>
        <v>No registrado en cartera</v>
      </c>
      <c r="P71" s="7">
        <f>IF(Base!AI499="","",Base!AI499)</f>
        <v/>
      </c>
      <c r="Q71" s="28" t="str">
        <f>Base!J499</f>
        <v>No mover</v>
      </c>
      <c r="R71" s="29">
        <f>Base!X499</f>
        <v>0.9441857521330276</v>
      </c>
      <c r="S71" s="8">
        <f>Base!K499</f>
        <v>0.0</v>
      </c>
      <c r="T71" s="7" t="str">
        <f>Base!M499</f>
        <v>Avance financiero acumulado 94% (&gt; 90%)</v>
      </c>
    </row>
    <row r="72" spans="1:20">
      <c r="A72" s="28">
        <f>SUBTOTAL(103,$B$6:B72)</f>
        <v>58</v>
      </c>
      <c r="B72" s="28">
        <v>30</v>
      </c>
      <c r="C72" s="7" t="s">
        <v>1693</v>
      </c>
      <c r="D72" s="8">
        <f>Base!N500</f>
        <v>30892.0</v>
      </c>
      <c r="E72" s="8">
        <f>Base!O500</f>
        <v>30000.0</v>
      </c>
      <c r="F72" s="8">
        <f>D72-E72</f>
        <v>892.0</v>
      </c>
      <c r="G72" s="8">
        <f>Base!Q500</f>
        <v>0.0</v>
      </c>
      <c r="H72" s="8">
        <f>D72-G72</f>
        <v>30892.0</v>
      </c>
      <c r="I72" s="29">
        <f>IF(D72=0,0,G72/D72)</f>
        <v>0.0</v>
      </c>
      <c r="J72" s="7" t="str">
        <f>Base!AH500</f>
        <v>Contrata</v>
      </c>
      <c r="K72" s="28" t="str">
        <f>Base!I500</f>
        <v>Proyecto de inversión</v>
      </c>
      <c r="L72" s="8">
        <f>Base!AA500</f>
        <v>770194.0</v>
      </c>
      <c r="M72" s="8">
        <f>Base!AB500</f>
        <v>0</v>
      </c>
      <c r="N72" s="8">
        <f>Base!AC500</f>
        <v>0</v>
      </c>
      <c r="O72" s="8">
        <f>Base!AD500</f>
        <v>0</v>
      </c>
      <c r="P72" s="7">
        <f>IF(Base!AI500="","",Base!AI500)</f>
        <v/>
      </c>
      <c r="Q72" s="28" t="str">
        <f>Base!J500</f>
        <v>No mover</v>
      </c>
      <c r="R72" s="29">
        <f>Base!X500</f>
        <v>0.9715279927734058</v>
      </c>
      <c r="S72" s="8">
        <f>Base!K500</f>
        <v>0.0</v>
      </c>
      <c r="T72" s="7" t="str">
        <f>Base!M500</f>
        <v>Avance financiero acumulado 97% (&gt; 90%)</v>
      </c>
    </row>
    <row r="73" spans="1:20">
      <c r="A73" s="28">
        <f>SUBTOTAL(103,$B$6:B73)</f>
        <v>59</v>
      </c>
      <c r="B73" s="28">
        <v>11</v>
      </c>
      <c r="C73" s="7" t="s">
        <v>1681</v>
      </c>
      <c r="D73" s="8">
        <f>Base!N502</f>
        <v>0.0</v>
      </c>
      <c r="E73" s="8">
        <f>Base!O502</f>
        <v>0.0</v>
      </c>
      <c r="F73" s="8">
        <f>D73-E73</f>
        <v>0.0</v>
      </c>
      <c r="G73" s="8">
        <f>Base!Q502</f>
        <v>0.0</v>
      </c>
      <c r="H73" s="8">
        <f>D73-G73</f>
        <v>0.0</v>
      </c>
      <c r="I73" s="29">
        <f>IF(D73=0,0,G73/D73)</f>
        <v>0</v>
      </c>
      <c r="J73" s="7" t="str">
        <f>Base!AH502</f>
        <v>Personal/bienes/servicios</v>
      </c>
      <c r="K73" s="28" t="str">
        <f>Base!I502</f>
        <v>Proyecto de inversión</v>
      </c>
      <c r="L73" s="8">
        <f>Base!AA502</f>
        <v>500000.0</v>
      </c>
      <c r="M73" s="8">
        <f>Base!AB502</f>
        <v>4356339.0</v>
      </c>
      <c r="N73" s="8">
        <f>Base!AC502</f>
        <v>4468789.0</v>
      </c>
      <c r="O73" s="8">
        <f>Base!AD502</f>
        <v>15297612.0</v>
      </c>
      <c r="P73" s="7">
        <f>IF(Base!AI502="","",Base!AI502)</f>
        <v/>
      </c>
      <c r="Q73" s="28" t="str">
        <f>Base!J502</f>
        <v>Sin PIM</v>
      </c>
      <c r="R73" s="29">
        <f>Base!X502</f>
        <v>0.22386965668266998</v>
      </c>
      <c r="S73" s="8">
        <f>Base!K502</f>
        <v>0.0</v>
      </c>
      <c r="T73" s="7" t="str">
        <f>Base!M502</f>
        <v>PIM igual a 0</v>
      </c>
    </row>
    <row r="74" spans="1:20">
      <c r="A74" s="25" t="s">
        <v>353</v>
      </c>
      <c r="B74" s="25"/>
      <c r="C74" s="25"/>
      <c r="D74" s="26">
        <f>SUM(D75:D76)</f>
        <v>153500.0</v>
      </c>
      <c r="E74" s="26">
        <f>SUM(E75:E76)</f>
        <v>89851.5</v>
      </c>
      <c r="F74" s="26">
        <f>D74-E74</f>
        <v>63648.5</v>
      </c>
      <c r="G74" s="26">
        <f>SUM(G75:G76)</f>
        <v>35800.5</v>
      </c>
      <c r="H74" s="26">
        <f>D74-G74</f>
        <v>117699.5</v>
      </c>
      <c r="I74" s="27">
        <f>IF(D74=0,0,G74/D74)</f>
        <v>0.23322801302931595</v>
      </c>
      <c r="J74" s="25"/>
      <c r="K74" s="25"/>
      <c r="L74" s="25"/>
      <c r="M74" s="25"/>
      <c r="N74" s="25"/>
      <c r="O74" s="25"/>
      <c r="P74" s="25"/>
      <c r="Q74" s="25"/>
      <c r="R74" s="25"/>
      <c r="S74" s="26">
        <f>SUM(S75:S76)</f>
        <v>63648.5</v>
      </c>
      <c r="T74" s="25"/>
    </row>
    <row r="75" spans="1:20">
      <c r="A75" s="28">
        <f>SUBTOTAL(103,$B$6:B75)</f>
        <v>60</v>
      </c>
      <c r="B75" s="28">
        <v>31</v>
      </c>
      <c r="C75" s="7" t="s">
        <v>1640</v>
      </c>
      <c r="D75" s="8">
        <f>Base!N497</f>
        <v>133500.0</v>
      </c>
      <c r="E75" s="8">
        <f>Base!O497</f>
        <v>69851.5</v>
      </c>
      <c r="F75" s="8">
        <f>D75-E75</f>
        <v>63648.5</v>
      </c>
      <c r="G75" s="8">
        <f>Base!Q497</f>
        <v>35800.5</v>
      </c>
      <c r="H75" s="8">
        <f>D75-G75</f>
        <v>97699.5</v>
      </c>
      <c r="I75" s="29">
        <f>IF(D75=0,0,G75/D75)</f>
        <v>0.26816853932584267</v>
      </c>
      <c r="J75" s="7" t="str">
        <f>Base!AH497</f>
        <v>Estudio de preinversión</v>
      </c>
      <c r="K75" s="28" t="str">
        <f>Base!I497</f>
        <v>Sin dato</v>
      </c>
      <c r="L75" s="8" t="str">
        <f>Base!AA497</f>
        <v>No registrado en cartera</v>
      </c>
      <c r="M75" s="8" t="str">
        <f>Base!AB497</f>
        <v>No registrado en cartera</v>
      </c>
      <c r="N75" s="8" t="str">
        <f>Base!AC497</f>
        <v>No registrado en cartera</v>
      </c>
      <c r="O75" s="8" t="str">
        <f>Base!AD497</f>
        <v>No registrado en cartera</v>
      </c>
      <c r="P75" s="7">
        <f>IF(Base!AI497="","",Base!AI497)</f>
        <v/>
      </c>
      <c r="Q75" s="28" t="str">
        <f>Base!J497</f>
        <v>Bolsa genérica</v>
      </c>
      <c r="R75" s="29" t="str">
        <f>Base!X497</f>
        <v>s/d</v>
      </c>
      <c r="S75" s="8">
        <f>Base!K497</f>
        <v>63648.5</v>
      </c>
      <c r="T75" s="7" t="str">
        <f>Base!M497</f>
        <v>Código genérico (no es una inversión con CUI propio)</v>
      </c>
    </row>
    <row r="76" spans="1:20">
      <c r="A76" s="28">
        <f>SUBTOTAL(103,$B$6:B76)</f>
        <v>61</v>
      </c>
      <c r="B76" s="28">
        <v>29</v>
      </c>
      <c r="C76" s="7" t="s">
        <v>1695</v>
      </c>
      <c r="D76" s="8">
        <f>Base!N501</f>
        <v>20000.0</v>
      </c>
      <c r="E76" s="8">
        <f>Base!O501</f>
        <v>20000.0</v>
      </c>
      <c r="F76" s="8">
        <f>D76-E76</f>
        <v>0.0</v>
      </c>
      <c r="G76" s="8">
        <f>Base!Q501</f>
        <v>0.0</v>
      </c>
      <c r="H76" s="8">
        <f>D76-G76</f>
        <v>20000.0</v>
      </c>
      <c r="I76" s="29">
        <f>IF(D76=0,0,G76/D76)</f>
        <v>0.0</v>
      </c>
      <c r="J76" s="7" t="str">
        <f>Base!AH501</f>
        <v>Expediente técnico</v>
      </c>
      <c r="K76" s="28" t="str">
        <f>Base!I501</f>
        <v>IOARR</v>
      </c>
      <c r="L76" s="8">
        <f>Base!AA501</f>
        <v>20000.0</v>
      </c>
      <c r="M76" s="8">
        <f>Base!AB501</f>
        <v>0</v>
      </c>
      <c r="N76" s="8">
        <f>Base!AC501</f>
        <v>0</v>
      </c>
      <c r="O76" s="8">
        <f>Base!AD501</f>
        <v>0</v>
      </c>
      <c r="P76" s="7">
        <f>IF(Base!AI501="","",Base!AI501)</f>
        <v/>
      </c>
      <c r="Q76" s="28" t="str">
        <f>Base!J501</f>
        <v>Sin saldo útil</v>
      </c>
      <c r="R76" s="29">
        <f>Base!X501</f>
        <v>0.0</v>
      </c>
      <c r="S76" s="8">
        <f>Base!K501</f>
        <v>0.0</v>
      </c>
      <c r="T76" s="7" t="str">
        <f>Base!M501</f>
        <v>Saldo libre menor a S/ 10,000</v>
      </c>
    </row>
    <row r="77" spans="1:20">
      <c r="A77" s="21" t="s">
        <v>1697</v>
      </c>
      <c r="B77" s="21"/>
      <c r="C77" s="21"/>
      <c r="D77" s="22">
        <f>D78</f>
        <v>32592.0</v>
      </c>
      <c r="E77" s="22">
        <f>E78</f>
        <v>0.0</v>
      </c>
      <c r="F77" s="22">
        <f>D77-E77</f>
        <v>32592.0</v>
      </c>
      <c r="G77" s="22">
        <f>G78</f>
        <v>0.0</v>
      </c>
      <c r="H77" s="22">
        <f>D77-G77</f>
        <v>32592.0</v>
      </c>
      <c r="I77" s="23">
        <f>IF(D77=0,0,G77/D77)</f>
        <v>0.0</v>
      </c>
      <c r="J77" s="21"/>
      <c r="K77" s="21"/>
      <c r="L77" s="21"/>
      <c r="M77" s="21"/>
      <c r="N77" s="21"/>
      <c r="O77" s="21"/>
      <c r="P77" s="21"/>
      <c r="Q77" s="21"/>
      <c r="R77" s="21"/>
      <c r="S77" s="22">
        <f>S78</f>
        <v>0.0</v>
      </c>
      <c r="T77" s="21"/>
    </row>
    <row r="78" spans="1:20">
      <c r="A78" s="25" t="s">
        <v>102</v>
      </c>
      <c r="B78" s="25"/>
      <c r="C78" s="25"/>
      <c r="D78" s="26">
        <f>SUM(D79:D79)</f>
        <v>32592.0</v>
      </c>
      <c r="E78" s="26">
        <f>SUM(E79:E79)</f>
        <v>0.0</v>
      </c>
      <c r="F78" s="26">
        <f>D78-E78</f>
        <v>32592.0</v>
      </c>
      <c r="G78" s="26">
        <f>SUM(G79:G79)</f>
        <v>0.0</v>
      </c>
      <c r="H78" s="26">
        <f>D78-G78</f>
        <v>32592.0</v>
      </c>
      <c r="I78" s="27">
        <f>IF(D78=0,0,G78/D78)</f>
        <v>0.0</v>
      </c>
      <c r="J78" s="25"/>
      <c r="K78" s="25"/>
      <c r="L78" s="25"/>
      <c r="M78" s="25"/>
      <c r="N78" s="25"/>
      <c r="O78" s="25"/>
      <c r="P78" s="25"/>
      <c r="Q78" s="25"/>
      <c r="R78" s="25"/>
      <c r="S78" s="26">
        <f>SUM(S79:S79)</f>
        <v>0.0</v>
      </c>
      <c r="T78" s="25"/>
    </row>
    <row r="79" spans="1:20">
      <c r="A79" s="28">
        <f>SUBTOTAL(103,$B$6:B79)</f>
        <v>62</v>
      </c>
      <c r="B79" s="28">
        <v>63</v>
      </c>
      <c r="C79" s="7" t="s">
        <v>1069</v>
      </c>
      <c r="D79" s="8">
        <f>Base!N503</f>
        <v>32592.0</v>
      </c>
      <c r="E79" s="8">
        <f>Base!O503</f>
        <v>0.0</v>
      </c>
      <c r="F79" s="8">
        <f>D79-E79</f>
        <v>32592.0</v>
      </c>
      <c r="G79" s="8">
        <f>Base!Q503</f>
        <v>0.0</v>
      </c>
      <c r="H79" s="8">
        <f>D79-G79</f>
        <v>32592.0</v>
      </c>
      <c r="I79" s="29">
        <f>IF(D79=0,0,G79/D79)</f>
        <v>0.0</v>
      </c>
      <c r="J79" s="7" t="str">
        <f>Base!AH503</f>
        <v>Administración directa / Contrata / Personal/bienes/servicios</v>
      </c>
      <c r="K79" s="28" t="str">
        <f>Base!I503</f>
        <v>Proyecto de inversión</v>
      </c>
      <c r="L79" s="8">
        <f>Base!AA503</f>
        <v>154969.0</v>
      </c>
      <c r="M79" s="8">
        <f>Base!AB503</f>
        <v>0</v>
      </c>
      <c r="N79" s="8">
        <f>Base!AC503</f>
        <v>0</v>
      </c>
      <c r="O79" s="8">
        <f>Base!AD503</f>
        <v>0</v>
      </c>
      <c r="P79" s="7">
        <f>IF(Base!AI503="","",Base!AI503)</f>
        <v/>
      </c>
      <c r="Q79" s="28" t="str">
        <f>Base!J503</f>
        <v>No mover</v>
      </c>
      <c r="R79" s="29">
        <f>Base!X503</f>
        <v>0.9597564784054511</v>
      </c>
      <c r="S79" s="8">
        <f>Base!K503</f>
        <v>0.0</v>
      </c>
      <c r="T79" s="7" t="str">
        <f>Base!M503</f>
        <v>Avance financiero acumulado 96% (&gt; 90%)</v>
      </c>
    </row>
    <row r="80" spans="1:20">
      <c r="A80" s="21" t="s">
        <v>1699</v>
      </c>
      <c r="B80" s="21"/>
      <c r="C80" s="21"/>
      <c r="D80" s="22">
        <f>D81</f>
        <v>41800.0</v>
      </c>
      <c r="E80" s="22">
        <f>E81</f>
        <v>41500.0</v>
      </c>
      <c r="F80" s="22">
        <f>D80-E80</f>
        <v>300.0</v>
      </c>
      <c r="G80" s="22">
        <f>G81</f>
        <v>41500.0</v>
      </c>
      <c r="H80" s="22">
        <f>D80-G80</f>
        <v>300.0</v>
      </c>
      <c r="I80" s="23">
        <f>IF(D80=0,0,G80/D80)</f>
        <v>0.992822966507177</v>
      </c>
      <c r="J80" s="21"/>
      <c r="K80" s="21"/>
      <c r="L80" s="21"/>
      <c r="M80" s="21"/>
      <c r="N80" s="21"/>
      <c r="O80" s="21"/>
      <c r="P80" s="21"/>
      <c r="Q80" s="21"/>
      <c r="R80" s="21"/>
      <c r="S80" s="22">
        <f>S81</f>
        <v>0.0</v>
      </c>
      <c r="T80" s="21"/>
    </row>
    <row r="81" spans="1:20">
      <c r="A81" s="25" t="s">
        <v>78</v>
      </c>
      <c r="B81" s="25"/>
      <c r="C81" s="25"/>
      <c r="D81" s="26">
        <f>SUM(D82:D82)</f>
        <v>41800.0</v>
      </c>
      <c r="E81" s="26">
        <f>SUM(E82:E82)</f>
        <v>41500.0</v>
      </c>
      <c r="F81" s="26">
        <f>D81-E81</f>
        <v>300.0</v>
      </c>
      <c r="G81" s="26">
        <f>SUM(G82:G82)</f>
        <v>41500.0</v>
      </c>
      <c r="H81" s="26">
        <f>D81-G81</f>
        <v>300.0</v>
      </c>
      <c r="I81" s="27">
        <f>IF(D81=0,0,G81/D81)</f>
        <v>0.992822966507177</v>
      </c>
      <c r="J81" s="25"/>
      <c r="K81" s="25"/>
      <c r="L81" s="25"/>
      <c r="M81" s="25"/>
      <c r="N81" s="25"/>
      <c r="O81" s="25"/>
      <c r="P81" s="25"/>
      <c r="Q81" s="25"/>
      <c r="R81" s="25"/>
      <c r="S81" s="26">
        <f>SUM(S82:S82)</f>
        <v>0.0</v>
      </c>
      <c r="T81" s="25"/>
    </row>
    <row r="82" spans="1:20">
      <c r="A82" s="28">
        <f>SUBTOTAL(103,$B$6:B82)</f>
        <v>63</v>
      </c>
      <c r="B82" s="28">
        <v>121</v>
      </c>
      <c r="C82" s="7" t="s">
        <v>1701</v>
      </c>
      <c r="D82" s="8">
        <f>Base!N504</f>
        <v>41800.0</v>
      </c>
      <c r="E82" s="8">
        <f>Base!O504</f>
        <v>41500.0</v>
      </c>
      <c r="F82" s="8">
        <f>D82-E82</f>
        <v>300.0</v>
      </c>
      <c r="G82" s="8">
        <f>Base!Q504</f>
        <v>41500.0</v>
      </c>
      <c r="H82" s="8">
        <f>D82-G82</f>
        <v>300.0</v>
      </c>
      <c r="I82" s="29">
        <f>IF(D82=0,0,G82/D82)</f>
        <v>0.992822966507177</v>
      </c>
      <c r="J82" s="7" t="str">
        <f>Base!AH504</f>
        <v>Equipamiento</v>
      </c>
      <c r="K82" s="28" t="str">
        <f>Base!I504</f>
        <v>IOARR</v>
      </c>
      <c r="L82" s="8">
        <f>Base!AA504</f>
        <v>43800.0</v>
      </c>
      <c r="M82" s="8">
        <f>Base!AB504</f>
        <v>0</v>
      </c>
      <c r="N82" s="8">
        <f>Base!AC504</f>
        <v>0</v>
      </c>
      <c r="O82" s="8">
        <f>Base!AD504</f>
        <v>0</v>
      </c>
      <c r="P82" s="7">
        <f>IF(Base!AI504="","",Base!AI504)</f>
        <v/>
      </c>
      <c r="Q82" s="28" t="str">
        <f>Base!J504</f>
        <v>No mover</v>
      </c>
      <c r="R82" s="29">
        <f>Base!X504</f>
        <v>0.9474885844748858</v>
      </c>
      <c r="S82" s="8">
        <f>Base!K504</f>
        <v>0.0</v>
      </c>
      <c r="T82" s="7" t="str">
        <f>Base!M504</f>
        <v>Devengado 2026 ≥ 90% del PIM</v>
      </c>
    </row>
    <row r="84" spans="1:20">
      <c r="A84" s="30" t="s">
        <v>1752</v>
      </c>
      <c r="B84" s="30"/>
      <c r="C84" s="30"/>
      <c r="D84" s="31">
        <f>D5+D12+D56+D64+D77+D80</f>
        <v>92962944.0</v>
      </c>
      <c r="E84" s="31">
        <f>E5+E12+E56+E64+E77+E80</f>
        <v>85454011.68</v>
      </c>
      <c r="F84" s="31">
        <f>D84-E84</f>
        <v>7508932.319999993</v>
      </c>
      <c r="G84" s="31">
        <f>G5+G12+G56+G64+G77+G80</f>
        <v>61585071.40999998</v>
      </c>
      <c r="H84" s="31">
        <f>D84-G84</f>
        <v>31377872.59000002</v>
      </c>
      <c r="I84" s="32">
        <f>IF(D84=0,0,G84/D84)</f>
        <v>0.6624690307785431</v>
      </c>
      <c r="J84" s="30"/>
      <c r="K84" s="30"/>
      <c r="L84" s="30"/>
      <c r="M84" s="30"/>
      <c r="N84" s="30"/>
      <c r="O84" s="30"/>
      <c r="P84" s="30"/>
      <c r="Q84" s="30"/>
      <c r="R84" s="30"/>
      <c r="S84" s="31">
        <f>S5+S12+S56+S64+S77+S80</f>
        <v>858819.1886060585</v>
      </c>
      <c r="T84" s="30"/>
    </row>
  </sheetData>
  <conditionalFormatting sqref="Q5:Q8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487"/>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12.7109375" customWidth="1"/>
    <col min="3" max="3" width="62.7109375" customWidth="1"/>
    <col min="4" max="5" width="16.7109375" customWidth="1"/>
    <col min="6" max="6" width="15.7109375" customWidth="1"/>
    <col min="7" max="7" width="14.7109375" customWidth="1"/>
    <col min="8" max="8" width="15.7109375" customWidth="1"/>
    <col min="9" max="9" width="14.7109375" customWidth="1"/>
    <col min="10" max="11" width="12.7109375" customWidth="1"/>
    <col min="12" max="12" width="15.7109375" customWidth="1"/>
    <col min="13" max="13" width="18.7109375" customWidth="1"/>
    <col min="14" max="14" width="36.7109375" customWidth="1"/>
  </cols>
  <sheetData>
    <row r="1" spans="1:14">
      <c r="A1" s="19" t="s">
        <v>1780</v>
      </c>
    </row>
    <row r="2" spans="1:14">
      <c r="A2" s="2" t="s">
        <v>1781</v>
      </c>
    </row>
    <row r="3" spans="1:14">
      <c r="A3" s="2" t="s">
        <v>1782</v>
      </c>
    </row>
    <row r="4" spans="1:14" ht="46" customHeight="1">
      <c r="A4" s="6" t="s">
        <v>1710</v>
      </c>
      <c r="B4" s="6" t="s">
        <v>1783</v>
      </c>
      <c r="C4" s="6" t="s">
        <v>1784</v>
      </c>
      <c r="D4" s="6" t="s">
        <v>1785</v>
      </c>
      <c r="E4" s="6" t="s">
        <v>1786</v>
      </c>
      <c r="F4" s="6" t="s">
        <v>1787</v>
      </c>
      <c r="G4" s="6" t="s">
        <v>1788</v>
      </c>
      <c r="H4" s="6" t="s">
        <v>1789</v>
      </c>
      <c r="I4" s="6" t="s">
        <v>1790</v>
      </c>
      <c r="J4" s="6" t="s">
        <v>1791</v>
      </c>
      <c r="K4" s="6" t="s">
        <v>1792</v>
      </c>
      <c r="L4" s="6" t="s">
        <v>47</v>
      </c>
      <c r="M4" s="6" t="s">
        <v>1793</v>
      </c>
      <c r="N4" s="6" t="s">
        <v>1794</v>
      </c>
    </row>
    <row r="5" spans="1:14">
      <c r="A5" s="21" t="s">
        <v>1769</v>
      </c>
      <c r="B5" s="21"/>
      <c r="C5" s="21"/>
      <c r="D5" s="22">
        <f>D6+D80+D211+D294+D314+D325+D329+D331+D333+D336+D342+D351+D353+D420+D425+D433+D439</f>
        <v>7616235198.0</v>
      </c>
      <c r="E5" s="22">
        <f>E6+E80+E211+E294+E314+E325+E329+E331+E333+E336+E342+E351+E353+E420+E425+E433+E439</f>
        <v>2327590019.0</v>
      </c>
      <c r="F5" s="22">
        <f>F6+F80+F211+F294+F314+F325+F329+F331+F333+F336+F342+F351+F353+F420+F425+F433+F439</f>
        <v>112127099.0</v>
      </c>
      <c r="G5" s="22">
        <f>G6+G80+G211+G294+G314+G325+G329+G331+G333+G336+G342+G351+G353+G420+G425+G433+G439</f>
        <v>86065132.0</v>
      </c>
      <c r="H5" s="22">
        <f>H6+H80+H211+H294+H314+H325+H329+H331+H333+H336+H342+H351+H353+H420+H425+H433+H439</f>
        <v>583390307.0</v>
      </c>
      <c r="I5" s="22">
        <f>I6+I80+I211+I294+I314+I325+I329+I331+I333+I336+I342+I351+I353+I420+I425+I433+I439</f>
        <v>100705416.0</v>
      </c>
      <c r="J5" s="22">
        <f>J6+J80+J211+J294+J314+J325+J329+J331+J333+J336+J342+J351+J353+J420+J425+J433+J439</f>
        <v>12739030.0</v>
      </c>
      <c r="K5" s="22">
        <f>K6+K80+K211+K294+K314+K325+K329+K331+K333+K336+K342+K351+K353+K420+K425+K433+K439</f>
        <v>0.0</v>
      </c>
      <c r="L5" s="22">
        <f>L6+L80+L211+L294+L314+L325+L329+L331+L333+L336+L342+L351+L353+L420+L425+L433+L439</f>
        <v>895026984.0</v>
      </c>
      <c r="M5" s="22">
        <f>M6+M80+M211+M294+M314+M325+M329+M331+M333+M336+M342+M351+M353+M420+M425+M433+M439</f>
        <v>4664716141.0</v>
      </c>
      <c r="N5" s="21"/>
    </row>
    <row r="6" spans="1:14">
      <c r="A6" s="25" t="s">
        <v>78</v>
      </c>
      <c r="B6" s="25"/>
      <c r="C6" s="25"/>
      <c r="D6" s="26">
        <f>SUM(D7:D79)</f>
        <v>1674331985.0</v>
      </c>
      <c r="E6" s="26">
        <f>SUM(E7:E79)</f>
        <v>403119733.0</v>
      </c>
      <c r="F6" s="26">
        <f>SUM(F7:F79)</f>
        <v>109909702.0</v>
      </c>
      <c r="G6" s="26">
        <f>SUM(G7:G79)</f>
        <v>57506088.0</v>
      </c>
      <c r="H6" s="26">
        <f>SUM(H7:H79)</f>
        <v>92219871.0</v>
      </c>
      <c r="I6" s="26">
        <f>SUM(I7:I79)</f>
        <v>36785019.0</v>
      </c>
      <c r="J6" s="26">
        <f>SUM(J7:J79)</f>
        <v>12739030.0</v>
      </c>
      <c r="K6" s="26">
        <f>SUM(K7:K79)</f>
        <v>0.0</v>
      </c>
      <c r="L6" s="26">
        <f>SUM(L7:L79)</f>
        <v>309159710.0</v>
      </c>
      <c r="M6" s="26">
        <f>SUM(M7:M79)</f>
        <v>1115399393.0</v>
      </c>
      <c r="N6" s="25"/>
    </row>
    <row r="7" spans="1:14">
      <c r="A7" s="28">
        <v>1</v>
      </c>
      <c r="B7" s="28" t="s">
        <v>1795</v>
      </c>
      <c r="C7" s="7" t="s">
        <v>544</v>
      </c>
      <c r="D7" s="7" t="s">
        <v>99</v>
      </c>
      <c r="E7" s="7" t="s">
        <v>99</v>
      </c>
      <c r="F7" s="8">
        <f>INDEX('Rubro por CUI'!$E$5:$E$454,MATCH("001|2251136",'Rubro por CUI'!$N$5:$N$454,0))</f>
        <v>56150305.0</v>
      </c>
      <c r="G7" s="8">
        <f>INDEX('Rubro por CUI'!$F$5:$F$454,MATCH("001|2251136",'Rubro por CUI'!$N$5:$N$454,0))</f>
        <v>0.0</v>
      </c>
      <c r="H7" s="8">
        <f>INDEX('Rubro por CUI'!$G$5:$G$454,MATCH("001|2251136",'Rubro por CUI'!$N$5:$N$454,0))</f>
        <v>0.0</v>
      </c>
      <c r="I7" s="8">
        <f>INDEX('Rubro por CUI'!$H$5:$H$454,MATCH("001|2251136",'Rubro por CUI'!$N$5:$N$454,0))</f>
        <v>0.0</v>
      </c>
      <c r="J7" s="8">
        <f>INDEX('Rubro por CUI'!$I$5:$I$454,MATCH("001|2251136",'Rubro por CUI'!$N$5:$N$454,0))</f>
        <v>0.0</v>
      </c>
      <c r="K7" s="8">
        <f>L7-SUM(F7:J7)</f>
        <v>0.0</v>
      </c>
      <c r="L7" s="8">
        <f>SUMIFS(Base!$N$5:$N$504,Base!$A$5:$A$504,"001",Base!$F$5:$F$504,"2251136")</f>
        <v>56150305.0</v>
      </c>
      <c r="M7" s="7" t="s">
        <v>99</v>
      </c>
      <c r="N7" s="7" t="s">
        <v>1796</v>
      </c>
    </row>
    <row r="8" spans="1:14">
      <c r="A8" s="28">
        <v>2</v>
      </c>
      <c r="B8" s="28" t="s">
        <v>1797</v>
      </c>
      <c r="C8" s="7" t="s">
        <v>95</v>
      </c>
      <c r="D8" s="7" t="s">
        <v>99</v>
      </c>
      <c r="E8" s="7" t="s">
        <v>99</v>
      </c>
      <c r="F8" s="8">
        <f>INDEX('Rubro por CUI'!$E$5:$E$454,MATCH("001|2279375",'Rubro por CUI'!$N$5:$N$454,0))</f>
        <v>53759397.0</v>
      </c>
      <c r="G8" s="8">
        <f>INDEX('Rubro por CUI'!$F$5:$F$454,MATCH("001|2279375",'Rubro por CUI'!$N$5:$N$454,0))</f>
        <v>0.0</v>
      </c>
      <c r="H8" s="8">
        <f>INDEX('Rubro por CUI'!$G$5:$G$454,MATCH("001|2279375",'Rubro por CUI'!$N$5:$N$454,0))</f>
        <v>0.0</v>
      </c>
      <c r="I8" s="8">
        <f>INDEX('Rubro por CUI'!$H$5:$H$454,MATCH("001|2279375",'Rubro por CUI'!$N$5:$N$454,0))</f>
        <v>0.0</v>
      </c>
      <c r="J8" s="8">
        <f>INDEX('Rubro por CUI'!$I$5:$I$454,MATCH("001|2279375",'Rubro por CUI'!$N$5:$N$454,0))</f>
        <v>0.0</v>
      </c>
      <c r="K8" s="8">
        <f>L8-SUM(F8:J8)</f>
        <v>0.0</v>
      </c>
      <c r="L8" s="8">
        <f>SUMIFS(Base!$N$5:$N$504,Base!$A$5:$A$504,"001",Base!$F$5:$F$504,"2279375")</f>
        <v>53759397.0</v>
      </c>
      <c r="M8" s="7" t="s">
        <v>99</v>
      </c>
      <c r="N8" s="7" t="s">
        <v>1796</v>
      </c>
    </row>
    <row r="9" spans="1:14">
      <c r="A9" s="28">
        <v>3</v>
      </c>
      <c r="B9" s="28" t="s">
        <v>1798</v>
      </c>
      <c r="C9" s="7" t="s">
        <v>556</v>
      </c>
      <c r="D9" s="7" t="s">
        <v>99</v>
      </c>
      <c r="E9" s="7" t="s">
        <v>99</v>
      </c>
      <c r="F9" s="8">
        <f>INDEX('Rubro por CUI'!$E$5:$E$454,MATCH("001|2278822",'Rubro por CUI'!$N$5:$N$454,0))</f>
        <v>0.0</v>
      </c>
      <c r="G9" s="8">
        <f>INDEX('Rubro por CUI'!$F$5:$F$454,MATCH("001|2278822",'Rubro por CUI'!$N$5:$N$454,0))</f>
        <v>0.0</v>
      </c>
      <c r="H9" s="8">
        <f>INDEX('Rubro por CUI'!$G$5:$G$454,MATCH("001|2278822",'Rubro por CUI'!$N$5:$N$454,0))</f>
        <v>7112293.0</v>
      </c>
      <c r="I9" s="8">
        <f>INDEX('Rubro por CUI'!$H$5:$H$454,MATCH("001|2278822",'Rubro por CUI'!$N$5:$N$454,0))</f>
        <v>25711893.0</v>
      </c>
      <c r="J9" s="8">
        <f>INDEX('Rubro por CUI'!$I$5:$I$454,MATCH("001|2278822",'Rubro por CUI'!$N$5:$N$454,0))</f>
        <v>8695575.0</v>
      </c>
      <c r="K9" s="8">
        <f>L9-SUM(F9:J9)</f>
        <v>0.0</v>
      </c>
      <c r="L9" s="8">
        <f>SUMIFS(Base!$N$5:$N$504,Base!$A$5:$A$504,"001",Base!$F$5:$F$504,"2278822")</f>
        <v>41519761.0</v>
      </c>
      <c r="M9" s="7" t="s">
        <v>99</v>
      </c>
      <c r="N9" s="7" t="s">
        <v>1796</v>
      </c>
    </row>
    <row r="10" spans="1:14">
      <c r="A10" s="28">
        <v>4</v>
      </c>
      <c r="B10" s="28" t="s">
        <v>1799</v>
      </c>
      <c r="C10" s="7" t="s">
        <v>550</v>
      </c>
      <c r="D10" s="33">
        <v>72127265</v>
      </c>
      <c r="E10" s="33">
        <v>1106876</v>
      </c>
      <c r="F10" s="8">
        <f>INDEX('Rubro por CUI'!$E$5:$E$454,MATCH("001|2357089",'Rubro por CUI'!$N$5:$N$454,0))</f>
        <v>0.0</v>
      </c>
      <c r="G10" s="8">
        <f>INDEX('Rubro por CUI'!$F$5:$F$454,MATCH("001|2357089",'Rubro por CUI'!$N$5:$N$454,0))</f>
        <v>17494338.0</v>
      </c>
      <c r="H10" s="8">
        <f>INDEX('Rubro por CUI'!$G$5:$G$454,MATCH("001|2357089",'Rubro por CUI'!$N$5:$N$454,0))</f>
        <v>1259199.0</v>
      </c>
      <c r="I10" s="8">
        <f>INDEX('Rubro por CUI'!$H$5:$H$454,MATCH("001|2357089",'Rubro por CUI'!$N$5:$N$454,0))</f>
        <v>0.0</v>
      </c>
      <c r="J10" s="8">
        <f>INDEX('Rubro por CUI'!$I$5:$I$454,MATCH("001|2357089",'Rubro por CUI'!$N$5:$N$454,0))</f>
        <v>0.0</v>
      </c>
      <c r="K10" s="8">
        <f>L10-SUM(F10:J10)</f>
        <v>0.0</v>
      </c>
      <c r="L10" s="8">
        <f>SUMIFS(Base!$N$5:$N$504,Base!$A$5:$A$504,"001",Base!$F$5:$F$504,"2357089")</f>
        <v>18753537.0</v>
      </c>
      <c r="M10" s="8">
        <f>D10-E10-L10</f>
        <v>52266852.0</v>
      </c>
      <c r="N10" s="7" t="s">
        <v>89</v>
      </c>
    </row>
    <row r="11" spans="1:14">
      <c r="A11" s="28">
        <v>5</v>
      </c>
      <c r="B11" s="28" t="s">
        <v>1800</v>
      </c>
      <c r="C11" s="7" t="s">
        <v>553</v>
      </c>
      <c r="D11" s="33">
        <v>68871991</v>
      </c>
      <c r="E11" s="33">
        <v>1956708</v>
      </c>
      <c r="F11" s="8">
        <f>INDEX('Rubro por CUI'!$E$5:$E$454,MATCH("001|2435272",'Rubro por CUI'!$N$5:$N$454,0))</f>
        <v>0.0</v>
      </c>
      <c r="G11" s="8">
        <f>INDEX('Rubro por CUI'!$F$5:$F$454,MATCH("001|2435272",'Rubro por CUI'!$N$5:$N$454,0))</f>
        <v>16479574.0</v>
      </c>
      <c r="H11" s="8">
        <f>INDEX('Rubro por CUI'!$G$5:$G$454,MATCH("001|2435272",'Rubro por CUI'!$N$5:$N$454,0))</f>
        <v>1004712.0</v>
      </c>
      <c r="I11" s="8">
        <f>INDEX('Rubro por CUI'!$H$5:$H$454,MATCH("001|2435272",'Rubro por CUI'!$N$5:$N$454,0))</f>
        <v>0.0</v>
      </c>
      <c r="J11" s="8">
        <f>INDEX('Rubro por CUI'!$I$5:$I$454,MATCH("001|2435272",'Rubro por CUI'!$N$5:$N$454,0))</f>
        <v>0.0</v>
      </c>
      <c r="K11" s="8">
        <f>L11-SUM(F11:J11)</f>
        <v>0.0</v>
      </c>
      <c r="L11" s="8">
        <f>SUMIFS(Base!$N$5:$N$504,Base!$A$5:$A$504,"001",Base!$F$5:$F$504,"2435272")</f>
        <v>17484286.0</v>
      </c>
      <c r="M11" s="8">
        <f>D11-E11-L11</f>
        <v>49430997.0</v>
      </c>
      <c r="N11" s="7" t="s">
        <v>89</v>
      </c>
    </row>
    <row r="12" spans="1:14">
      <c r="A12" s="28">
        <v>6</v>
      </c>
      <c r="B12" s="28" t="s">
        <v>1801</v>
      </c>
      <c r="C12" s="7" t="s">
        <v>1462</v>
      </c>
      <c r="D12" s="33">
        <v>22506725</v>
      </c>
      <c r="E12" s="33">
        <v>54370</v>
      </c>
      <c r="F12" s="8">
        <f>INDEX('Rubro por CUI'!$E$5:$E$454,MATCH("001|2692290",'Rubro por CUI'!$N$5:$N$454,0))</f>
        <v>0.0</v>
      </c>
      <c r="G12" s="8">
        <f>INDEX('Rubro por CUI'!$F$5:$F$454,MATCH("001|2692290",'Rubro por CUI'!$N$5:$N$454,0))</f>
        <v>5457504.0</v>
      </c>
      <c r="H12" s="8">
        <f>INDEX('Rubro por CUI'!$G$5:$G$454,MATCH("001|2692290",'Rubro por CUI'!$N$5:$N$454,0))</f>
        <v>4923830.0</v>
      </c>
      <c r="I12" s="8">
        <f>INDEX('Rubro por CUI'!$H$5:$H$454,MATCH("001|2692290",'Rubro por CUI'!$N$5:$N$454,0))</f>
        <v>3545000.0</v>
      </c>
      <c r="J12" s="8">
        <f>INDEX('Rubro por CUI'!$I$5:$I$454,MATCH("001|2692290",'Rubro por CUI'!$N$5:$N$454,0))</f>
        <v>0.0</v>
      </c>
      <c r="K12" s="8">
        <f>L12-SUM(F12:J12)</f>
        <v>0.0</v>
      </c>
      <c r="L12" s="8">
        <f>SUMIFS(Base!$N$5:$N$504,Base!$A$5:$A$504,"001",Base!$F$5:$F$504,"2692290")</f>
        <v>13926334.0</v>
      </c>
      <c r="M12" s="8">
        <f>D12-E12-L12</f>
        <v>8526021.0</v>
      </c>
      <c r="N12" s="7" t="s">
        <v>89</v>
      </c>
    </row>
    <row r="13" spans="1:14">
      <c r="A13" s="28">
        <v>7</v>
      </c>
      <c r="B13" s="28" t="s">
        <v>1802</v>
      </c>
      <c r="C13" s="7" t="s">
        <v>723</v>
      </c>
      <c r="D13" s="33">
        <v>46902164</v>
      </c>
      <c r="E13" s="33">
        <v>1401737</v>
      </c>
      <c r="F13" s="8">
        <f>INDEX('Rubro por CUI'!$E$5:$E$454,MATCH("001|2357091",'Rubro por CUI'!$N$5:$N$454,0))</f>
        <v>0.0</v>
      </c>
      <c r="G13" s="8">
        <f>INDEX('Rubro por CUI'!$F$5:$F$454,MATCH("001|2357091",'Rubro por CUI'!$N$5:$N$454,0))</f>
        <v>194638.0</v>
      </c>
      <c r="H13" s="8">
        <f>INDEX('Rubro por CUI'!$G$5:$G$454,MATCH("001|2357091",'Rubro por CUI'!$N$5:$N$454,0))</f>
        <v>8204552.0</v>
      </c>
      <c r="I13" s="8">
        <f>INDEX('Rubro por CUI'!$H$5:$H$454,MATCH("001|2357091",'Rubro por CUI'!$N$5:$N$454,0))</f>
        <v>2000000.0</v>
      </c>
      <c r="J13" s="8">
        <f>INDEX('Rubro por CUI'!$I$5:$I$454,MATCH("001|2357091",'Rubro por CUI'!$N$5:$N$454,0))</f>
        <v>0.0</v>
      </c>
      <c r="K13" s="8">
        <f>L13-SUM(F13:J13)</f>
        <v>0.0</v>
      </c>
      <c r="L13" s="8">
        <f>SUMIFS(Base!$N$5:$N$504,Base!$A$5:$A$504,"001",Base!$F$5:$F$504,"2357091")</f>
        <v>10399190.0</v>
      </c>
      <c r="M13" s="8">
        <f>D13-E13-L13</f>
        <v>35101237.0</v>
      </c>
      <c r="N13" s="7" t="s">
        <v>89</v>
      </c>
    </row>
    <row r="14" spans="1:14">
      <c r="A14" s="28">
        <v>8</v>
      </c>
      <c r="B14" s="28" t="s">
        <v>1803</v>
      </c>
      <c r="C14" s="7" t="s">
        <v>547</v>
      </c>
      <c r="D14" s="33">
        <v>68991637</v>
      </c>
      <c r="E14" s="33">
        <v>24057584</v>
      </c>
      <c r="F14" s="8">
        <f>INDEX('Rubro por CUI'!$E$5:$E$454,MATCH("001|2490087",'Rubro por CUI'!$N$5:$N$454,0))</f>
        <v>0.0</v>
      </c>
      <c r="G14" s="8">
        <f>INDEX('Rubro por CUI'!$F$5:$F$454,MATCH("001|2490087",'Rubro por CUI'!$N$5:$N$454,0))</f>
        <v>0.0</v>
      </c>
      <c r="H14" s="8">
        <f>INDEX('Rubro por CUI'!$G$5:$G$454,MATCH("001|2490087",'Rubro por CUI'!$N$5:$N$454,0))</f>
        <v>8766661.0</v>
      </c>
      <c r="I14" s="8">
        <f>INDEX('Rubro por CUI'!$H$5:$H$454,MATCH("001|2490087",'Rubro por CUI'!$N$5:$N$454,0))</f>
        <v>0.0</v>
      </c>
      <c r="J14" s="8">
        <f>INDEX('Rubro por CUI'!$I$5:$I$454,MATCH("001|2490087",'Rubro por CUI'!$N$5:$N$454,0))</f>
        <v>0.0</v>
      </c>
      <c r="K14" s="8">
        <f>L14-SUM(F14:J14)</f>
        <v>0.0</v>
      </c>
      <c r="L14" s="8">
        <f>SUMIFS(Base!$N$5:$N$504,Base!$A$5:$A$504,"001",Base!$F$5:$F$504,"2490087")</f>
        <v>8766661.0</v>
      </c>
      <c r="M14" s="8">
        <f>D14-E14-L14</f>
        <v>36167392.0</v>
      </c>
      <c r="N14" s="7" t="s">
        <v>89</v>
      </c>
    </row>
    <row r="15" spans="1:14">
      <c r="A15" s="28">
        <v>9</v>
      </c>
      <c r="B15" s="28" t="s">
        <v>1804</v>
      </c>
      <c r="C15" s="7" t="s">
        <v>1456</v>
      </c>
      <c r="D15" s="33">
        <v>12836207</v>
      </c>
      <c r="E15" s="33">
        <v>129383</v>
      </c>
      <c r="F15" s="8">
        <f>INDEX('Rubro por CUI'!$E$5:$E$454,MATCH("001|2694246",'Rubro por CUI'!$N$5:$N$454,0))</f>
        <v>0.0</v>
      </c>
      <c r="G15" s="8">
        <f>INDEX('Rubro por CUI'!$F$5:$F$454,MATCH("001|2694246",'Rubro por CUI'!$N$5:$N$454,0))</f>
        <v>0.0</v>
      </c>
      <c r="H15" s="8">
        <f>INDEX('Rubro por CUI'!$G$5:$G$454,MATCH("001|2694246",'Rubro por CUI'!$N$5:$N$454,0))</f>
        <v>7233998.0</v>
      </c>
      <c r="I15" s="8">
        <f>INDEX('Rubro por CUI'!$H$5:$H$454,MATCH("001|2694246",'Rubro por CUI'!$N$5:$N$454,0))</f>
        <v>1250000.0</v>
      </c>
      <c r="J15" s="8">
        <f>INDEX('Rubro por CUI'!$I$5:$I$454,MATCH("001|2694246",'Rubro por CUI'!$N$5:$N$454,0))</f>
        <v>0.0</v>
      </c>
      <c r="K15" s="8">
        <f>L15-SUM(F15:J15)</f>
        <v>0.0</v>
      </c>
      <c r="L15" s="8">
        <f>SUMIFS(Base!$N$5:$N$504,Base!$A$5:$A$504,"001",Base!$F$5:$F$504,"2694246")</f>
        <v>8483998.0</v>
      </c>
      <c r="M15" s="8">
        <f>D15-E15-L15</f>
        <v>4222826.0</v>
      </c>
      <c r="N15" s="7" t="s">
        <v>89</v>
      </c>
    </row>
    <row r="16" spans="1:14">
      <c r="A16" s="28">
        <v>10</v>
      </c>
      <c r="B16" s="28" t="s">
        <v>1805</v>
      </c>
      <c r="C16" s="7" t="s">
        <v>370</v>
      </c>
      <c r="D16" s="33">
        <v>24608400</v>
      </c>
      <c r="E16" s="33">
        <v>6604292</v>
      </c>
      <c r="F16" s="8">
        <f>INDEX('Rubro por CUI'!$E$5:$E$454,MATCH("001|2504553",'Rubro por CUI'!$N$5:$N$454,0))</f>
        <v>0.0</v>
      </c>
      <c r="G16" s="8">
        <f>INDEX('Rubro por CUI'!$F$5:$F$454,MATCH("001|2504553",'Rubro por CUI'!$N$5:$N$454,0))</f>
        <v>0.0</v>
      </c>
      <c r="H16" s="8">
        <f>INDEX('Rubro por CUI'!$G$5:$G$454,MATCH("001|2504553",'Rubro por CUI'!$N$5:$N$454,0))</f>
        <v>8256172.0</v>
      </c>
      <c r="I16" s="8">
        <f>INDEX('Rubro por CUI'!$H$5:$H$454,MATCH("001|2504553",'Rubro por CUI'!$N$5:$N$454,0))</f>
        <v>0.0</v>
      </c>
      <c r="J16" s="8">
        <f>INDEX('Rubro por CUI'!$I$5:$I$454,MATCH("001|2504553",'Rubro por CUI'!$N$5:$N$454,0))</f>
        <v>0.0</v>
      </c>
      <c r="K16" s="8">
        <f>L16-SUM(F16:J16)</f>
        <v>0.0</v>
      </c>
      <c r="L16" s="8">
        <f>SUMIFS(Base!$N$5:$N$504,Base!$A$5:$A$504,"001",Base!$F$5:$F$504,"2504553")</f>
        <v>8256172.0</v>
      </c>
      <c r="M16" s="8">
        <f>D16-E16-L16</f>
        <v>9747936.0</v>
      </c>
      <c r="N16" s="7" t="s">
        <v>89</v>
      </c>
    </row>
    <row r="17" spans="1:14">
      <c r="A17" s="28">
        <v>11</v>
      </c>
      <c r="B17" s="28" t="s">
        <v>1806</v>
      </c>
      <c r="C17" s="7" t="s">
        <v>1446</v>
      </c>
      <c r="D17" s="33">
        <v>27963593</v>
      </c>
      <c r="E17" s="33">
        <v>125886</v>
      </c>
      <c r="F17" s="8">
        <f>INDEX('Rubro por CUI'!$E$5:$E$454,MATCH("001|2650340",'Rubro por CUI'!$N$5:$N$454,0))</f>
        <v>0.0</v>
      </c>
      <c r="G17" s="8">
        <f>INDEX('Rubro por CUI'!$F$5:$F$454,MATCH("001|2650340",'Rubro por CUI'!$N$5:$N$454,0))</f>
        <v>2800000.0</v>
      </c>
      <c r="H17" s="8">
        <f>INDEX('Rubro por CUI'!$G$5:$G$454,MATCH("001|2650340",'Rubro por CUI'!$N$5:$N$454,0))</f>
        <v>5243406.0</v>
      </c>
      <c r="I17" s="8">
        <f>INDEX('Rubro por CUI'!$H$5:$H$454,MATCH("001|2650340",'Rubro por CUI'!$N$5:$N$454,0))</f>
        <v>0.0</v>
      </c>
      <c r="J17" s="8">
        <f>INDEX('Rubro por CUI'!$I$5:$I$454,MATCH("001|2650340",'Rubro por CUI'!$N$5:$N$454,0))</f>
        <v>0.0</v>
      </c>
      <c r="K17" s="8">
        <f>L17-SUM(F17:J17)</f>
        <v>0.0</v>
      </c>
      <c r="L17" s="8">
        <f>SUMIFS(Base!$N$5:$N$504,Base!$A$5:$A$504,"001",Base!$F$5:$F$504,"2650340")</f>
        <v>8043406.0</v>
      </c>
      <c r="M17" s="8">
        <f>D17-E17-L17</f>
        <v>19794301.0</v>
      </c>
      <c r="N17" s="7" t="s">
        <v>89</v>
      </c>
    </row>
    <row r="18" spans="1:14">
      <c r="A18" s="28">
        <v>12</v>
      </c>
      <c r="B18" s="28" t="s">
        <v>1807</v>
      </c>
      <c r="C18" s="7" t="s">
        <v>374</v>
      </c>
      <c r="D18" s="33">
        <v>28883068</v>
      </c>
      <c r="E18" s="33">
        <v>1373606</v>
      </c>
      <c r="F18" s="8">
        <f>INDEX('Rubro por CUI'!$E$5:$E$454,MATCH("001|2470517",'Rubro por CUI'!$N$5:$N$454,0))</f>
        <v>0.0</v>
      </c>
      <c r="G18" s="8">
        <f>INDEX('Rubro por CUI'!$F$5:$F$454,MATCH("001|2470517",'Rubro por CUI'!$N$5:$N$454,0))</f>
        <v>6994018.0</v>
      </c>
      <c r="H18" s="8">
        <f>INDEX('Rubro por CUI'!$G$5:$G$454,MATCH("001|2470517",'Rubro por CUI'!$N$5:$N$454,0))</f>
        <v>380974.0</v>
      </c>
      <c r="I18" s="8">
        <f>INDEX('Rubro por CUI'!$H$5:$H$454,MATCH("001|2470517",'Rubro por CUI'!$N$5:$N$454,0))</f>
        <v>0.0</v>
      </c>
      <c r="J18" s="8">
        <f>INDEX('Rubro por CUI'!$I$5:$I$454,MATCH("001|2470517",'Rubro por CUI'!$N$5:$N$454,0))</f>
        <v>0.0</v>
      </c>
      <c r="K18" s="8">
        <f>L18-SUM(F18:J18)</f>
        <v>0.0</v>
      </c>
      <c r="L18" s="8">
        <f>SUMIFS(Base!$N$5:$N$504,Base!$A$5:$A$504,"001",Base!$F$5:$F$504,"2470517")</f>
        <v>7374992.0</v>
      </c>
      <c r="M18" s="8">
        <f>D18-E18-L18</f>
        <v>20134470.0</v>
      </c>
      <c r="N18" s="7" t="s">
        <v>89</v>
      </c>
    </row>
    <row r="19" spans="1:14">
      <c r="A19" s="28">
        <v>13</v>
      </c>
      <c r="B19" s="28" t="s">
        <v>1808</v>
      </c>
      <c r="C19" s="7" t="s">
        <v>379</v>
      </c>
      <c r="D19" s="33">
        <v>42042394</v>
      </c>
      <c r="E19" s="33">
        <v>5813649</v>
      </c>
      <c r="F19" s="8">
        <f>INDEX('Rubro por CUI'!$E$5:$E$454,MATCH("001|2357092",'Rubro por CUI'!$N$5:$N$454,0))</f>
        <v>0.0</v>
      </c>
      <c r="G19" s="8">
        <f>INDEX('Rubro por CUI'!$F$5:$F$454,MATCH("001|2357092",'Rubro por CUI'!$N$5:$N$454,0))</f>
        <v>0.0</v>
      </c>
      <c r="H19" s="8">
        <f>INDEX('Rubro por CUI'!$G$5:$G$454,MATCH("001|2357092",'Rubro por CUI'!$N$5:$N$454,0))</f>
        <v>6997430.0</v>
      </c>
      <c r="I19" s="8">
        <f>INDEX('Rubro por CUI'!$H$5:$H$454,MATCH("001|2357092",'Rubro por CUI'!$N$5:$N$454,0))</f>
        <v>0.0</v>
      </c>
      <c r="J19" s="8">
        <f>INDEX('Rubro por CUI'!$I$5:$I$454,MATCH("001|2357092",'Rubro por CUI'!$N$5:$N$454,0))</f>
        <v>0.0</v>
      </c>
      <c r="K19" s="8">
        <f>L19-SUM(F19:J19)</f>
        <v>0.0</v>
      </c>
      <c r="L19" s="8">
        <f>SUMIFS(Base!$N$5:$N$504,Base!$A$5:$A$504,"001",Base!$F$5:$F$504,"2357092")</f>
        <v>6997430.0</v>
      </c>
      <c r="M19" s="8">
        <f>D19-E19-L19</f>
        <v>29231315.0</v>
      </c>
      <c r="N19" s="7" t="s">
        <v>89</v>
      </c>
    </row>
    <row r="20" spans="1:14">
      <c r="A20" s="28">
        <v>14</v>
      </c>
      <c r="B20" s="28" t="s">
        <v>1809</v>
      </c>
      <c r="C20" s="7" t="s">
        <v>383</v>
      </c>
      <c r="D20" s="33">
        <v>11646888</v>
      </c>
      <c r="E20" s="33">
        <v>4919726</v>
      </c>
      <c r="F20" s="8">
        <f>INDEX('Rubro por CUI'!$E$5:$E$454,MATCH("001|2494039",'Rubro por CUI'!$N$5:$N$454,0))</f>
        <v>0.0</v>
      </c>
      <c r="G20" s="8">
        <f>INDEX('Rubro por CUI'!$F$5:$F$454,MATCH("001|2494039",'Rubro por CUI'!$N$5:$N$454,0))</f>
        <v>1378470.0</v>
      </c>
      <c r="H20" s="8">
        <f>INDEX('Rubro por CUI'!$G$5:$G$454,MATCH("001|2494039",'Rubro por CUI'!$N$5:$N$454,0))</f>
        <v>2487115.0</v>
      </c>
      <c r="I20" s="8">
        <f>INDEX('Rubro por CUI'!$H$5:$H$454,MATCH("001|2494039",'Rubro por CUI'!$N$5:$N$454,0))</f>
        <v>2822702.0</v>
      </c>
      <c r="J20" s="8">
        <f>INDEX('Rubro por CUI'!$I$5:$I$454,MATCH("001|2494039",'Rubro por CUI'!$N$5:$N$454,0))</f>
        <v>0.0</v>
      </c>
      <c r="K20" s="8">
        <f>L20-SUM(F20:J20)</f>
        <v>0.0</v>
      </c>
      <c r="L20" s="8">
        <f>SUMIFS(Base!$N$5:$N$504,Base!$A$5:$A$504,"001",Base!$F$5:$F$504,"2494039")</f>
        <v>6688287.0</v>
      </c>
      <c r="M20" s="8">
        <f>D20-E20-L20</f>
        <v>38875.0</v>
      </c>
      <c r="N20" s="7" t="s">
        <v>89</v>
      </c>
    </row>
    <row r="21" spans="1:14">
      <c r="A21" s="28">
        <v>15</v>
      </c>
      <c r="B21" s="28" t="s">
        <v>1810</v>
      </c>
      <c r="C21" s="7" t="s">
        <v>1459</v>
      </c>
      <c r="D21" s="33">
        <v>19114730</v>
      </c>
      <c r="E21" s="33">
        <v>14717548</v>
      </c>
      <c r="F21" s="8">
        <f>INDEX('Rubro por CUI'!$E$5:$E$454,MATCH("001|2611144",'Rubro por CUI'!$N$5:$N$454,0))</f>
        <v>0.0</v>
      </c>
      <c r="G21" s="8">
        <f>INDEX('Rubro por CUI'!$F$5:$F$454,MATCH("001|2611144",'Rubro por CUI'!$N$5:$N$454,0))</f>
        <v>787495.0</v>
      </c>
      <c r="H21" s="8">
        <f>INDEX('Rubro por CUI'!$G$5:$G$454,MATCH("001|2611144",'Rubro por CUI'!$N$5:$N$454,0))</f>
        <v>3431878.0</v>
      </c>
      <c r="I21" s="8">
        <f>INDEX('Rubro por CUI'!$H$5:$H$454,MATCH("001|2611144",'Rubro por CUI'!$N$5:$N$454,0))</f>
        <v>0.0</v>
      </c>
      <c r="J21" s="8">
        <f>INDEX('Rubro por CUI'!$I$5:$I$454,MATCH("001|2611144",'Rubro por CUI'!$N$5:$N$454,0))</f>
        <v>0.0</v>
      </c>
      <c r="K21" s="8">
        <f>L21-SUM(F21:J21)</f>
        <v>0.0</v>
      </c>
      <c r="L21" s="8">
        <f>SUMIFS(Base!$N$5:$N$504,Base!$A$5:$A$504,"001",Base!$F$5:$F$504,"2611144")</f>
        <v>4219373.0</v>
      </c>
      <c r="M21" s="8">
        <f>D21-E21-L21</f>
        <v>177809.0</v>
      </c>
      <c r="N21" s="7" t="s">
        <v>89</v>
      </c>
    </row>
    <row r="22" spans="1:14">
      <c r="A22" s="28">
        <v>16</v>
      </c>
      <c r="B22" s="28" t="s">
        <v>1811</v>
      </c>
      <c r="C22" s="7" t="s">
        <v>565</v>
      </c>
      <c r="D22" s="33">
        <v>106793895</v>
      </c>
      <c r="E22" s="33">
        <v>98606986</v>
      </c>
      <c r="F22" s="8">
        <f>INDEX('Rubro por CUI'!$E$5:$E$454,MATCH("001|2227389",'Rubro por CUI'!$N$5:$N$454,0))</f>
        <v>0.0</v>
      </c>
      <c r="G22" s="8">
        <f>INDEX('Rubro por CUI'!$F$5:$F$454,MATCH("001|2227389",'Rubro por CUI'!$N$5:$N$454,0))</f>
        <v>0.0</v>
      </c>
      <c r="H22" s="8">
        <f>INDEX('Rubro por CUI'!$G$5:$G$454,MATCH("001|2227389",'Rubro por CUI'!$N$5:$N$454,0))</f>
        <v>25106.0</v>
      </c>
      <c r="I22" s="8">
        <f>INDEX('Rubro por CUI'!$H$5:$H$454,MATCH("001|2227389",'Rubro por CUI'!$N$5:$N$454,0))</f>
        <v>0.0</v>
      </c>
      <c r="J22" s="8">
        <f>INDEX('Rubro por CUI'!$I$5:$I$454,MATCH("001|2227389",'Rubro por CUI'!$N$5:$N$454,0))</f>
        <v>4043455.0</v>
      </c>
      <c r="K22" s="8">
        <f>L22-SUM(F22:J22)</f>
        <v>0.0</v>
      </c>
      <c r="L22" s="8">
        <f>SUMIFS(Base!$N$5:$N$504,Base!$A$5:$A$504,"001",Base!$F$5:$F$504,"2227389")</f>
        <v>4068561.0</v>
      </c>
      <c r="M22" s="8">
        <f>D22-E22-L22</f>
        <v>4118348.0</v>
      </c>
      <c r="N22" s="7" t="s">
        <v>89</v>
      </c>
    </row>
    <row r="23" spans="1:14">
      <c r="A23" s="28">
        <v>17</v>
      </c>
      <c r="B23" s="28" t="s">
        <v>1812</v>
      </c>
      <c r="C23" s="7" t="s">
        <v>1483</v>
      </c>
      <c r="D23" s="33">
        <v>4092545</v>
      </c>
      <c r="E23" s="33">
        <v>50982</v>
      </c>
      <c r="F23" s="8">
        <f>INDEX('Rubro por CUI'!$E$5:$E$454,MATCH("001|2693367",'Rubro por CUI'!$N$5:$N$454,0))</f>
        <v>0.0</v>
      </c>
      <c r="G23" s="8">
        <f>INDEX('Rubro por CUI'!$F$5:$F$454,MATCH("001|2693367",'Rubro por CUI'!$N$5:$N$454,0))</f>
        <v>0.0</v>
      </c>
      <c r="H23" s="8">
        <f>INDEX('Rubro por CUI'!$G$5:$G$454,MATCH("001|2693367",'Rubro por CUI'!$N$5:$N$454,0))</f>
        <v>2900000.0</v>
      </c>
      <c r="I23" s="8">
        <f>INDEX('Rubro por CUI'!$H$5:$H$454,MATCH("001|2693367",'Rubro por CUI'!$N$5:$N$454,0))</f>
        <v>1074680.0</v>
      </c>
      <c r="J23" s="8">
        <f>INDEX('Rubro por CUI'!$I$5:$I$454,MATCH("001|2693367",'Rubro por CUI'!$N$5:$N$454,0))</f>
        <v>0.0</v>
      </c>
      <c r="K23" s="8">
        <f>L23-SUM(F23:J23)</f>
        <v>0.0</v>
      </c>
      <c r="L23" s="8">
        <f>SUMIFS(Base!$N$5:$N$504,Base!$A$5:$A$504,"001",Base!$F$5:$F$504,"2693367")</f>
        <v>3974680.0</v>
      </c>
      <c r="M23" s="8">
        <f>D23-E23-L23</f>
        <v>66883.0</v>
      </c>
      <c r="N23" s="7" t="s">
        <v>89</v>
      </c>
    </row>
    <row r="24" spans="1:14">
      <c r="A24" s="28">
        <v>18</v>
      </c>
      <c r="B24" s="28" t="s">
        <v>1813</v>
      </c>
      <c r="C24" s="7" t="s">
        <v>574</v>
      </c>
      <c r="D24" s="33">
        <v>49835557</v>
      </c>
      <c r="E24" s="33">
        <v>45446465</v>
      </c>
      <c r="F24" s="8">
        <f>INDEX('Rubro por CUI'!$E$5:$E$454,MATCH("001|2450812",'Rubro por CUI'!$N$5:$N$454,0))</f>
        <v>0.0</v>
      </c>
      <c r="G24" s="8">
        <f>INDEX('Rubro por CUI'!$F$5:$F$454,MATCH("001|2450812",'Rubro por CUI'!$N$5:$N$454,0))</f>
        <v>2305743.0</v>
      </c>
      <c r="H24" s="8">
        <f>INDEX('Rubro por CUI'!$G$5:$G$454,MATCH("001|2450812",'Rubro por CUI'!$N$5:$N$454,0))</f>
        <v>1561183.0</v>
      </c>
      <c r="I24" s="8">
        <f>INDEX('Rubro por CUI'!$H$5:$H$454,MATCH("001|2450812",'Rubro por CUI'!$N$5:$N$454,0))</f>
        <v>0.0</v>
      </c>
      <c r="J24" s="8">
        <f>INDEX('Rubro por CUI'!$I$5:$I$454,MATCH("001|2450812",'Rubro por CUI'!$N$5:$N$454,0))</f>
        <v>0.0</v>
      </c>
      <c r="K24" s="8">
        <f>L24-SUM(F24:J24)</f>
        <v>0.0</v>
      </c>
      <c r="L24" s="8">
        <f>SUMIFS(Base!$N$5:$N$504,Base!$A$5:$A$504,"001",Base!$F$5:$F$504,"2450812")</f>
        <v>3866926.0</v>
      </c>
      <c r="M24" s="8">
        <f>D24-E24-L24</f>
        <v>522166.0</v>
      </c>
      <c r="N24" s="7" t="s">
        <v>89</v>
      </c>
    </row>
    <row r="25" spans="1:14">
      <c r="A25" s="28">
        <v>19</v>
      </c>
      <c r="B25" s="28" t="s">
        <v>1814</v>
      </c>
      <c r="C25" s="7" t="s">
        <v>1443</v>
      </c>
      <c r="D25" s="33">
        <v>5993824</v>
      </c>
      <c r="E25" s="33">
        <v>19342</v>
      </c>
      <c r="F25" s="8">
        <f>INDEX('Rubro por CUI'!$E$5:$E$454,MATCH("001|2600443",'Rubro por CUI'!$N$5:$N$454,0))</f>
        <v>0.0</v>
      </c>
      <c r="G25" s="8">
        <f>INDEX('Rubro por CUI'!$F$5:$F$454,MATCH("001|2600443",'Rubro por CUI'!$N$5:$N$454,0))</f>
        <v>1138241.0</v>
      </c>
      <c r="H25" s="8">
        <f>INDEX('Rubro por CUI'!$G$5:$G$454,MATCH("001|2600443",'Rubro por CUI'!$N$5:$N$454,0))</f>
        <v>2379719.0</v>
      </c>
      <c r="I25" s="8">
        <f>INDEX('Rubro por CUI'!$H$5:$H$454,MATCH("001|2600443",'Rubro por CUI'!$N$5:$N$454,0))</f>
        <v>0.0</v>
      </c>
      <c r="J25" s="8">
        <f>INDEX('Rubro por CUI'!$I$5:$I$454,MATCH("001|2600443",'Rubro por CUI'!$N$5:$N$454,0))</f>
        <v>0.0</v>
      </c>
      <c r="K25" s="8">
        <f>L25-SUM(F25:J25)</f>
        <v>0.0</v>
      </c>
      <c r="L25" s="8">
        <f>SUMIFS(Base!$N$5:$N$504,Base!$A$5:$A$504,"001",Base!$F$5:$F$504,"2600443")</f>
        <v>3517960.0</v>
      </c>
      <c r="M25" s="8">
        <f>D25-E25-L25</f>
        <v>2456522.0</v>
      </c>
      <c r="N25" s="7" t="s">
        <v>89</v>
      </c>
    </row>
    <row r="26" spans="1:14">
      <c r="A26" s="28">
        <v>20</v>
      </c>
      <c r="B26" s="28" t="s">
        <v>1815</v>
      </c>
      <c r="C26" s="7" t="s">
        <v>387</v>
      </c>
      <c r="D26" s="33">
        <v>5512025</v>
      </c>
      <c r="E26" s="33">
        <v>1934037</v>
      </c>
      <c r="F26" s="8">
        <f>INDEX('Rubro por CUI'!$E$5:$E$454,MATCH("001|2290342",'Rubro por CUI'!$N$5:$N$454,0))</f>
        <v>0.0</v>
      </c>
      <c r="G26" s="8">
        <f>INDEX('Rubro por CUI'!$F$5:$F$454,MATCH("001|2290342",'Rubro por CUI'!$N$5:$N$454,0))</f>
        <v>77657.0</v>
      </c>
      <c r="H26" s="8">
        <f>INDEX('Rubro por CUI'!$G$5:$G$454,MATCH("001|2290342",'Rubro por CUI'!$N$5:$N$454,0))</f>
        <v>3240369.0</v>
      </c>
      <c r="I26" s="8">
        <f>INDEX('Rubro por CUI'!$H$5:$H$454,MATCH("001|2290342",'Rubro por CUI'!$N$5:$N$454,0))</f>
        <v>0.0</v>
      </c>
      <c r="J26" s="8">
        <f>INDEX('Rubro por CUI'!$I$5:$I$454,MATCH("001|2290342",'Rubro por CUI'!$N$5:$N$454,0))</f>
        <v>0.0</v>
      </c>
      <c r="K26" s="8">
        <f>L26-SUM(F26:J26)</f>
        <v>0.0</v>
      </c>
      <c r="L26" s="8">
        <f>SUMIFS(Base!$N$5:$N$504,Base!$A$5:$A$504,"001",Base!$F$5:$F$504,"2290342")</f>
        <v>3318026.0</v>
      </c>
      <c r="M26" s="8">
        <f>D26-E26-L26</f>
        <v>259962.0</v>
      </c>
      <c r="N26" s="7" t="s">
        <v>89</v>
      </c>
    </row>
    <row r="27" spans="1:14">
      <c r="A27" s="28">
        <v>21</v>
      </c>
      <c r="B27" s="28" t="s">
        <v>1816</v>
      </c>
      <c r="C27" s="7" t="s">
        <v>1475</v>
      </c>
      <c r="D27" s="33">
        <v>6870041</v>
      </c>
      <c r="E27" s="33">
        <v>49796</v>
      </c>
      <c r="F27" s="8">
        <f>INDEX('Rubro por CUI'!$E$5:$E$454,MATCH("001|2691682",'Rubro por CUI'!$N$5:$N$454,0))</f>
        <v>0.0</v>
      </c>
      <c r="G27" s="8">
        <f>INDEX('Rubro por CUI'!$F$5:$F$454,MATCH("001|2691682",'Rubro por CUI'!$N$5:$N$454,0))</f>
        <v>0.0</v>
      </c>
      <c r="H27" s="8">
        <f>INDEX('Rubro por CUI'!$G$5:$G$454,MATCH("001|2691682",'Rubro por CUI'!$N$5:$N$454,0))</f>
        <v>2967206.0</v>
      </c>
      <c r="I27" s="8">
        <f>INDEX('Rubro por CUI'!$H$5:$H$454,MATCH("001|2691682",'Rubro por CUI'!$N$5:$N$454,0))</f>
        <v>0.0</v>
      </c>
      <c r="J27" s="8">
        <f>INDEX('Rubro por CUI'!$I$5:$I$454,MATCH("001|2691682",'Rubro por CUI'!$N$5:$N$454,0))</f>
        <v>0.0</v>
      </c>
      <c r="K27" s="8">
        <f>L27-SUM(F27:J27)</f>
        <v>0.0</v>
      </c>
      <c r="L27" s="8">
        <f>SUMIFS(Base!$N$5:$N$504,Base!$A$5:$A$504,"001",Base!$F$5:$F$504,"2691682")</f>
        <v>2967206.0</v>
      </c>
      <c r="M27" s="8">
        <f>D27-E27-L27</f>
        <v>3853039.0</v>
      </c>
      <c r="N27" s="7" t="s">
        <v>89</v>
      </c>
    </row>
    <row r="28" spans="1:14">
      <c r="A28" s="28">
        <v>22</v>
      </c>
      <c r="B28" s="28" t="s">
        <v>1817</v>
      </c>
      <c r="C28" s="7" t="s">
        <v>1436</v>
      </c>
      <c r="D28" s="33">
        <v>2601973</v>
      </c>
      <c r="E28" s="33">
        <v>208561</v>
      </c>
      <c r="F28" s="8">
        <f>INDEX('Rubro por CUI'!$E$5:$E$454,MATCH("001|2567368",'Rubro por CUI'!$N$5:$N$454,0))</f>
        <v>0.0</v>
      </c>
      <c r="G28" s="8">
        <f>INDEX('Rubro por CUI'!$F$5:$F$454,MATCH("001|2567368",'Rubro por CUI'!$N$5:$N$454,0))</f>
        <v>0.0</v>
      </c>
      <c r="H28" s="8">
        <f>INDEX('Rubro por CUI'!$G$5:$G$454,MATCH("001|2567368",'Rubro por CUI'!$N$5:$N$454,0))</f>
        <v>2390440.0</v>
      </c>
      <c r="I28" s="8">
        <f>INDEX('Rubro por CUI'!$H$5:$H$454,MATCH("001|2567368",'Rubro por CUI'!$N$5:$N$454,0))</f>
        <v>0.0</v>
      </c>
      <c r="J28" s="8">
        <f>INDEX('Rubro por CUI'!$I$5:$I$454,MATCH("001|2567368",'Rubro por CUI'!$N$5:$N$454,0))</f>
        <v>0.0</v>
      </c>
      <c r="K28" s="8">
        <f>L28-SUM(F28:J28)</f>
        <v>0.0</v>
      </c>
      <c r="L28" s="8">
        <f>SUMIFS(Base!$N$5:$N$504,Base!$A$5:$A$504,"001",Base!$F$5:$F$504,"2567368")</f>
        <v>2390440.0</v>
      </c>
      <c r="M28" s="8">
        <f>D28-E28-L28</f>
        <v>2972.0</v>
      </c>
      <c r="N28" s="7" t="s">
        <v>89</v>
      </c>
    </row>
    <row r="29" spans="1:14">
      <c r="A29" s="28">
        <v>23</v>
      </c>
      <c r="B29" s="28" t="s">
        <v>1818</v>
      </c>
      <c r="C29" s="7" t="s">
        <v>1478</v>
      </c>
      <c r="D29" s="33">
        <v>6505986</v>
      </c>
      <c r="E29" s="33">
        <v>9802</v>
      </c>
      <c r="F29" s="8">
        <f>INDEX('Rubro por CUI'!$E$5:$E$454,MATCH("001|2711034",'Rubro por CUI'!$N$5:$N$454,0))</f>
        <v>0.0</v>
      </c>
      <c r="G29" s="8">
        <f>INDEX('Rubro por CUI'!$F$5:$F$454,MATCH("001|2711034",'Rubro por CUI'!$N$5:$N$454,0))</f>
        <v>0.0</v>
      </c>
      <c r="H29" s="8">
        <f>INDEX('Rubro por CUI'!$G$5:$G$454,MATCH("001|2711034",'Rubro por CUI'!$N$5:$N$454,0))</f>
        <v>2040218.0</v>
      </c>
      <c r="I29" s="8">
        <f>INDEX('Rubro por CUI'!$H$5:$H$454,MATCH("001|2711034",'Rubro por CUI'!$N$5:$N$454,0))</f>
        <v>0.0</v>
      </c>
      <c r="J29" s="8">
        <f>INDEX('Rubro por CUI'!$I$5:$I$454,MATCH("001|2711034",'Rubro por CUI'!$N$5:$N$454,0))</f>
        <v>0.0</v>
      </c>
      <c r="K29" s="8">
        <f>L29-SUM(F29:J29)</f>
        <v>0.0</v>
      </c>
      <c r="L29" s="8">
        <f>SUMIFS(Base!$N$5:$N$504,Base!$A$5:$A$504,"001",Base!$F$5:$F$504,"2711034")</f>
        <v>2040218.0</v>
      </c>
      <c r="M29" s="8">
        <f>D29-E29-L29</f>
        <v>4455966.0</v>
      </c>
      <c r="N29" s="7" t="s">
        <v>89</v>
      </c>
    </row>
    <row r="30" spans="1:14">
      <c r="A30" s="28">
        <v>24</v>
      </c>
      <c r="B30" s="28" t="s">
        <v>1819</v>
      </c>
      <c r="C30" s="7" t="s">
        <v>752</v>
      </c>
      <c r="D30" s="33">
        <v>16187288</v>
      </c>
      <c r="E30" s="33">
        <v>312095</v>
      </c>
      <c r="F30" s="8">
        <f>INDEX('Rubro por CUI'!$E$5:$E$454,MATCH("001|2599489",'Rubro por CUI'!$N$5:$N$454,0))</f>
        <v>0.0</v>
      </c>
      <c r="G30" s="8">
        <f>INDEX('Rubro por CUI'!$F$5:$F$454,MATCH("001|2599489",'Rubro por CUI'!$N$5:$N$454,0))</f>
        <v>1371247.0</v>
      </c>
      <c r="H30" s="8">
        <f>INDEX('Rubro por CUI'!$G$5:$G$454,MATCH("001|2599489",'Rubro por CUI'!$N$5:$N$454,0))</f>
        <v>379449.0</v>
      </c>
      <c r="I30" s="8">
        <f>INDEX('Rubro por CUI'!$H$5:$H$454,MATCH("001|2599489",'Rubro por CUI'!$N$5:$N$454,0))</f>
        <v>0.0</v>
      </c>
      <c r="J30" s="8">
        <f>INDEX('Rubro por CUI'!$I$5:$I$454,MATCH("001|2599489",'Rubro por CUI'!$N$5:$N$454,0))</f>
        <v>0.0</v>
      </c>
      <c r="K30" s="8">
        <f>L30-SUM(F30:J30)</f>
        <v>0.0</v>
      </c>
      <c r="L30" s="8">
        <f>SUMIFS(Base!$N$5:$N$504,Base!$A$5:$A$504,"001",Base!$F$5:$F$504,"2599489")</f>
        <v>1750696.0</v>
      </c>
      <c r="M30" s="8">
        <f>D30-E30-L30</f>
        <v>14124497.0</v>
      </c>
      <c r="N30" s="7" t="s">
        <v>89</v>
      </c>
    </row>
    <row r="31" spans="1:14">
      <c r="A31" s="28">
        <v>25</v>
      </c>
      <c r="B31" s="28" t="s">
        <v>1820</v>
      </c>
      <c r="C31" s="7" t="s">
        <v>570</v>
      </c>
      <c r="D31" s="33">
        <v>45573974</v>
      </c>
      <c r="E31" s="33">
        <v>0</v>
      </c>
      <c r="F31" s="8">
        <f>INDEX('Rubro por CUI'!$E$5:$E$454,MATCH("001|2657043",'Rubro por CUI'!$N$5:$N$454,0))</f>
        <v>0.0</v>
      </c>
      <c r="G31" s="8">
        <f>INDEX('Rubro por CUI'!$F$5:$F$454,MATCH("001|2657043",'Rubro por CUI'!$N$5:$N$454,0))</f>
        <v>0.0</v>
      </c>
      <c r="H31" s="8">
        <f>INDEX('Rubro por CUI'!$G$5:$G$454,MATCH("001|2657043",'Rubro por CUI'!$N$5:$N$454,0))</f>
        <v>1382457.0</v>
      </c>
      <c r="I31" s="8">
        <f>INDEX('Rubro por CUI'!$H$5:$H$454,MATCH("001|2657043",'Rubro por CUI'!$N$5:$N$454,0))</f>
        <v>0.0</v>
      </c>
      <c r="J31" s="8">
        <f>INDEX('Rubro por CUI'!$I$5:$I$454,MATCH("001|2657043",'Rubro por CUI'!$N$5:$N$454,0))</f>
        <v>0.0</v>
      </c>
      <c r="K31" s="8">
        <f>L31-SUM(F31:J31)</f>
        <v>0.0</v>
      </c>
      <c r="L31" s="8">
        <f>SUMIFS(Base!$N$5:$N$504,Base!$A$5:$A$504,"001",Base!$F$5:$F$504,"2657043")</f>
        <v>1382457.0</v>
      </c>
      <c r="M31" s="8">
        <f>D31-E31-L31</f>
        <v>44191517.0</v>
      </c>
      <c r="N31" s="7" t="s">
        <v>89</v>
      </c>
    </row>
    <row r="32" spans="1:14">
      <c r="A32" s="28">
        <v>26</v>
      </c>
      <c r="B32" s="28" t="s">
        <v>1821</v>
      </c>
      <c r="C32" s="7" t="s">
        <v>1453</v>
      </c>
      <c r="D32" s="33">
        <v>4296409</v>
      </c>
      <c r="E32" s="33">
        <v>98788</v>
      </c>
      <c r="F32" s="8">
        <f>INDEX('Rubro por CUI'!$E$5:$E$454,MATCH("001|2685776",'Rubro por CUI'!$N$5:$N$454,0))</f>
        <v>0.0</v>
      </c>
      <c r="G32" s="8">
        <f>INDEX('Rubro por CUI'!$F$5:$F$454,MATCH("001|2685776",'Rubro por CUI'!$N$5:$N$454,0))</f>
        <v>1027163.0</v>
      </c>
      <c r="H32" s="8">
        <f>INDEX('Rubro por CUI'!$G$5:$G$454,MATCH("001|2685776",'Rubro por CUI'!$N$5:$N$454,0))</f>
        <v>236702.0</v>
      </c>
      <c r="I32" s="8">
        <f>INDEX('Rubro por CUI'!$H$5:$H$454,MATCH("001|2685776",'Rubro por CUI'!$N$5:$N$454,0))</f>
        <v>0.0</v>
      </c>
      <c r="J32" s="8">
        <f>INDEX('Rubro por CUI'!$I$5:$I$454,MATCH("001|2685776",'Rubro por CUI'!$N$5:$N$454,0))</f>
        <v>0.0</v>
      </c>
      <c r="K32" s="8">
        <f>L32-SUM(F32:J32)</f>
        <v>0.0</v>
      </c>
      <c r="L32" s="8">
        <f>SUMIFS(Base!$N$5:$N$504,Base!$A$5:$A$504,"001",Base!$F$5:$F$504,"2685776")</f>
        <v>1263865.0</v>
      </c>
      <c r="M32" s="8">
        <f>D32-E32-L32</f>
        <v>2933756.0</v>
      </c>
      <c r="N32" s="7" t="s">
        <v>89</v>
      </c>
    </row>
    <row r="33" spans="1:14">
      <c r="A33" s="28">
        <v>27</v>
      </c>
      <c r="B33" s="28" t="s">
        <v>1822</v>
      </c>
      <c r="C33" s="7" t="s">
        <v>1465</v>
      </c>
      <c r="D33" s="33">
        <v>1783210</v>
      </c>
      <c r="E33" s="33">
        <v>575356</v>
      </c>
      <c r="F33" s="8">
        <f>INDEX('Rubro por CUI'!$E$5:$E$454,MATCH("001|2668521",'Rubro por CUI'!$N$5:$N$454,0))</f>
        <v>0.0</v>
      </c>
      <c r="G33" s="8">
        <f>INDEX('Rubro por CUI'!$F$5:$F$454,MATCH("001|2668521",'Rubro por CUI'!$N$5:$N$454,0))</f>
        <v>0.0</v>
      </c>
      <c r="H33" s="8">
        <f>INDEX('Rubro por CUI'!$G$5:$G$454,MATCH("001|2668521",'Rubro por CUI'!$N$5:$N$454,0))</f>
        <v>1044621.0</v>
      </c>
      <c r="I33" s="8">
        <f>INDEX('Rubro por CUI'!$H$5:$H$454,MATCH("001|2668521",'Rubro por CUI'!$N$5:$N$454,0))</f>
        <v>130744.0</v>
      </c>
      <c r="J33" s="8">
        <f>INDEX('Rubro por CUI'!$I$5:$I$454,MATCH("001|2668521",'Rubro por CUI'!$N$5:$N$454,0))</f>
        <v>0.0</v>
      </c>
      <c r="K33" s="8">
        <f>L33-SUM(F33:J33)</f>
        <v>0.0</v>
      </c>
      <c r="L33" s="8">
        <f>SUMIFS(Base!$N$5:$N$504,Base!$A$5:$A$504,"001",Base!$F$5:$F$504,"2668521")</f>
        <v>1175365.0</v>
      </c>
      <c r="M33" s="8">
        <f>D33-E33-L33</f>
        <v>32489.0</v>
      </c>
      <c r="N33" s="7" t="s">
        <v>89</v>
      </c>
    </row>
    <row r="34" spans="1:14">
      <c r="A34" s="28">
        <v>28</v>
      </c>
      <c r="B34" s="28" t="s">
        <v>1823</v>
      </c>
      <c r="C34" s="7" t="s">
        <v>559</v>
      </c>
      <c r="D34" s="7" t="s">
        <v>99</v>
      </c>
      <c r="E34" s="7" t="s">
        <v>99</v>
      </c>
      <c r="F34" s="8">
        <f>INDEX('Rubro por CUI'!$E$5:$E$454,MATCH("001|2427364",'Rubro por CUI'!$N$5:$N$454,0))</f>
        <v>0.0</v>
      </c>
      <c r="G34" s="8">
        <f>INDEX('Rubro por CUI'!$F$5:$F$454,MATCH("001|2427364",'Rubro por CUI'!$N$5:$N$454,0))</f>
        <v>0.0</v>
      </c>
      <c r="H34" s="8">
        <f>INDEX('Rubro por CUI'!$G$5:$G$454,MATCH("001|2427364",'Rubro por CUI'!$N$5:$N$454,0))</f>
        <v>966193.0</v>
      </c>
      <c r="I34" s="8">
        <f>INDEX('Rubro por CUI'!$H$5:$H$454,MATCH("001|2427364",'Rubro por CUI'!$N$5:$N$454,0))</f>
        <v>0.0</v>
      </c>
      <c r="J34" s="8">
        <f>INDEX('Rubro por CUI'!$I$5:$I$454,MATCH("001|2427364",'Rubro por CUI'!$N$5:$N$454,0))</f>
        <v>0.0</v>
      </c>
      <c r="K34" s="8">
        <f>L34-SUM(F34:J34)</f>
        <v>0.0</v>
      </c>
      <c r="L34" s="8">
        <f>SUMIFS(Base!$N$5:$N$504,Base!$A$5:$A$504,"001",Base!$F$5:$F$504,"2427364")</f>
        <v>966193.0</v>
      </c>
      <c r="M34" s="7" t="s">
        <v>99</v>
      </c>
      <c r="N34" s="7" t="s">
        <v>1796</v>
      </c>
    </row>
    <row r="35" spans="1:14">
      <c r="A35" s="28">
        <v>29</v>
      </c>
      <c r="B35" s="28" t="s">
        <v>1824</v>
      </c>
      <c r="C35" s="7" t="s">
        <v>759</v>
      </c>
      <c r="D35" s="33">
        <v>41154331</v>
      </c>
      <c r="E35" s="33">
        <v>0</v>
      </c>
      <c r="F35" s="8">
        <f>INDEX('Rubro por CUI'!$E$5:$E$454,MATCH("001|2623878",'Rubro por CUI'!$N$5:$N$454,0))</f>
        <v>0.0</v>
      </c>
      <c r="G35" s="8">
        <f>INDEX('Rubro por CUI'!$F$5:$F$454,MATCH("001|2623878",'Rubro por CUI'!$N$5:$N$454,0))</f>
        <v>0.0</v>
      </c>
      <c r="H35" s="8">
        <f>INDEX('Rubro por CUI'!$G$5:$G$454,MATCH("001|2623878",'Rubro por CUI'!$N$5:$N$454,0))</f>
        <v>656461.0</v>
      </c>
      <c r="I35" s="8">
        <f>INDEX('Rubro por CUI'!$H$5:$H$454,MATCH("001|2623878",'Rubro por CUI'!$N$5:$N$454,0))</f>
        <v>0.0</v>
      </c>
      <c r="J35" s="8">
        <f>INDEX('Rubro por CUI'!$I$5:$I$454,MATCH("001|2623878",'Rubro por CUI'!$N$5:$N$454,0))</f>
        <v>0.0</v>
      </c>
      <c r="K35" s="8">
        <f>L35-SUM(F35:J35)</f>
        <v>0.0</v>
      </c>
      <c r="L35" s="8">
        <f>SUMIFS(Base!$N$5:$N$504,Base!$A$5:$A$504,"001",Base!$F$5:$F$504,"2623878")</f>
        <v>656461.0</v>
      </c>
      <c r="M35" s="8">
        <f>D35-E35-L35</f>
        <v>40497870.0</v>
      </c>
      <c r="N35" s="7" t="s">
        <v>89</v>
      </c>
    </row>
    <row r="36" spans="1:14">
      <c r="A36" s="28">
        <v>30</v>
      </c>
      <c r="B36" s="28" t="s">
        <v>1825</v>
      </c>
      <c r="C36" s="7" t="s">
        <v>737</v>
      </c>
      <c r="D36" s="7" t="s">
        <v>99</v>
      </c>
      <c r="E36" s="7" t="s">
        <v>99</v>
      </c>
      <c r="F36" s="8">
        <f>INDEX('Rubro por CUI'!$E$5:$E$454,MATCH("001|2551456",'Rubro por CUI'!$N$5:$N$454,0))</f>
        <v>0.0</v>
      </c>
      <c r="G36" s="8">
        <f>INDEX('Rubro por CUI'!$F$5:$F$454,MATCH("001|2551456",'Rubro por CUI'!$N$5:$N$454,0))</f>
        <v>0.0</v>
      </c>
      <c r="H36" s="8">
        <f>INDEX('Rubro por CUI'!$G$5:$G$454,MATCH("001|2551456",'Rubro por CUI'!$N$5:$N$454,0))</f>
        <v>654662.0</v>
      </c>
      <c r="I36" s="8">
        <f>INDEX('Rubro por CUI'!$H$5:$H$454,MATCH("001|2551456",'Rubro por CUI'!$N$5:$N$454,0))</f>
        <v>0.0</v>
      </c>
      <c r="J36" s="8">
        <f>INDEX('Rubro por CUI'!$I$5:$I$454,MATCH("001|2551456",'Rubro por CUI'!$N$5:$N$454,0))</f>
        <v>0.0</v>
      </c>
      <c r="K36" s="8">
        <f>L36-SUM(F36:J36)</f>
        <v>0.0</v>
      </c>
      <c r="L36" s="8">
        <f>SUMIFS(Base!$N$5:$N$504,Base!$A$5:$A$504,"001",Base!$F$5:$F$504,"2551456")</f>
        <v>654662.0</v>
      </c>
      <c r="M36" s="7" t="s">
        <v>99</v>
      </c>
      <c r="N36" s="7" t="s">
        <v>1796</v>
      </c>
    </row>
    <row r="37" spans="1:14">
      <c r="A37" s="28">
        <v>31</v>
      </c>
      <c r="B37" s="28" t="s">
        <v>1826</v>
      </c>
      <c r="C37" s="7" t="s">
        <v>763</v>
      </c>
      <c r="D37" s="33">
        <v>35956133</v>
      </c>
      <c r="E37" s="33">
        <v>0</v>
      </c>
      <c r="F37" s="8">
        <f>INDEX('Rubro por CUI'!$E$5:$E$454,MATCH("001|2623879",'Rubro por CUI'!$N$5:$N$454,0))</f>
        <v>0.0</v>
      </c>
      <c r="G37" s="8">
        <f>INDEX('Rubro por CUI'!$F$5:$F$454,MATCH("001|2623879",'Rubro por CUI'!$N$5:$N$454,0))</f>
        <v>0.0</v>
      </c>
      <c r="H37" s="8">
        <f>INDEX('Rubro por CUI'!$G$5:$G$454,MATCH("001|2623879",'Rubro por CUI'!$N$5:$N$454,0))</f>
        <v>606461.0</v>
      </c>
      <c r="I37" s="8">
        <f>INDEX('Rubro por CUI'!$H$5:$H$454,MATCH("001|2623879",'Rubro por CUI'!$N$5:$N$454,0))</f>
        <v>0.0</v>
      </c>
      <c r="J37" s="8">
        <f>INDEX('Rubro por CUI'!$I$5:$I$454,MATCH("001|2623879",'Rubro por CUI'!$N$5:$N$454,0))</f>
        <v>0.0</v>
      </c>
      <c r="K37" s="8">
        <f>L37-SUM(F37:J37)</f>
        <v>0.0</v>
      </c>
      <c r="L37" s="8">
        <f>SUMIFS(Base!$N$5:$N$504,Base!$A$5:$A$504,"001",Base!$F$5:$F$504,"2623879")</f>
        <v>606461.0</v>
      </c>
      <c r="M37" s="8">
        <f>D37-E37-L37</f>
        <v>35349672.0</v>
      </c>
      <c r="N37" s="7" t="s">
        <v>89</v>
      </c>
    </row>
    <row r="38" spans="1:14">
      <c r="A38" s="28">
        <v>32</v>
      </c>
      <c r="B38" s="28" t="s">
        <v>1827</v>
      </c>
      <c r="C38" s="7" t="s">
        <v>577</v>
      </c>
      <c r="D38" s="33">
        <v>8561610</v>
      </c>
      <c r="E38" s="33">
        <v>3026129</v>
      </c>
      <c r="F38" s="8">
        <f>INDEX('Rubro por CUI'!$E$5:$E$454,MATCH("001|2308220",'Rubro por CUI'!$N$5:$N$454,0))</f>
        <v>0.0</v>
      </c>
      <c r="G38" s="8">
        <f>INDEX('Rubro por CUI'!$F$5:$F$454,MATCH("001|2308220",'Rubro por CUI'!$N$5:$N$454,0))</f>
        <v>0.0</v>
      </c>
      <c r="H38" s="8">
        <f>INDEX('Rubro por CUI'!$G$5:$G$454,MATCH("001|2308220",'Rubro por CUI'!$N$5:$N$454,0))</f>
        <v>407088.0</v>
      </c>
      <c r="I38" s="8">
        <f>INDEX('Rubro por CUI'!$H$5:$H$454,MATCH("001|2308220",'Rubro por CUI'!$N$5:$N$454,0))</f>
        <v>0.0</v>
      </c>
      <c r="J38" s="8">
        <f>INDEX('Rubro por CUI'!$I$5:$I$454,MATCH("001|2308220",'Rubro por CUI'!$N$5:$N$454,0))</f>
        <v>0.0</v>
      </c>
      <c r="K38" s="8">
        <f>L38-SUM(F38:J38)</f>
        <v>0.0</v>
      </c>
      <c r="L38" s="8">
        <f>SUMIFS(Base!$N$5:$N$504,Base!$A$5:$A$504,"001",Base!$F$5:$F$504,"2308220")</f>
        <v>407088.0</v>
      </c>
      <c r="M38" s="8">
        <f>D38-E38-L38</f>
        <v>5128393.0</v>
      </c>
      <c r="N38" s="7" t="s">
        <v>89</v>
      </c>
    </row>
    <row r="39" spans="1:14">
      <c r="A39" s="28">
        <v>33</v>
      </c>
      <c r="B39" s="28" t="s">
        <v>1828</v>
      </c>
      <c r="C39" s="7" t="s">
        <v>1468</v>
      </c>
      <c r="D39" s="33">
        <v>31357909</v>
      </c>
      <c r="E39" s="33">
        <v>29982868</v>
      </c>
      <c r="F39" s="8">
        <f>INDEX('Rubro por CUI'!$E$5:$E$454,MATCH("001|2613817",'Rubro por CUI'!$N$5:$N$454,0))</f>
        <v>0.0</v>
      </c>
      <c r="G39" s="8">
        <f>INDEX('Rubro por CUI'!$F$5:$F$454,MATCH("001|2613817",'Rubro por CUI'!$N$5:$N$454,0))</f>
        <v>0.0</v>
      </c>
      <c r="H39" s="8">
        <f>INDEX('Rubro por CUI'!$G$5:$G$454,MATCH("001|2613817",'Rubro por CUI'!$N$5:$N$454,0))</f>
        <v>392605.0</v>
      </c>
      <c r="I39" s="8">
        <f>INDEX('Rubro por CUI'!$H$5:$H$454,MATCH("001|2613817",'Rubro por CUI'!$N$5:$N$454,0))</f>
        <v>0.0</v>
      </c>
      <c r="J39" s="8">
        <f>INDEX('Rubro por CUI'!$I$5:$I$454,MATCH("001|2613817",'Rubro por CUI'!$N$5:$N$454,0))</f>
        <v>0.0</v>
      </c>
      <c r="K39" s="8">
        <f>L39-SUM(F39:J39)</f>
        <v>0.0</v>
      </c>
      <c r="L39" s="8">
        <f>SUMIFS(Base!$N$5:$N$504,Base!$A$5:$A$504,"001",Base!$F$5:$F$504,"2613817")</f>
        <v>392605.0</v>
      </c>
      <c r="M39" s="8">
        <f>D39-E39-L39</f>
        <v>982436.0</v>
      </c>
      <c r="N39" s="7" t="s">
        <v>89</v>
      </c>
    </row>
    <row r="40" spans="1:14">
      <c r="A40" s="28">
        <v>34</v>
      </c>
      <c r="B40" s="28" t="s">
        <v>1829</v>
      </c>
      <c r="C40" s="7" t="s">
        <v>799</v>
      </c>
      <c r="D40" s="33">
        <v>4287781</v>
      </c>
      <c r="E40" s="33">
        <v>23839</v>
      </c>
      <c r="F40" s="8">
        <f>INDEX('Rubro por CUI'!$E$5:$E$454,MATCH("001|2658003",'Rubro por CUI'!$N$5:$N$454,0))</f>
        <v>0.0</v>
      </c>
      <c r="G40" s="8">
        <f>INDEX('Rubro por CUI'!$F$5:$F$454,MATCH("001|2658003",'Rubro por CUI'!$N$5:$N$454,0))</f>
        <v>0.0</v>
      </c>
      <c r="H40" s="8">
        <f>INDEX('Rubro por CUI'!$G$5:$G$454,MATCH("001|2658003",'Rubro por CUI'!$N$5:$N$454,0))</f>
        <v>340317.0</v>
      </c>
      <c r="I40" s="8">
        <f>INDEX('Rubro por CUI'!$H$5:$H$454,MATCH("001|2658003",'Rubro por CUI'!$N$5:$N$454,0))</f>
        <v>0.0</v>
      </c>
      <c r="J40" s="8">
        <f>INDEX('Rubro por CUI'!$I$5:$I$454,MATCH("001|2658003",'Rubro por CUI'!$N$5:$N$454,0))</f>
        <v>0.0</v>
      </c>
      <c r="K40" s="8">
        <f>L40-SUM(F40:J40)</f>
        <v>0.0</v>
      </c>
      <c r="L40" s="8">
        <f>SUMIFS(Base!$N$5:$N$504,Base!$A$5:$A$504,"001",Base!$F$5:$F$504,"2658003")</f>
        <v>340317.0</v>
      </c>
      <c r="M40" s="8">
        <f>D40-E40-L40</f>
        <v>3923625.0</v>
      </c>
      <c r="N40" s="7" t="s">
        <v>89</v>
      </c>
    </row>
    <row r="41" spans="1:14">
      <c r="A41" s="28">
        <v>35</v>
      </c>
      <c r="B41" s="28" t="s">
        <v>1830</v>
      </c>
      <c r="C41" s="7" t="s">
        <v>790</v>
      </c>
      <c r="D41" s="33">
        <v>2780218</v>
      </c>
      <c r="E41" s="33">
        <v>13312</v>
      </c>
      <c r="F41" s="8">
        <f>INDEX('Rubro por CUI'!$E$5:$E$454,MATCH("001|2649790",'Rubro por CUI'!$N$5:$N$454,0))</f>
        <v>0.0</v>
      </c>
      <c r="G41" s="8">
        <f>INDEX('Rubro por CUI'!$F$5:$F$454,MATCH("001|2649790",'Rubro por CUI'!$N$5:$N$454,0))</f>
        <v>0.0</v>
      </c>
      <c r="H41" s="8">
        <f>INDEX('Rubro por CUI'!$G$5:$G$454,MATCH("001|2649790",'Rubro por CUI'!$N$5:$N$454,0))</f>
        <v>304060.0</v>
      </c>
      <c r="I41" s="8">
        <f>INDEX('Rubro por CUI'!$H$5:$H$454,MATCH("001|2649790",'Rubro por CUI'!$N$5:$N$454,0))</f>
        <v>0.0</v>
      </c>
      <c r="J41" s="8">
        <f>INDEX('Rubro por CUI'!$I$5:$I$454,MATCH("001|2649790",'Rubro por CUI'!$N$5:$N$454,0))</f>
        <v>0.0</v>
      </c>
      <c r="K41" s="8">
        <f>L41-SUM(F41:J41)</f>
        <v>0.0</v>
      </c>
      <c r="L41" s="8">
        <f>SUMIFS(Base!$N$5:$N$504,Base!$A$5:$A$504,"001",Base!$F$5:$F$504,"2649790")</f>
        <v>304060.0</v>
      </c>
      <c r="M41" s="8">
        <f>D41-E41-L41</f>
        <v>2462846.0</v>
      </c>
      <c r="N41" s="7" t="s">
        <v>89</v>
      </c>
    </row>
    <row r="42" spans="1:14">
      <c r="A42" s="28">
        <v>36</v>
      </c>
      <c r="B42" s="28" t="s">
        <v>1831</v>
      </c>
      <c r="C42" s="7" t="s">
        <v>1586</v>
      </c>
      <c r="D42" s="33">
        <v>35809218</v>
      </c>
      <c r="E42" s="33">
        <v>0</v>
      </c>
      <c r="F42" s="8">
        <f>INDEX('Rubro por CUI'!$E$5:$E$454,MATCH("001|2662519",'Rubro por CUI'!$N$5:$N$454,0))</f>
        <v>0.0</v>
      </c>
      <c r="G42" s="8">
        <f>INDEX('Rubro por CUI'!$F$5:$F$454,MATCH("001|2662519",'Rubro por CUI'!$N$5:$N$454,0))</f>
        <v>0.0</v>
      </c>
      <c r="H42" s="8">
        <f>INDEX('Rubro por CUI'!$G$5:$G$454,MATCH("001|2662519",'Rubro por CUI'!$N$5:$N$454,0))</f>
        <v>282553.0</v>
      </c>
      <c r="I42" s="8">
        <f>INDEX('Rubro por CUI'!$H$5:$H$454,MATCH("001|2662519",'Rubro por CUI'!$N$5:$N$454,0))</f>
        <v>0.0</v>
      </c>
      <c r="J42" s="8">
        <f>INDEX('Rubro por CUI'!$I$5:$I$454,MATCH("001|2662519",'Rubro por CUI'!$N$5:$N$454,0))</f>
        <v>0.0</v>
      </c>
      <c r="K42" s="8">
        <f>L42-SUM(F42:J42)</f>
        <v>0.0</v>
      </c>
      <c r="L42" s="8">
        <f>SUMIFS(Base!$N$5:$N$504,Base!$A$5:$A$504,"001",Base!$F$5:$F$504,"2662519")</f>
        <v>282553.0</v>
      </c>
      <c r="M42" s="8">
        <f>D42-E42-L42</f>
        <v>35526665.0</v>
      </c>
      <c r="N42" s="7" t="s">
        <v>89</v>
      </c>
    </row>
    <row r="43" spans="1:14">
      <c r="A43" s="28">
        <v>37</v>
      </c>
      <c r="B43" s="28" t="s">
        <v>1832</v>
      </c>
      <c r="C43" s="7" t="s">
        <v>730</v>
      </c>
      <c r="D43" s="33">
        <v>30034470</v>
      </c>
      <c r="E43" s="33">
        <v>719219</v>
      </c>
      <c r="F43" s="8">
        <f>INDEX('Rubro por CUI'!$E$5:$E$454,MATCH("001|2476464",'Rubro por CUI'!$N$5:$N$454,0))</f>
        <v>0.0</v>
      </c>
      <c r="G43" s="8">
        <f>INDEX('Rubro por CUI'!$F$5:$F$454,MATCH("001|2476464",'Rubro por CUI'!$N$5:$N$454,0))</f>
        <v>0.0</v>
      </c>
      <c r="H43" s="8">
        <f>INDEX('Rubro por CUI'!$G$5:$G$454,MATCH("001|2476464",'Rubro por CUI'!$N$5:$N$454,0))</f>
        <v>184669.0</v>
      </c>
      <c r="I43" s="8">
        <f>INDEX('Rubro por CUI'!$H$5:$H$454,MATCH("001|2476464",'Rubro por CUI'!$N$5:$N$454,0))</f>
        <v>0.0</v>
      </c>
      <c r="J43" s="8">
        <f>INDEX('Rubro por CUI'!$I$5:$I$454,MATCH("001|2476464",'Rubro por CUI'!$N$5:$N$454,0))</f>
        <v>0.0</v>
      </c>
      <c r="K43" s="8">
        <f>L43-SUM(F43:J43)</f>
        <v>0.0</v>
      </c>
      <c r="L43" s="8">
        <f>SUMIFS(Base!$N$5:$N$504,Base!$A$5:$A$504,"001",Base!$F$5:$F$504,"2476464")</f>
        <v>184669.0</v>
      </c>
      <c r="M43" s="8">
        <f>D43-E43-L43</f>
        <v>29130582.0</v>
      </c>
      <c r="N43" s="7" t="s">
        <v>89</v>
      </c>
    </row>
    <row r="44" spans="1:14">
      <c r="A44" s="28">
        <v>38</v>
      </c>
      <c r="B44" s="28" t="s">
        <v>1833</v>
      </c>
      <c r="C44" s="7" t="s">
        <v>81</v>
      </c>
      <c r="D44" s="33">
        <v>139379920</v>
      </c>
      <c r="E44" s="33">
        <v>91151956</v>
      </c>
      <c r="F44" s="8">
        <f>INDEX('Rubro por CUI'!$E$5:$E$454,MATCH("001|2108576",'Rubro por CUI'!$N$5:$N$454,0))</f>
        <v>0.0</v>
      </c>
      <c r="G44" s="8">
        <f>INDEX('Rubro por CUI'!$F$5:$F$454,MATCH("001|2108576",'Rubro por CUI'!$N$5:$N$454,0))</f>
        <v>0.0</v>
      </c>
      <c r="H44" s="8">
        <f>INDEX('Rubro por CUI'!$G$5:$G$454,MATCH("001|2108576",'Rubro por CUI'!$N$5:$N$454,0))</f>
        <v>167354.0</v>
      </c>
      <c r="I44" s="8">
        <f>INDEX('Rubro por CUI'!$H$5:$H$454,MATCH("001|2108576",'Rubro por CUI'!$N$5:$N$454,0))</f>
        <v>0.0</v>
      </c>
      <c r="J44" s="8">
        <f>INDEX('Rubro por CUI'!$I$5:$I$454,MATCH("001|2108576",'Rubro por CUI'!$N$5:$N$454,0))</f>
        <v>0.0</v>
      </c>
      <c r="K44" s="8">
        <f>L44-SUM(F44:J44)</f>
        <v>0.0</v>
      </c>
      <c r="L44" s="8">
        <f>SUMIFS(Base!$N$5:$N$504,Base!$A$5:$A$504,"001",Base!$F$5:$F$504,"2108576")</f>
        <v>167354.0</v>
      </c>
      <c r="M44" s="8">
        <f>D44-E44-L44</f>
        <v>48060610.0</v>
      </c>
      <c r="N44" s="7" t="s">
        <v>89</v>
      </c>
    </row>
    <row r="45" spans="1:14">
      <c r="A45" s="28">
        <v>39</v>
      </c>
      <c r="B45" s="28" t="s">
        <v>1834</v>
      </c>
      <c r="C45" s="7" t="s">
        <v>1472</v>
      </c>
      <c r="D45" s="33">
        <v>6345012</v>
      </c>
      <c r="E45" s="33">
        <v>49798</v>
      </c>
      <c r="F45" s="8">
        <f>INDEX('Rubro por CUI'!$E$5:$E$454,MATCH("001|2692846",'Rubro por CUI'!$N$5:$N$454,0))</f>
        <v>0.0</v>
      </c>
      <c r="G45" s="8">
        <f>INDEX('Rubro por CUI'!$F$5:$F$454,MATCH("001|2692846",'Rubro por CUI'!$N$5:$N$454,0))</f>
        <v>0.0</v>
      </c>
      <c r="H45" s="8">
        <f>INDEX('Rubro por CUI'!$G$5:$G$454,MATCH("001|2692846",'Rubro por CUI'!$N$5:$N$454,0))</f>
        <v>167074.0</v>
      </c>
      <c r="I45" s="8">
        <f>INDEX('Rubro por CUI'!$H$5:$H$454,MATCH("001|2692846",'Rubro por CUI'!$N$5:$N$454,0))</f>
        <v>0.0</v>
      </c>
      <c r="J45" s="8">
        <f>INDEX('Rubro por CUI'!$I$5:$I$454,MATCH("001|2692846",'Rubro por CUI'!$N$5:$N$454,0))</f>
        <v>0.0</v>
      </c>
      <c r="K45" s="8">
        <f>L45-SUM(F45:J45)</f>
        <v>0.0</v>
      </c>
      <c r="L45" s="8">
        <f>SUMIFS(Base!$N$5:$N$504,Base!$A$5:$A$504,"001",Base!$F$5:$F$504,"2692846")</f>
        <v>167074.0</v>
      </c>
      <c r="M45" s="8">
        <f>D45-E45-L45</f>
        <v>6128140.0</v>
      </c>
      <c r="N45" s="7" t="s">
        <v>89</v>
      </c>
    </row>
    <row r="46" spans="1:14">
      <c r="A46" s="28">
        <v>40</v>
      </c>
      <c r="B46" s="28" t="s">
        <v>1835</v>
      </c>
      <c r="C46" s="7" t="s">
        <v>749</v>
      </c>
      <c r="D46" s="33">
        <v>38899304</v>
      </c>
      <c r="E46" s="33">
        <v>484453</v>
      </c>
      <c r="F46" s="8">
        <f>INDEX('Rubro por CUI'!$E$5:$E$454,MATCH("001|2594994",'Rubro por CUI'!$N$5:$N$454,0))</f>
        <v>0.0</v>
      </c>
      <c r="G46" s="8">
        <f>INDEX('Rubro por CUI'!$F$5:$F$454,MATCH("001|2594994",'Rubro por CUI'!$N$5:$N$454,0))</f>
        <v>0.0</v>
      </c>
      <c r="H46" s="8">
        <f>INDEX('Rubro por CUI'!$G$5:$G$454,MATCH("001|2594994",'Rubro por CUI'!$N$5:$N$454,0))</f>
        <v>154665.0</v>
      </c>
      <c r="I46" s="8">
        <f>INDEX('Rubro por CUI'!$H$5:$H$454,MATCH("001|2594994",'Rubro por CUI'!$N$5:$N$454,0))</f>
        <v>0.0</v>
      </c>
      <c r="J46" s="8">
        <f>INDEX('Rubro por CUI'!$I$5:$I$454,MATCH("001|2594994",'Rubro por CUI'!$N$5:$N$454,0))</f>
        <v>0.0</v>
      </c>
      <c r="K46" s="8">
        <f>L46-SUM(F46:J46)</f>
        <v>0.0</v>
      </c>
      <c r="L46" s="8">
        <f>SUMIFS(Base!$N$5:$N$504,Base!$A$5:$A$504,"001",Base!$F$5:$F$504,"2594994")</f>
        <v>154665.0</v>
      </c>
      <c r="M46" s="8">
        <f>D46-E46-L46</f>
        <v>38260186.0</v>
      </c>
      <c r="N46" s="7" t="s">
        <v>89</v>
      </c>
    </row>
    <row r="47" spans="1:14">
      <c r="A47" s="28">
        <v>41</v>
      </c>
      <c r="B47" s="28" t="s">
        <v>1836</v>
      </c>
      <c r="C47" s="7" t="s">
        <v>600</v>
      </c>
      <c r="D47" s="33">
        <v>7724196</v>
      </c>
      <c r="E47" s="33">
        <v>0</v>
      </c>
      <c r="F47" s="8">
        <f>INDEX('Rubro por CUI'!$E$5:$E$454,MATCH("001|2681074",'Rubro por CUI'!$N$5:$N$454,0))</f>
        <v>0.0</v>
      </c>
      <c r="G47" s="8">
        <f>INDEX('Rubro por CUI'!$F$5:$F$454,MATCH("001|2681074",'Rubro por CUI'!$N$5:$N$454,0))</f>
        <v>0.0</v>
      </c>
      <c r="H47" s="8">
        <f>INDEX('Rubro por CUI'!$G$5:$G$454,MATCH("001|2681074",'Rubro por CUI'!$N$5:$N$454,0))</f>
        <v>0.0</v>
      </c>
      <c r="I47" s="8">
        <f>INDEX('Rubro por CUI'!$H$5:$H$454,MATCH("001|2681074",'Rubro por CUI'!$N$5:$N$454,0))</f>
        <v>150000.0</v>
      </c>
      <c r="J47" s="8">
        <f>INDEX('Rubro por CUI'!$I$5:$I$454,MATCH("001|2681074",'Rubro por CUI'!$N$5:$N$454,0))</f>
        <v>0.0</v>
      </c>
      <c r="K47" s="8">
        <f>L47-SUM(F47:J47)</f>
        <v>0.0</v>
      </c>
      <c r="L47" s="8">
        <f>SUMIFS(Base!$N$5:$N$504,Base!$A$5:$A$504,"001",Base!$F$5:$F$504,"2681074")</f>
        <v>150000.0</v>
      </c>
      <c r="M47" s="8">
        <f>D47-E47-L47</f>
        <v>7574196.0</v>
      </c>
      <c r="N47" s="7" t="s">
        <v>89</v>
      </c>
    </row>
    <row r="48" spans="1:14">
      <c r="A48" s="28">
        <v>42</v>
      </c>
      <c r="B48" s="28" t="s">
        <v>1837</v>
      </c>
      <c r="C48" s="7" t="s">
        <v>597</v>
      </c>
      <c r="D48" s="33">
        <v>1743263</v>
      </c>
      <c r="E48" s="33">
        <v>15134</v>
      </c>
      <c r="F48" s="8">
        <f>INDEX('Rubro por CUI'!$E$5:$E$454,MATCH("001|2699927",'Rubro por CUI'!$N$5:$N$454,0))</f>
        <v>0.0</v>
      </c>
      <c r="G48" s="8">
        <f>INDEX('Rubro por CUI'!$F$5:$F$454,MATCH("001|2699927",'Rubro por CUI'!$N$5:$N$454,0))</f>
        <v>0.0</v>
      </c>
      <c r="H48" s="8">
        <f>INDEX('Rubro por CUI'!$G$5:$G$454,MATCH("001|2699927",'Rubro por CUI'!$N$5:$N$454,0))</f>
        <v>123816.0</v>
      </c>
      <c r="I48" s="8">
        <f>INDEX('Rubro por CUI'!$H$5:$H$454,MATCH("001|2699927",'Rubro por CUI'!$N$5:$N$454,0))</f>
        <v>0.0</v>
      </c>
      <c r="J48" s="8">
        <f>INDEX('Rubro por CUI'!$I$5:$I$454,MATCH("001|2699927",'Rubro por CUI'!$N$5:$N$454,0))</f>
        <v>0.0</v>
      </c>
      <c r="K48" s="8">
        <f>L48-SUM(F48:J48)</f>
        <v>0.0</v>
      </c>
      <c r="L48" s="8">
        <f>SUMIFS(Base!$N$5:$N$504,Base!$A$5:$A$504,"001",Base!$F$5:$F$504,"2699927")</f>
        <v>123816.0</v>
      </c>
      <c r="M48" s="8">
        <f>D48-E48-L48</f>
        <v>1604313.0</v>
      </c>
      <c r="N48" s="7" t="s">
        <v>89</v>
      </c>
    </row>
    <row r="49" spans="1:14">
      <c r="A49" s="28">
        <v>43</v>
      </c>
      <c r="B49" s="28" t="s">
        <v>1838</v>
      </c>
      <c r="C49" s="7" t="s">
        <v>1498</v>
      </c>
      <c r="D49" s="7" t="s">
        <v>99</v>
      </c>
      <c r="E49" s="7" t="s">
        <v>99</v>
      </c>
      <c r="F49" s="8">
        <f>INDEX('Rubro por CUI'!$E$5:$E$454,MATCH("001|2695768",'Rubro por CUI'!$N$5:$N$454,0))</f>
        <v>0.0</v>
      </c>
      <c r="G49" s="8">
        <f>INDEX('Rubro por CUI'!$F$5:$F$454,MATCH("001|2695768",'Rubro por CUI'!$N$5:$N$454,0))</f>
        <v>0.0</v>
      </c>
      <c r="H49" s="8">
        <f>INDEX('Rubro por CUI'!$G$5:$G$454,MATCH("001|2695768",'Rubro por CUI'!$N$5:$N$454,0))</f>
        <v>114255.0</v>
      </c>
      <c r="I49" s="8">
        <f>INDEX('Rubro por CUI'!$H$5:$H$454,MATCH("001|2695768",'Rubro por CUI'!$N$5:$N$454,0))</f>
        <v>0.0</v>
      </c>
      <c r="J49" s="8">
        <f>INDEX('Rubro por CUI'!$I$5:$I$454,MATCH("001|2695768",'Rubro por CUI'!$N$5:$N$454,0))</f>
        <v>0.0</v>
      </c>
      <c r="K49" s="8">
        <f>L49-SUM(F49:J49)</f>
        <v>0.0</v>
      </c>
      <c r="L49" s="8">
        <f>SUMIFS(Base!$N$5:$N$504,Base!$A$5:$A$504,"001",Base!$F$5:$F$504,"2695768")</f>
        <v>114255.0</v>
      </c>
      <c r="M49" s="7" t="s">
        <v>99</v>
      </c>
      <c r="N49" s="7" t="s">
        <v>1796</v>
      </c>
    </row>
    <row r="50" spans="1:14">
      <c r="A50" s="28">
        <v>44</v>
      </c>
      <c r="B50" s="28" t="s">
        <v>1839</v>
      </c>
      <c r="C50" s="7" t="s">
        <v>743</v>
      </c>
      <c r="D50" s="33">
        <v>45907158</v>
      </c>
      <c r="E50" s="33">
        <v>9919</v>
      </c>
      <c r="F50" s="8">
        <f>INDEX('Rubro por CUI'!$E$5:$E$454,MATCH("001|2578405",'Rubro por CUI'!$N$5:$N$454,0))</f>
        <v>0.0</v>
      </c>
      <c r="G50" s="8">
        <f>INDEX('Rubro por CUI'!$F$5:$F$454,MATCH("001|2578405",'Rubro por CUI'!$N$5:$N$454,0))</f>
        <v>0.0</v>
      </c>
      <c r="H50" s="8">
        <f>INDEX('Rubro por CUI'!$G$5:$G$454,MATCH("001|2578405",'Rubro por CUI'!$N$5:$N$454,0))</f>
        <v>100000.0</v>
      </c>
      <c r="I50" s="8">
        <f>INDEX('Rubro por CUI'!$H$5:$H$454,MATCH("001|2578405",'Rubro por CUI'!$N$5:$N$454,0))</f>
        <v>0.0</v>
      </c>
      <c r="J50" s="8">
        <f>INDEX('Rubro por CUI'!$I$5:$I$454,MATCH("001|2578405",'Rubro por CUI'!$N$5:$N$454,0))</f>
        <v>0.0</v>
      </c>
      <c r="K50" s="8">
        <f>L50-SUM(F50:J50)</f>
        <v>0.0</v>
      </c>
      <c r="L50" s="8">
        <f>SUMIFS(Base!$N$5:$N$504,Base!$A$5:$A$504,"001",Base!$F$5:$F$504,"2578405")</f>
        <v>100000.0</v>
      </c>
      <c r="M50" s="8">
        <f>D50-E50-L50</f>
        <v>45797239.0</v>
      </c>
      <c r="N50" s="7" t="s">
        <v>89</v>
      </c>
    </row>
    <row r="51" spans="1:14">
      <c r="A51" s="28">
        <v>45</v>
      </c>
      <c r="B51" s="28" t="s">
        <v>1840</v>
      </c>
      <c r="C51" s="7" t="s">
        <v>1602</v>
      </c>
      <c r="D51" s="33">
        <v>12824561</v>
      </c>
      <c r="E51" s="33">
        <v>0</v>
      </c>
      <c r="F51" s="8">
        <f>INDEX('Rubro por CUI'!$E$5:$E$454,MATCH("001|2681141",'Rubro por CUI'!$N$5:$N$454,0))</f>
        <v>0.0</v>
      </c>
      <c r="G51" s="8">
        <f>INDEX('Rubro por CUI'!$F$5:$F$454,MATCH("001|2681141",'Rubro por CUI'!$N$5:$N$454,0))</f>
        <v>0.0</v>
      </c>
      <c r="H51" s="8">
        <f>INDEX('Rubro por CUI'!$G$5:$G$454,MATCH("001|2681141",'Rubro por CUI'!$N$5:$N$454,0))</f>
        <v>0.0</v>
      </c>
      <c r="I51" s="8">
        <f>INDEX('Rubro por CUI'!$H$5:$H$454,MATCH("001|2681141",'Rubro por CUI'!$N$5:$N$454,0))</f>
        <v>100000.0</v>
      </c>
      <c r="J51" s="8">
        <f>INDEX('Rubro por CUI'!$I$5:$I$454,MATCH("001|2681141",'Rubro por CUI'!$N$5:$N$454,0))</f>
        <v>0.0</v>
      </c>
      <c r="K51" s="8">
        <f>L51-SUM(F51:J51)</f>
        <v>0.0</v>
      </c>
      <c r="L51" s="8">
        <f>SUMIFS(Base!$N$5:$N$504,Base!$A$5:$A$504,"001",Base!$F$5:$F$504,"2681141")</f>
        <v>100000.0</v>
      </c>
      <c r="M51" s="8">
        <f>D51-E51-L51</f>
        <v>12724561.0</v>
      </c>
      <c r="N51" s="7" t="s">
        <v>89</v>
      </c>
    </row>
    <row r="52" spans="1:14">
      <c r="A52" s="28">
        <v>46</v>
      </c>
      <c r="B52" s="28" t="s">
        <v>1841</v>
      </c>
      <c r="C52" s="7" t="s">
        <v>734</v>
      </c>
      <c r="D52" s="33">
        <v>18274830</v>
      </c>
      <c r="E52" s="33">
        <v>650331</v>
      </c>
      <c r="F52" s="8">
        <f>INDEX('Rubro por CUI'!$E$5:$E$454,MATCH("001|2517448",'Rubro por CUI'!$N$5:$N$454,0))</f>
        <v>0.0</v>
      </c>
      <c r="G52" s="8">
        <f>INDEX('Rubro por CUI'!$F$5:$F$454,MATCH("001|2517448",'Rubro por CUI'!$N$5:$N$454,0))</f>
        <v>0.0</v>
      </c>
      <c r="H52" s="8">
        <f>INDEX('Rubro por CUI'!$G$5:$G$454,MATCH("001|2517448",'Rubro por CUI'!$N$5:$N$454,0))</f>
        <v>83062.0</v>
      </c>
      <c r="I52" s="8">
        <f>INDEX('Rubro por CUI'!$H$5:$H$454,MATCH("001|2517448",'Rubro por CUI'!$N$5:$N$454,0))</f>
        <v>0.0</v>
      </c>
      <c r="J52" s="8">
        <f>INDEX('Rubro por CUI'!$I$5:$I$454,MATCH("001|2517448",'Rubro por CUI'!$N$5:$N$454,0))</f>
        <v>0.0</v>
      </c>
      <c r="K52" s="8">
        <f>L52-SUM(F52:J52)</f>
        <v>0.0</v>
      </c>
      <c r="L52" s="8">
        <f>SUMIFS(Base!$N$5:$N$504,Base!$A$5:$A$504,"001",Base!$F$5:$F$504,"2517448")</f>
        <v>83062.0</v>
      </c>
      <c r="M52" s="8">
        <f>D52-E52-L52</f>
        <v>17541437.0</v>
      </c>
      <c r="N52" s="7" t="s">
        <v>89</v>
      </c>
    </row>
    <row r="53" spans="1:14">
      <c r="A53" s="28">
        <v>47</v>
      </c>
      <c r="B53" s="28" t="s">
        <v>1842</v>
      </c>
      <c r="C53" s="7" t="s">
        <v>740</v>
      </c>
      <c r="D53" s="33">
        <v>28827777</v>
      </c>
      <c r="E53" s="33">
        <v>952971</v>
      </c>
      <c r="F53" s="8">
        <f>INDEX('Rubro por CUI'!$E$5:$E$454,MATCH("001|2570943",'Rubro por CUI'!$N$5:$N$454,0))</f>
        <v>0.0</v>
      </c>
      <c r="G53" s="8">
        <f>INDEX('Rubro por CUI'!$F$5:$F$454,MATCH("001|2570943",'Rubro por CUI'!$N$5:$N$454,0))</f>
        <v>0.0</v>
      </c>
      <c r="H53" s="8">
        <f>INDEX('Rubro por CUI'!$G$5:$G$454,MATCH("001|2570943",'Rubro por CUI'!$N$5:$N$454,0))</f>
        <v>82568.0</v>
      </c>
      <c r="I53" s="8">
        <f>INDEX('Rubro por CUI'!$H$5:$H$454,MATCH("001|2570943",'Rubro por CUI'!$N$5:$N$454,0))</f>
        <v>0.0</v>
      </c>
      <c r="J53" s="8">
        <f>INDEX('Rubro por CUI'!$I$5:$I$454,MATCH("001|2570943",'Rubro por CUI'!$N$5:$N$454,0))</f>
        <v>0.0</v>
      </c>
      <c r="K53" s="8">
        <f>L53-SUM(F53:J53)</f>
        <v>0.0</v>
      </c>
      <c r="L53" s="8">
        <f>SUMIFS(Base!$N$5:$N$504,Base!$A$5:$A$504,"001",Base!$F$5:$F$504,"2570943")</f>
        <v>82568.0</v>
      </c>
      <c r="M53" s="8">
        <f>D53-E53-L53</f>
        <v>27792238.0</v>
      </c>
      <c r="N53" s="7" t="s">
        <v>89</v>
      </c>
    </row>
    <row r="54" spans="1:14">
      <c r="A54" s="28">
        <v>48</v>
      </c>
      <c r="B54" s="28" t="s">
        <v>1843</v>
      </c>
      <c r="C54" s="7" t="s">
        <v>775</v>
      </c>
      <c r="D54" s="33">
        <v>2982411</v>
      </c>
      <c r="E54" s="33">
        <v>193359</v>
      </c>
      <c r="F54" s="8">
        <f>INDEX('Rubro por CUI'!$E$5:$E$454,MATCH("001|2649780",'Rubro por CUI'!$N$5:$N$454,0))</f>
        <v>0.0</v>
      </c>
      <c r="G54" s="8">
        <f>INDEX('Rubro por CUI'!$F$5:$F$454,MATCH("001|2649780",'Rubro por CUI'!$N$5:$N$454,0))</f>
        <v>0.0</v>
      </c>
      <c r="H54" s="8">
        <f>INDEX('Rubro por CUI'!$G$5:$G$454,MATCH("001|2649780",'Rubro por CUI'!$N$5:$N$454,0))</f>
        <v>82042.0</v>
      </c>
      <c r="I54" s="8">
        <f>INDEX('Rubro por CUI'!$H$5:$H$454,MATCH("001|2649780",'Rubro por CUI'!$N$5:$N$454,0))</f>
        <v>0.0</v>
      </c>
      <c r="J54" s="8">
        <f>INDEX('Rubro por CUI'!$I$5:$I$454,MATCH("001|2649780",'Rubro por CUI'!$N$5:$N$454,0))</f>
        <v>0.0</v>
      </c>
      <c r="K54" s="8">
        <f>L54-SUM(F54:J54)</f>
        <v>0.0</v>
      </c>
      <c r="L54" s="8">
        <f>SUMIFS(Base!$N$5:$N$504,Base!$A$5:$A$504,"001",Base!$F$5:$F$504,"2649780")</f>
        <v>82042.0</v>
      </c>
      <c r="M54" s="8">
        <f>D54-E54-L54</f>
        <v>2707010.0</v>
      </c>
      <c r="N54" s="7" t="s">
        <v>89</v>
      </c>
    </row>
    <row r="55" spans="1:14">
      <c r="A55" s="28">
        <v>49</v>
      </c>
      <c r="B55" s="28" t="s">
        <v>1844</v>
      </c>
      <c r="C55" s="7" t="s">
        <v>1486</v>
      </c>
      <c r="D55" s="7" t="s">
        <v>99</v>
      </c>
      <c r="E55" s="7" t="s">
        <v>99</v>
      </c>
      <c r="F55" s="8">
        <f>INDEX('Rubro por CUI'!$E$5:$E$454,MATCH("001|2707256",'Rubro por CUI'!$N$5:$N$454,0))</f>
        <v>0.0</v>
      </c>
      <c r="G55" s="8">
        <f>INDEX('Rubro por CUI'!$F$5:$F$454,MATCH("001|2707256",'Rubro por CUI'!$N$5:$N$454,0))</f>
        <v>0.0</v>
      </c>
      <c r="H55" s="8">
        <f>INDEX('Rubro por CUI'!$G$5:$G$454,MATCH("001|2707256",'Rubro por CUI'!$N$5:$N$454,0))</f>
        <v>80738.0</v>
      </c>
      <c r="I55" s="8">
        <f>INDEX('Rubro por CUI'!$H$5:$H$454,MATCH("001|2707256",'Rubro por CUI'!$N$5:$N$454,0))</f>
        <v>0.0</v>
      </c>
      <c r="J55" s="8">
        <f>INDEX('Rubro por CUI'!$I$5:$I$454,MATCH("001|2707256",'Rubro por CUI'!$N$5:$N$454,0))</f>
        <v>0.0</v>
      </c>
      <c r="K55" s="8">
        <f>L55-SUM(F55:J55)</f>
        <v>0.0</v>
      </c>
      <c r="L55" s="8">
        <f>SUMIFS(Base!$N$5:$N$504,Base!$A$5:$A$504,"001",Base!$F$5:$F$504,"2707256")</f>
        <v>80738.0</v>
      </c>
      <c r="M55" s="7" t="s">
        <v>99</v>
      </c>
      <c r="N55" s="7" t="s">
        <v>1796</v>
      </c>
    </row>
    <row r="56" spans="1:14">
      <c r="A56" s="28">
        <v>50</v>
      </c>
      <c r="B56" s="28" t="s">
        <v>1845</v>
      </c>
      <c r="C56" s="7" t="s">
        <v>781</v>
      </c>
      <c r="D56" s="33">
        <v>2951562</v>
      </c>
      <c r="E56" s="33">
        <v>172240</v>
      </c>
      <c r="F56" s="8">
        <f>INDEX('Rubro por CUI'!$E$5:$E$454,MATCH("001|2649786",'Rubro por CUI'!$N$5:$N$454,0))</f>
        <v>0.0</v>
      </c>
      <c r="G56" s="8">
        <f>INDEX('Rubro por CUI'!$F$5:$F$454,MATCH("001|2649786",'Rubro por CUI'!$N$5:$N$454,0))</f>
        <v>0.0</v>
      </c>
      <c r="H56" s="8">
        <f>INDEX('Rubro por CUI'!$G$5:$G$454,MATCH("001|2649786",'Rubro por CUI'!$N$5:$N$454,0))</f>
        <v>72190.0</v>
      </c>
      <c r="I56" s="8">
        <f>INDEX('Rubro por CUI'!$H$5:$H$454,MATCH("001|2649786",'Rubro por CUI'!$N$5:$N$454,0))</f>
        <v>0.0</v>
      </c>
      <c r="J56" s="8">
        <f>INDEX('Rubro por CUI'!$I$5:$I$454,MATCH("001|2649786",'Rubro por CUI'!$N$5:$N$454,0))</f>
        <v>0.0</v>
      </c>
      <c r="K56" s="8">
        <f>L56-SUM(F56:J56)</f>
        <v>0.0</v>
      </c>
      <c r="L56" s="8">
        <f>SUMIFS(Base!$N$5:$N$504,Base!$A$5:$A$504,"001",Base!$F$5:$F$504,"2649786")</f>
        <v>72190.0</v>
      </c>
      <c r="M56" s="8">
        <f>D56-E56-L56</f>
        <v>2707132.0</v>
      </c>
      <c r="N56" s="7" t="s">
        <v>89</v>
      </c>
    </row>
    <row r="57" spans="1:14">
      <c r="A57" s="28">
        <v>51</v>
      </c>
      <c r="B57" s="28" t="s">
        <v>1846</v>
      </c>
      <c r="C57" s="7" t="s">
        <v>784</v>
      </c>
      <c r="D57" s="33">
        <v>2972555</v>
      </c>
      <c r="E57" s="33">
        <v>213553</v>
      </c>
      <c r="F57" s="8">
        <f>INDEX('Rubro por CUI'!$E$5:$E$454,MATCH("001|2649788",'Rubro por CUI'!$N$5:$N$454,0))</f>
        <v>0.0</v>
      </c>
      <c r="G57" s="8">
        <f>INDEX('Rubro por CUI'!$F$5:$F$454,MATCH("001|2649788",'Rubro por CUI'!$N$5:$N$454,0))</f>
        <v>0.0</v>
      </c>
      <c r="H57" s="8">
        <f>INDEX('Rubro por CUI'!$G$5:$G$454,MATCH("001|2649788",'Rubro por CUI'!$N$5:$N$454,0))</f>
        <v>69837.0</v>
      </c>
      <c r="I57" s="8">
        <f>INDEX('Rubro por CUI'!$H$5:$H$454,MATCH("001|2649788",'Rubro por CUI'!$N$5:$N$454,0))</f>
        <v>0.0</v>
      </c>
      <c r="J57" s="8">
        <f>INDEX('Rubro por CUI'!$I$5:$I$454,MATCH("001|2649788",'Rubro por CUI'!$N$5:$N$454,0))</f>
        <v>0.0</v>
      </c>
      <c r="K57" s="8">
        <f>L57-SUM(F57:J57)</f>
        <v>0.0</v>
      </c>
      <c r="L57" s="8">
        <f>SUMIFS(Base!$N$5:$N$504,Base!$A$5:$A$504,"001",Base!$F$5:$F$504,"2649788")</f>
        <v>69837.0</v>
      </c>
      <c r="M57" s="8">
        <f>D57-E57-L57</f>
        <v>2689165.0</v>
      </c>
      <c r="N57" s="7" t="s">
        <v>89</v>
      </c>
    </row>
    <row r="58" spans="1:14">
      <c r="A58" s="28">
        <v>52</v>
      </c>
      <c r="B58" s="28" t="s">
        <v>1847</v>
      </c>
      <c r="C58" s="7" t="s">
        <v>769</v>
      </c>
      <c r="D58" s="33">
        <v>2781791</v>
      </c>
      <c r="E58" s="33">
        <v>180556</v>
      </c>
      <c r="F58" s="8">
        <f>INDEX('Rubro por CUI'!$E$5:$E$454,MATCH("001|2649778",'Rubro por CUI'!$N$5:$N$454,0))</f>
        <v>0.0</v>
      </c>
      <c r="G58" s="8">
        <f>INDEX('Rubro por CUI'!$F$5:$F$454,MATCH("001|2649778",'Rubro por CUI'!$N$5:$N$454,0))</f>
        <v>0.0</v>
      </c>
      <c r="H58" s="8">
        <f>INDEX('Rubro por CUI'!$G$5:$G$454,MATCH("001|2649778",'Rubro por CUI'!$N$5:$N$454,0))</f>
        <v>50000.0</v>
      </c>
      <c r="I58" s="8">
        <f>INDEX('Rubro por CUI'!$H$5:$H$454,MATCH("001|2649778",'Rubro por CUI'!$N$5:$N$454,0))</f>
        <v>0.0</v>
      </c>
      <c r="J58" s="8">
        <f>INDEX('Rubro por CUI'!$I$5:$I$454,MATCH("001|2649778",'Rubro por CUI'!$N$5:$N$454,0))</f>
        <v>0.0</v>
      </c>
      <c r="K58" s="8">
        <f>L58-SUM(F58:J58)</f>
        <v>0.0</v>
      </c>
      <c r="L58" s="8">
        <f>SUMIFS(Base!$N$5:$N$504,Base!$A$5:$A$504,"001",Base!$F$5:$F$504,"2649778")</f>
        <v>50000.0</v>
      </c>
      <c r="M58" s="8">
        <f>D58-E58-L58</f>
        <v>2551235.0</v>
      </c>
      <c r="N58" s="7" t="s">
        <v>89</v>
      </c>
    </row>
    <row r="59" spans="1:14">
      <c r="A59" s="28">
        <v>53</v>
      </c>
      <c r="B59" s="28" t="s">
        <v>1848</v>
      </c>
      <c r="C59" s="7" t="s">
        <v>787</v>
      </c>
      <c r="D59" s="33">
        <v>2938428</v>
      </c>
      <c r="E59" s="33">
        <v>217701</v>
      </c>
      <c r="F59" s="8">
        <f>INDEX('Rubro por CUI'!$E$5:$E$454,MATCH("001|2649789",'Rubro por CUI'!$N$5:$N$454,0))</f>
        <v>0.0</v>
      </c>
      <c r="G59" s="8">
        <f>INDEX('Rubro por CUI'!$F$5:$F$454,MATCH("001|2649789",'Rubro por CUI'!$N$5:$N$454,0))</f>
        <v>0.0</v>
      </c>
      <c r="H59" s="8">
        <f>INDEX('Rubro por CUI'!$G$5:$G$454,MATCH("001|2649789",'Rubro por CUI'!$N$5:$N$454,0))</f>
        <v>50000.0</v>
      </c>
      <c r="I59" s="8">
        <f>INDEX('Rubro por CUI'!$H$5:$H$454,MATCH("001|2649789",'Rubro por CUI'!$N$5:$N$454,0))</f>
        <v>0.0</v>
      </c>
      <c r="J59" s="8">
        <f>INDEX('Rubro por CUI'!$I$5:$I$454,MATCH("001|2649789",'Rubro por CUI'!$N$5:$N$454,0))</f>
        <v>0.0</v>
      </c>
      <c r="K59" s="8">
        <f>L59-SUM(F59:J59)</f>
        <v>0.0</v>
      </c>
      <c r="L59" s="8">
        <f>SUMIFS(Base!$N$5:$N$504,Base!$A$5:$A$504,"001",Base!$F$5:$F$504,"2649789")</f>
        <v>50000.0</v>
      </c>
      <c r="M59" s="8">
        <f>D59-E59-L59</f>
        <v>2670727.0</v>
      </c>
      <c r="N59" s="7" t="s">
        <v>89</v>
      </c>
    </row>
    <row r="60" spans="1:14">
      <c r="A60" s="28">
        <v>54</v>
      </c>
      <c r="B60" s="28" t="s">
        <v>1849</v>
      </c>
      <c r="C60" s="7" t="s">
        <v>1507</v>
      </c>
      <c r="D60" s="7" t="s">
        <v>99</v>
      </c>
      <c r="E60" s="7" t="s">
        <v>99</v>
      </c>
      <c r="F60" s="8">
        <f>INDEX('Rubro por CUI'!$E$5:$E$454,MATCH("001|2694772",'Rubro por CUI'!$N$5:$N$454,0))</f>
        <v>0.0</v>
      </c>
      <c r="G60" s="8">
        <f>INDEX('Rubro por CUI'!$F$5:$F$454,MATCH("001|2694772",'Rubro por CUI'!$N$5:$N$454,0))</f>
        <v>0.0</v>
      </c>
      <c r="H60" s="8">
        <f>INDEX('Rubro por CUI'!$G$5:$G$454,MATCH("001|2694772",'Rubro por CUI'!$N$5:$N$454,0))</f>
        <v>39485.0</v>
      </c>
      <c r="I60" s="8">
        <f>INDEX('Rubro por CUI'!$H$5:$H$454,MATCH("001|2694772",'Rubro por CUI'!$N$5:$N$454,0))</f>
        <v>0.0</v>
      </c>
      <c r="J60" s="8">
        <f>INDEX('Rubro por CUI'!$I$5:$I$454,MATCH("001|2694772",'Rubro por CUI'!$N$5:$N$454,0))</f>
        <v>0.0</v>
      </c>
      <c r="K60" s="8">
        <f>L60-SUM(F60:J60)</f>
        <v>0.0</v>
      </c>
      <c r="L60" s="8">
        <f>SUMIFS(Base!$N$5:$N$504,Base!$A$5:$A$504,"001",Base!$F$5:$F$504,"2694772")</f>
        <v>39485.0</v>
      </c>
      <c r="M60" s="7" t="s">
        <v>99</v>
      </c>
      <c r="N60" s="7" t="s">
        <v>1796</v>
      </c>
    </row>
    <row r="61" spans="1:14">
      <c r="A61" s="28">
        <v>55</v>
      </c>
      <c r="B61" s="28" t="s">
        <v>1850</v>
      </c>
      <c r="C61" s="7" t="s">
        <v>1502</v>
      </c>
      <c r="D61" s="7" t="s">
        <v>99</v>
      </c>
      <c r="E61" s="7" t="s">
        <v>99</v>
      </c>
      <c r="F61" s="8">
        <f>INDEX('Rubro por CUI'!$E$5:$E$454,MATCH("001|2694640",'Rubro por CUI'!$N$5:$N$454,0))</f>
        <v>0.0</v>
      </c>
      <c r="G61" s="8">
        <f>INDEX('Rubro por CUI'!$F$5:$F$454,MATCH("001|2694640",'Rubro por CUI'!$N$5:$N$454,0))</f>
        <v>0.0</v>
      </c>
      <c r="H61" s="8">
        <f>INDEX('Rubro por CUI'!$G$5:$G$454,MATCH("001|2694640",'Rubro por CUI'!$N$5:$N$454,0))</f>
        <v>36445.0</v>
      </c>
      <c r="I61" s="8">
        <f>INDEX('Rubro por CUI'!$H$5:$H$454,MATCH("001|2694640",'Rubro por CUI'!$N$5:$N$454,0))</f>
        <v>0.0</v>
      </c>
      <c r="J61" s="8">
        <f>INDEX('Rubro por CUI'!$I$5:$I$454,MATCH("001|2694640",'Rubro por CUI'!$N$5:$N$454,0))</f>
        <v>0.0</v>
      </c>
      <c r="K61" s="8">
        <f>L61-SUM(F61:J61)</f>
        <v>0.0</v>
      </c>
      <c r="L61" s="8">
        <f>SUMIFS(Base!$N$5:$N$504,Base!$A$5:$A$504,"001",Base!$F$5:$F$504,"2694640")</f>
        <v>36445.0</v>
      </c>
      <c r="M61" s="7" t="s">
        <v>99</v>
      </c>
      <c r="N61" s="7" t="s">
        <v>1796</v>
      </c>
    </row>
    <row r="62" spans="1:14">
      <c r="A62" s="28">
        <v>56</v>
      </c>
      <c r="B62" s="28" t="s">
        <v>1851</v>
      </c>
      <c r="C62" s="7" t="s">
        <v>1449</v>
      </c>
      <c r="D62" s="33">
        <v>7847467</v>
      </c>
      <c r="E62" s="33">
        <v>25099</v>
      </c>
      <c r="F62" s="8">
        <f>INDEX('Rubro por CUI'!$E$5:$E$454,MATCH("001|2684028",'Rubro por CUI'!$N$5:$N$454,0))</f>
        <v>0.0</v>
      </c>
      <c r="G62" s="8">
        <f>INDEX('Rubro por CUI'!$F$5:$F$454,MATCH("001|2684028",'Rubro por CUI'!$N$5:$N$454,0))</f>
        <v>0.0</v>
      </c>
      <c r="H62" s="8">
        <f>INDEX('Rubro por CUI'!$G$5:$G$454,MATCH("001|2684028",'Rubro por CUI'!$N$5:$N$454,0))</f>
        <v>31336.0</v>
      </c>
      <c r="I62" s="8">
        <f>INDEX('Rubro por CUI'!$H$5:$H$454,MATCH("001|2684028",'Rubro por CUI'!$N$5:$N$454,0))</f>
        <v>0.0</v>
      </c>
      <c r="J62" s="8">
        <f>INDEX('Rubro por CUI'!$I$5:$I$454,MATCH("001|2684028",'Rubro por CUI'!$N$5:$N$454,0))</f>
        <v>0.0</v>
      </c>
      <c r="K62" s="8">
        <f>L62-SUM(F62:J62)</f>
        <v>0.0</v>
      </c>
      <c r="L62" s="8">
        <f>SUMIFS(Base!$N$5:$N$504,Base!$A$5:$A$504,"001",Base!$F$5:$F$504,"2684028")</f>
        <v>31336.0</v>
      </c>
      <c r="M62" s="8">
        <f>D62-E62-L62</f>
        <v>7791032.0</v>
      </c>
      <c r="N62" s="7" t="s">
        <v>89</v>
      </c>
    </row>
    <row r="63" spans="1:14">
      <c r="A63" s="28">
        <v>57</v>
      </c>
      <c r="B63" s="28" t="s">
        <v>1852</v>
      </c>
      <c r="C63" s="7" t="s">
        <v>1512</v>
      </c>
      <c r="D63" s="7" t="s">
        <v>99</v>
      </c>
      <c r="E63" s="7" t="s">
        <v>99</v>
      </c>
      <c r="F63" s="8">
        <f>INDEX('Rubro por CUI'!$E$5:$E$454,MATCH("001|2733644",'Rubro por CUI'!$N$5:$N$454,0))</f>
        <v>0.0</v>
      </c>
      <c r="G63" s="8">
        <f>INDEX('Rubro por CUI'!$F$5:$F$454,MATCH("001|2733644",'Rubro por CUI'!$N$5:$N$454,0))</f>
        <v>0.0</v>
      </c>
      <c r="H63" s="8">
        <f>INDEX('Rubro por CUI'!$G$5:$G$454,MATCH("001|2733644",'Rubro por CUI'!$N$5:$N$454,0))</f>
        <v>25610.0</v>
      </c>
      <c r="I63" s="8">
        <f>INDEX('Rubro por CUI'!$H$5:$H$454,MATCH("001|2733644",'Rubro por CUI'!$N$5:$N$454,0))</f>
        <v>0.0</v>
      </c>
      <c r="J63" s="8">
        <f>INDEX('Rubro por CUI'!$I$5:$I$454,MATCH("001|2733644",'Rubro por CUI'!$N$5:$N$454,0))</f>
        <v>0.0</v>
      </c>
      <c r="K63" s="8">
        <f>L63-SUM(F63:J63)</f>
        <v>0.0</v>
      </c>
      <c r="L63" s="8">
        <f>SUMIFS(Base!$N$5:$N$504,Base!$A$5:$A$504,"001",Base!$F$5:$F$504,"2733644")</f>
        <v>25610.0</v>
      </c>
      <c r="M63" s="7" t="s">
        <v>99</v>
      </c>
      <c r="N63" s="7" t="s">
        <v>1796</v>
      </c>
    </row>
    <row r="64" spans="1:14">
      <c r="A64" s="28">
        <v>58</v>
      </c>
      <c r="B64" s="28" t="s">
        <v>1853</v>
      </c>
      <c r="C64" s="7" t="s">
        <v>1439</v>
      </c>
      <c r="D64" s="33">
        <v>5257013</v>
      </c>
      <c r="E64" s="33">
        <v>5071855</v>
      </c>
      <c r="F64" s="8">
        <f>INDEX('Rubro por CUI'!$E$5:$E$454,MATCH("001|2567375",'Rubro por CUI'!$N$5:$N$454,0))</f>
        <v>0.0</v>
      </c>
      <c r="G64" s="8">
        <f>INDEX('Rubro por CUI'!$F$5:$F$454,MATCH("001|2567375",'Rubro por CUI'!$N$5:$N$454,0))</f>
        <v>0.0</v>
      </c>
      <c r="H64" s="8">
        <f>INDEX('Rubro por CUI'!$G$5:$G$454,MATCH("001|2567375",'Rubro por CUI'!$N$5:$N$454,0))</f>
        <v>20600.0</v>
      </c>
      <c r="I64" s="8">
        <f>INDEX('Rubro por CUI'!$H$5:$H$454,MATCH("001|2567375",'Rubro por CUI'!$N$5:$N$454,0))</f>
        <v>0.0</v>
      </c>
      <c r="J64" s="8">
        <f>INDEX('Rubro por CUI'!$I$5:$I$454,MATCH("001|2567375",'Rubro por CUI'!$N$5:$N$454,0))</f>
        <v>0.0</v>
      </c>
      <c r="K64" s="8">
        <f>L64-SUM(F64:J64)</f>
        <v>0.0</v>
      </c>
      <c r="L64" s="8">
        <f>SUMIFS(Base!$N$5:$N$504,Base!$A$5:$A$504,"001",Base!$F$5:$F$504,"2567375")</f>
        <v>20600.0</v>
      </c>
      <c r="M64" s="8">
        <f>D64-E64-L64</f>
        <v>164558.0</v>
      </c>
      <c r="N64" s="7" t="s">
        <v>89</v>
      </c>
    </row>
    <row r="65" spans="1:14">
      <c r="A65" s="28">
        <v>59</v>
      </c>
      <c r="B65" s="28" t="s">
        <v>1854</v>
      </c>
      <c r="C65" s="7" t="s">
        <v>1492</v>
      </c>
      <c r="D65" s="33">
        <v>443418</v>
      </c>
      <c r="E65" s="33">
        <v>416404</v>
      </c>
      <c r="F65" s="8">
        <f>INDEX('Rubro por CUI'!$E$5:$E$454,MATCH("001|2531093",'Rubro por CUI'!$N$5:$N$454,0))</f>
        <v>0.0</v>
      </c>
      <c r="G65" s="8">
        <f>INDEX('Rubro por CUI'!$F$5:$F$454,MATCH("001|2531093",'Rubro por CUI'!$N$5:$N$454,0))</f>
        <v>0.0</v>
      </c>
      <c r="H65" s="8">
        <f>INDEX('Rubro por CUI'!$G$5:$G$454,MATCH("001|2531093",'Rubro por CUI'!$N$5:$N$454,0))</f>
        <v>13758.0</v>
      </c>
      <c r="I65" s="8">
        <f>INDEX('Rubro por CUI'!$H$5:$H$454,MATCH("001|2531093",'Rubro por CUI'!$N$5:$N$454,0))</f>
        <v>0.0</v>
      </c>
      <c r="J65" s="8">
        <f>INDEX('Rubro por CUI'!$I$5:$I$454,MATCH("001|2531093",'Rubro por CUI'!$N$5:$N$454,0))</f>
        <v>0.0</v>
      </c>
      <c r="K65" s="8">
        <f>L65-SUM(F65:J65)</f>
        <v>0.0</v>
      </c>
      <c r="L65" s="8">
        <f>SUMIFS(Base!$N$5:$N$504,Base!$A$5:$A$504,"001",Base!$F$5:$F$504,"2531093")</f>
        <v>13758.0</v>
      </c>
      <c r="M65" s="8">
        <f>D65-E65-L65</f>
        <v>13256.0</v>
      </c>
      <c r="N65" s="7" t="s">
        <v>89</v>
      </c>
    </row>
    <row r="66" spans="1:14">
      <c r="A66" s="28">
        <v>60</v>
      </c>
      <c r="B66" s="28" t="s">
        <v>1855</v>
      </c>
      <c r="C66" s="7" t="s">
        <v>1495</v>
      </c>
      <c r="D66" s="33">
        <v>5554650</v>
      </c>
      <c r="E66" s="33">
        <v>5516737</v>
      </c>
      <c r="F66" s="8">
        <f>INDEX('Rubro por CUI'!$E$5:$E$454,MATCH("001|2639523",'Rubro por CUI'!$N$5:$N$454,0))</f>
        <v>0.0</v>
      </c>
      <c r="G66" s="8">
        <f>INDEX('Rubro por CUI'!$F$5:$F$454,MATCH("001|2639523",'Rubro por CUI'!$N$5:$N$454,0))</f>
        <v>0.0</v>
      </c>
      <c r="H66" s="8">
        <f>INDEX('Rubro por CUI'!$G$5:$G$454,MATCH("001|2639523",'Rubro por CUI'!$N$5:$N$454,0))</f>
        <v>10277.0</v>
      </c>
      <c r="I66" s="8">
        <f>INDEX('Rubro por CUI'!$H$5:$H$454,MATCH("001|2639523",'Rubro por CUI'!$N$5:$N$454,0))</f>
        <v>0.0</v>
      </c>
      <c r="J66" s="8">
        <f>INDEX('Rubro por CUI'!$I$5:$I$454,MATCH("001|2639523",'Rubro por CUI'!$N$5:$N$454,0))</f>
        <v>0.0</v>
      </c>
      <c r="K66" s="8">
        <f>L66-SUM(F66:J66)</f>
        <v>0.0</v>
      </c>
      <c r="L66" s="8">
        <f>SUMIFS(Base!$N$5:$N$504,Base!$A$5:$A$504,"001",Base!$F$5:$F$504,"2639523")</f>
        <v>10277.0</v>
      </c>
      <c r="M66" s="8">
        <f>D66-E66-L66</f>
        <v>27636.0</v>
      </c>
      <c r="N66" s="7" t="s">
        <v>89</v>
      </c>
    </row>
    <row r="67" spans="1:14">
      <c r="A67" s="28">
        <v>61</v>
      </c>
      <c r="B67" s="28" t="s">
        <v>1856</v>
      </c>
      <c r="C67" s="7" t="s">
        <v>392</v>
      </c>
      <c r="D67" s="33">
        <v>46367641</v>
      </c>
      <c r="E67" s="33">
        <v>1709482</v>
      </c>
      <c r="F67" s="8">
        <f>INDEX('Rubro por CUI'!$E$5:$E$454,MATCH("001|2451529",'Rubro por CUI'!$N$5:$N$454,0))</f>
        <v>0.0</v>
      </c>
      <c r="G67" s="8">
        <f>INDEX('Rubro por CUI'!$F$5:$F$454,MATCH("001|2451529",'Rubro por CUI'!$N$5:$N$454,0))</f>
        <v>0.0</v>
      </c>
      <c r="H67" s="8">
        <f>INDEX('Rubro por CUI'!$G$5:$G$454,MATCH("001|2451529",'Rubro por CUI'!$N$5:$N$454,0))</f>
        <v>0.0</v>
      </c>
      <c r="I67" s="8">
        <f>INDEX('Rubro por CUI'!$H$5:$H$454,MATCH("001|2451529",'Rubro por CUI'!$N$5:$N$454,0))</f>
        <v>0.0</v>
      </c>
      <c r="J67" s="8">
        <f>INDEX('Rubro por CUI'!$I$5:$I$454,MATCH("001|2451529",'Rubro por CUI'!$N$5:$N$454,0))</f>
        <v>0.0</v>
      </c>
      <c r="K67" s="8">
        <f>L67-SUM(F67:J67)</f>
        <v>0.0</v>
      </c>
      <c r="L67" s="8">
        <f>SUMIFS(Base!$N$5:$N$504,Base!$A$5:$A$504,"001",Base!$F$5:$F$504,"2451529")</f>
        <v>0.0</v>
      </c>
      <c r="M67" s="8">
        <f>D67-E67-L67</f>
        <v>44658159.0</v>
      </c>
      <c r="N67" s="7" t="s">
        <v>89</v>
      </c>
    </row>
    <row r="68" spans="1:14">
      <c r="A68" s="28">
        <v>62</v>
      </c>
      <c r="B68" s="28" t="s">
        <v>1857</v>
      </c>
      <c r="C68" s="7" t="s">
        <v>727</v>
      </c>
      <c r="D68" s="33">
        <v>237836345</v>
      </c>
      <c r="E68" s="33">
        <v>1660119</v>
      </c>
      <c r="F68" s="8">
        <f>INDEX('Rubro por CUI'!$E$5:$E$454,MATCH("001|2380088",'Rubro por CUI'!$N$5:$N$454,0))</f>
        <v>0.0</v>
      </c>
      <c r="G68" s="8">
        <f>INDEX('Rubro por CUI'!$F$5:$F$454,MATCH("001|2380088",'Rubro por CUI'!$N$5:$N$454,0))</f>
        <v>0.0</v>
      </c>
      <c r="H68" s="8">
        <f>INDEX('Rubro por CUI'!$G$5:$G$454,MATCH("001|2380088",'Rubro por CUI'!$N$5:$N$454,0))</f>
        <v>0.0</v>
      </c>
      <c r="I68" s="8">
        <f>INDEX('Rubro por CUI'!$H$5:$H$454,MATCH("001|2380088",'Rubro por CUI'!$N$5:$N$454,0))</f>
        <v>0.0</v>
      </c>
      <c r="J68" s="8">
        <f>INDEX('Rubro por CUI'!$I$5:$I$454,MATCH("001|2380088",'Rubro por CUI'!$N$5:$N$454,0))</f>
        <v>0.0</v>
      </c>
      <c r="K68" s="8">
        <f>L68-SUM(F68:J68)</f>
        <v>0.0</v>
      </c>
      <c r="L68" s="8">
        <f>SUMIFS(Base!$N$5:$N$504,Base!$A$5:$A$504,"001",Base!$F$5:$F$504,"2380088")</f>
        <v>0.0</v>
      </c>
      <c r="M68" s="8">
        <f>D68-E68-L68</f>
        <v>236176226.0</v>
      </c>
      <c r="N68" s="7" t="s">
        <v>89</v>
      </c>
    </row>
    <row r="69" spans="1:14">
      <c r="A69" s="28">
        <v>63</v>
      </c>
      <c r="B69" s="28" t="s">
        <v>1858</v>
      </c>
      <c r="C69" s="7" t="s">
        <v>746</v>
      </c>
      <c r="D69" s="33">
        <v>34839869</v>
      </c>
      <c r="E69" s="33">
        <v>0</v>
      </c>
      <c r="F69" s="8">
        <f>INDEX('Rubro por CUI'!$E$5:$E$454,MATCH("001|2585395",'Rubro por CUI'!$N$5:$N$454,0))</f>
        <v>0.0</v>
      </c>
      <c r="G69" s="8">
        <f>INDEX('Rubro por CUI'!$F$5:$F$454,MATCH("001|2585395",'Rubro por CUI'!$N$5:$N$454,0))</f>
        <v>0.0</v>
      </c>
      <c r="H69" s="8">
        <f>INDEX('Rubro por CUI'!$G$5:$G$454,MATCH("001|2585395",'Rubro por CUI'!$N$5:$N$454,0))</f>
        <v>0.0</v>
      </c>
      <c r="I69" s="8">
        <f>INDEX('Rubro por CUI'!$H$5:$H$454,MATCH("001|2585395",'Rubro por CUI'!$N$5:$N$454,0))</f>
        <v>0.0</v>
      </c>
      <c r="J69" s="8">
        <f>INDEX('Rubro por CUI'!$I$5:$I$454,MATCH("001|2585395",'Rubro por CUI'!$N$5:$N$454,0))</f>
        <v>0.0</v>
      </c>
      <c r="K69" s="8">
        <f>L69-SUM(F69:J69)</f>
        <v>0.0</v>
      </c>
      <c r="L69" s="8">
        <f>SUMIFS(Base!$N$5:$N$504,Base!$A$5:$A$504,"001",Base!$F$5:$F$504,"2585395")</f>
        <v>0.0</v>
      </c>
      <c r="M69" s="8">
        <f>D69-E69-L69</f>
        <v>34839869.0</v>
      </c>
      <c r="N69" s="7" t="s">
        <v>89</v>
      </c>
    </row>
    <row r="70" spans="1:14">
      <c r="A70" s="28">
        <v>64</v>
      </c>
      <c r="B70" s="28" t="s">
        <v>1859</v>
      </c>
      <c r="C70" s="7" t="s">
        <v>756</v>
      </c>
      <c r="D70" s="33">
        <v>40554510</v>
      </c>
      <c r="E70" s="33">
        <v>0</v>
      </c>
      <c r="F70" s="8">
        <f>INDEX('Rubro por CUI'!$E$5:$E$454,MATCH("001|2603161",'Rubro por CUI'!$N$5:$N$454,0))</f>
        <v>0.0</v>
      </c>
      <c r="G70" s="8">
        <f>INDEX('Rubro por CUI'!$F$5:$F$454,MATCH("001|2603161",'Rubro por CUI'!$N$5:$N$454,0))</f>
        <v>0.0</v>
      </c>
      <c r="H70" s="8">
        <f>INDEX('Rubro por CUI'!$G$5:$G$454,MATCH("001|2603161",'Rubro por CUI'!$N$5:$N$454,0))</f>
        <v>0.0</v>
      </c>
      <c r="I70" s="8">
        <f>INDEX('Rubro por CUI'!$H$5:$H$454,MATCH("001|2603161",'Rubro por CUI'!$N$5:$N$454,0))</f>
        <v>0.0</v>
      </c>
      <c r="J70" s="8">
        <f>INDEX('Rubro por CUI'!$I$5:$I$454,MATCH("001|2603161",'Rubro por CUI'!$N$5:$N$454,0))</f>
        <v>0.0</v>
      </c>
      <c r="K70" s="8">
        <f>L70-SUM(F70:J70)</f>
        <v>0.0</v>
      </c>
      <c r="L70" s="8">
        <f>SUMIFS(Base!$N$5:$N$504,Base!$A$5:$A$504,"001",Base!$F$5:$F$504,"2603161")</f>
        <v>0.0</v>
      </c>
      <c r="M70" s="8">
        <f>D70-E70-L70</f>
        <v>40554510.0</v>
      </c>
      <c r="N70" s="7" t="s">
        <v>89</v>
      </c>
    </row>
    <row r="71" spans="1:14">
      <c r="A71" s="28">
        <v>65</v>
      </c>
      <c r="B71" s="28" t="s">
        <v>1860</v>
      </c>
      <c r="C71" s="7" t="s">
        <v>766</v>
      </c>
      <c r="D71" s="33">
        <v>25288416</v>
      </c>
      <c r="E71" s="33">
        <v>0</v>
      </c>
      <c r="F71" s="8">
        <f>INDEX('Rubro por CUI'!$E$5:$E$454,MATCH("001|2632832",'Rubro por CUI'!$N$5:$N$454,0))</f>
        <v>0.0</v>
      </c>
      <c r="G71" s="8">
        <f>INDEX('Rubro por CUI'!$F$5:$F$454,MATCH("001|2632832",'Rubro por CUI'!$N$5:$N$454,0))</f>
        <v>0.0</v>
      </c>
      <c r="H71" s="8">
        <f>INDEX('Rubro por CUI'!$G$5:$G$454,MATCH("001|2632832",'Rubro por CUI'!$N$5:$N$454,0))</f>
        <v>0.0</v>
      </c>
      <c r="I71" s="8">
        <f>INDEX('Rubro por CUI'!$H$5:$H$454,MATCH("001|2632832",'Rubro por CUI'!$N$5:$N$454,0))</f>
        <v>0.0</v>
      </c>
      <c r="J71" s="8">
        <f>INDEX('Rubro por CUI'!$I$5:$I$454,MATCH("001|2632832",'Rubro por CUI'!$N$5:$N$454,0))</f>
        <v>0.0</v>
      </c>
      <c r="K71" s="8">
        <f>L71-SUM(F71:J71)</f>
        <v>0.0</v>
      </c>
      <c r="L71" s="8">
        <f>SUMIFS(Base!$N$5:$N$504,Base!$A$5:$A$504,"001",Base!$F$5:$F$504,"2632832")</f>
        <v>0.0</v>
      </c>
      <c r="M71" s="8">
        <f>D71-E71-L71</f>
        <v>25288416.0</v>
      </c>
      <c r="N71" s="7" t="s">
        <v>89</v>
      </c>
    </row>
    <row r="72" spans="1:14">
      <c r="A72" s="28">
        <v>66</v>
      </c>
      <c r="B72" s="28" t="s">
        <v>1861</v>
      </c>
      <c r="C72" s="7" t="s">
        <v>772</v>
      </c>
      <c r="D72" s="33">
        <v>2929159</v>
      </c>
      <c r="E72" s="33">
        <v>0</v>
      </c>
      <c r="F72" s="8">
        <f>INDEX('Rubro por CUI'!$E$5:$E$454,MATCH("001|2649779",'Rubro por CUI'!$N$5:$N$454,0))</f>
        <v>0.0</v>
      </c>
      <c r="G72" s="8">
        <f>INDEX('Rubro por CUI'!$F$5:$F$454,MATCH("001|2649779",'Rubro por CUI'!$N$5:$N$454,0))</f>
        <v>0.0</v>
      </c>
      <c r="H72" s="8">
        <f>INDEX('Rubro por CUI'!$G$5:$G$454,MATCH("001|2649779",'Rubro por CUI'!$N$5:$N$454,0))</f>
        <v>0.0</v>
      </c>
      <c r="I72" s="8">
        <f>INDEX('Rubro por CUI'!$H$5:$H$454,MATCH("001|2649779",'Rubro por CUI'!$N$5:$N$454,0))</f>
        <v>0.0</v>
      </c>
      <c r="J72" s="8">
        <f>INDEX('Rubro por CUI'!$I$5:$I$454,MATCH("001|2649779",'Rubro por CUI'!$N$5:$N$454,0))</f>
        <v>0.0</v>
      </c>
      <c r="K72" s="8">
        <f>L72-SUM(F72:J72)</f>
        <v>0.0</v>
      </c>
      <c r="L72" s="8">
        <f>SUMIFS(Base!$N$5:$N$504,Base!$A$5:$A$504,"001",Base!$F$5:$F$504,"2649779")</f>
        <v>0.0</v>
      </c>
      <c r="M72" s="8">
        <f>D72-E72-L72</f>
        <v>2929159.0</v>
      </c>
      <c r="N72" s="7" t="s">
        <v>89</v>
      </c>
    </row>
    <row r="73" spans="1:14">
      <c r="A73" s="28">
        <v>67</v>
      </c>
      <c r="B73" s="28" t="s">
        <v>1862</v>
      </c>
      <c r="C73" s="7" t="s">
        <v>778</v>
      </c>
      <c r="D73" s="33">
        <v>2802338</v>
      </c>
      <c r="E73" s="33">
        <v>0</v>
      </c>
      <c r="F73" s="8">
        <f>INDEX('Rubro por CUI'!$E$5:$E$454,MATCH("001|2649782",'Rubro por CUI'!$N$5:$N$454,0))</f>
        <v>0.0</v>
      </c>
      <c r="G73" s="8">
        <f>INDEX('Rubro por CUI'!$F$5:$F$454,MATCH("001|2649782",'Rubro por CUI'!$N$5:$N$454,0))</f>
        <v>0.0</v>
      </c>
      <c r="H73" s="8">
        <f>INDEX('Rubro por CUI'!$G$5:$G$454,MATCH("001|2649782",'Rubro por CUI'!$N$5:$N$454,0))</f>
        <v>0.0</v>
      </c>
      <c r="I73" s="8">
        <f>INDEX('Rubro por CUI'!$H$5:$H$454,MATCH("001|2649782",'Rubro por CUI'!$N$5:$N$454,0))</f>
        <v>0.0</v>
      </c>
      <c r="J73" s="8">
        <f>INDEX('Rubro por CUI'!$I$5:$I$454,MATCH("001|2649782",'Rubro por CUI'!$N$5:$N$454,0))</f>
        <v>0.0</v>
      </c>
      <c r="K73" s="8">
        <f>L73-SUM(F73:J73)</f>
        <v>0.0</v>
      </c>
      <c r="L73" s="8">
        <f>SUMIFS(Base!$N$5:$N$504,Base!$A$5:$A$504,"001",Base!$F$5:$F$504,"2649782")</f>
        <v>0.0</v>
      </c>
      <c r="M73" s="8">
        <f>D73-E73-L73</f>
        <v>2802338.0</v>
      </c>
      <c r="N73" s="7" t="s">
        <v>89</v>
      </c>
    </row>
    <row r="74" spans="1:14">
      <c r="A74" s="28">
        <v>68</v>
      </c>
      <c r="B74" s="28" t="s">
        <v>1863</v>
      </c>
      <c r="C74" s="7" t="s">
        <v>793</v>
      </c>
      <c r="D74" s="33">
        <v>3061549</v>
      </c>
      <c r="E74" s="33">
        <v>0</v>
      </c>
      <c r="F74" s="8">
        <f>INDEX('Rubro por CUI'!$E$5:$E$454,MATCH("001|2649793",'Rubro por CUI'!$N$5:$N$454,0))</f>
        <v>0.0</v>
      </c>
      <c r="G74" s="8">
        <f>INDEX('Rubro por CUI'!$F$5:$F$454,MATCH("001|2649793",'Rubro por CUI'!$N$5:$N$454,0))</f>
        <v>0.0</v>
      </c>
      <c r="H74" s="8">
        <f>INDEX('Rubro por CUI'!$G$5:$G$454,MATCH("001|2649793",'Rubro por CUI'!$N$5:$N$454,0))</f>
        <v>0.0</v>
      </c>
      <c r="I74" s="8">
        <f>INDEX('Rubro por CUI'!$H$5:$H$454,MATCH("001|2649793",'Rubro por CUI'!$N$5:$N$454,0))</f>
        <v>0.0</v>
      </c>
      <c r="J74" s="8">
        <f>INDEX('Rubro por CUI'!$I$5:$I$454,MATCH("001|2649793",'Rubro por CUI'!$N$5:$N$454,0))</f>
        <v>0.0</v>
      </c>
      <c r="K74" s="8">
        <f>L74-SUM(F74:J74)</f>
        <v>0.0</v>
      </c>
      <c r="L74" s="8">
        <f>SUMIFS(Base!$N$5:$N$504,Base!$A$5:$A$504,"001",Base!$F$5:$F$504,"2649793")</f>
        <v>0.0</v>
      </c>
      <c r="M74" s="8">
        <f>D74-E74-L74</f>
        <v>3061549.0</v>
      </c>
      <c r="N74" s="7" t="s">
        <v>89</v>
      </c>
    </row>
    <row r="75" spans="1:14">
      <c r="A75" s="28">
        <v>69</v>
      </c>
      <c r="B75" s="28" t="s">
        <v>1864</v>
      </c>
      <c r="C75" s="7" t="s">
        <v>796</v>
      </c>
      <c r="D75" s="33">
        <v>3135488</v>
      </c>
      <c r="E75" s="33">
        <v>0</v>
      </c>
      <c r="F75" s="8">
        <f>INDEX('Rubro por CUI'!$E$5:$E$454,MATCH("001|2649794",'Rubro por CUI'!$N$5:$N$454,0))</f>
        <v>0.0</v>
      </c>
      <c r="G75" s="8">
        <f>INDEX('Rubro por CUI'!$F$5:$F$454,MATCH("001|2649794",'Rubro por CUI'!$N$5:$N$454,0))</f>
        <v>0.0</v>
      </c>
      <c r="H75" s="8">
        <f>INDEX('Rubro por CUI'!$G$5:$G$454,MATCH("001|2649794",'Rubro por CUI'!$N$5:$N$454,0))</f>
        <v>0.0</v>
      </c>
      <c r="I75" s="8">
        <f>INDEX('Rubro por CUI'!$H$5:$H$454,MATCH("001|2649794",'Rubro por CUI'!$N$5:$N$454,0))</f>
        <v>0.0</v>
      </c>
      <c r="J75" s="8">
        <f>INDEX('Rubro por CUI'!$I$5:$I$454,MATCH("001|2649794",'Rubro por CUI'!$N$5:$N$454,0))</f>
        <v>0.0</v>
      </c>
      <c r="K75" s="8">
        <f>L75-SUM(F75:J75)</f>
        <v>0.0</v>
      </c>
      <c r="L75" s="8">
        <f>SUMIFS(Base!$N$5:$N$504,Base!$A$5:$A$504,"001",Base!$F$5:$F$504,"2649794")</f>
        <v>0.0</v>
      </c>
      <c r="M75" s="8">
        <f>D75-E75-L75</f>
        <v>3135488.0</v>
      </c>
      <c r="N75" s="7" t="s">
        <v>89</v>
      </c>
    </row>
    <row r="76" spans="1:14">
      <c r="A76" s="28">
        <v>70</v>
      </c>
      <c r="B76" s="28" t="s">
        <v>1865</v>
      </c>
      <c r="C76" s="7" t="s">
        <v>1421</v>
      </c>
      <c r="D76" s="33">
        <v>9190454</v>
      </c>
      <c r="E76" s="33">
        <v>9186356</v>
      </c>
      <c r="F76" s="8">
        <f>INDEX('Rubro por CUI'!$E$5:$E$454,MATCH("001|2154443",'Rubro por CUI'!$N$5:$N$454,0))</f>
        <v>0.0</v>
      </c>
      <c r="G76" s="8">
        <f>INDEX('Rubro por CUI'!$F$5:$F$454,MATCH("001|2154443",'Rubro por CUI'!$N$5:$N$454,0))</f>
        <v>0.0</v>
      </c>
      <c r="H76" s="8">
        <f>INDEX('Rubro por CUI'!$G$5:$G$454,MATCH("001|2154443",'Rubro por CUI'!$N$5:$N$454,0))</f>
        <v>0.0</v>
      </c>
      <c r="I76" s="8">
        <f>INDEX('Rubro por CUI'!$H$5:$H$454,MATCH("001|2154443",'Rubro por CUI'!$N$5:$N$454,0))</f>
        <v>0.0</v>
      </c>
      <c r="J76" s="8">
        <f>INDEX('Rubro por CUI'!$I$5:$I$454,MATCH("001|2154443",'Rubro por CUI'!$N$5:$N$454,0))</f>
        <v>0.0</v>
      </c>
      <c r="K76" s="8">
        <f>L76-SUM(F76:J76)</f>
        <v>0.0</v>
      </c>
      <c r="L76" s="8">
        <f>SUMIFS(Base!$N$5:$N$504,Base!$A$5:$A$504,"001",Base!$F$5:$F$504,"2154443")</f>
        <v>0.0</v>
      </c>
      <c r="M76" s="8">
        <f>D76-E76-L76</f>
        <v>4098.0</v>
      </c>
      <c r="N76" s="7" t="s">
        <v>89</v>
      </c>
    </row>
    <row r="77" spans="1:14">
      <c r="A77" s="28">
        <v>71</v>
      </c>
      <c r="B77" s="28" t="s">
        <v>1866</v>
      </c>
      <c r="C77" s="7" t="s">
        <v>1425</v>
      </c>
      <c r="D77" s="33">
        <v>10250391</v>
      </c>
      <c r="E77" s="33">
        <v>10162474</v>
      </c>
      <c r="F77" s="8">
        <f>INDEX('Rubro por CUI'!$E$5:$E$454,MATCH("001|2159149",'Rubro por CUI'!$N$5:$N$454,0))</f>
        <v>0.0</v>
      </c>
      <c r="G77" s="8">
        <f>INDEX('Rubro por CUI'!$F$5:$F$454,MATCH("001|2159149",'Rubro por CUI'!$N$5:$N$454,0))</f>
        <v>0.0</v>
      </c>
      <c r="H77" s="8">
        <f>INDEX('Rubro por CUI'!$G$5:$G$454,MATCH("001|2159149",'Rubro por CUI'!$N$5:$N$454,0))</f>
        <v>0.0</v>
      </c>
      <c r="I77" s="8">
        <f>INDEX('Rubro por CUI'!$H$5:$H$454,MATCH("001|2159149",'Rubro por CUI'!$N$5:$N$454,0))</f>
        <v>0.0</v>
      </c>
      <c r="J77" s="8">
        <f>INDEX('Rubro por CUI'!$I$5:$I$454,MATCH("001|2159149",'Rubro por CUI'!$N$5:$N$454,0))</f>
        <v>0.0</v>
      </c>
      <c r="K77" s="8">
        <f>L77-SUM(F77:J77)</f>
        <v>0.0</v>
      </c>
      <c r="L77" s="8">
        <f>SUMIFS(Base!$N$5:$N$504,Base!$A$5:$A$504,"001",Base!$F$5:$F$504,"2159149")</f>
        <v>0.0</v>
      </c>
      <c r="M77" s="8">
        <f>D77-E77-L77</f>
        <v>87917.0</v>
      </c>
      <c r="N77" s="7" t="s">
        <v>89</v>
      </c>
    </row>
    <row r="78" spans="1:14">
      <c r="A78" s="28">
        <v>72</v>
      </c>
      <c r="B78" s="28" t="s">
        <v>1867</v>
      </c>
      <c r="C78" s="7" t="s">
        <v>1429</v>
      </c>
      <c r="D78" s="33">
        <v>7806996</v>
      </c>
      <c r="E78" s="33">
        <v>7704564</v>
      </c>
      <c r="F78" s="8">
        <f>INDEX('Rubro por CUI'!$E$5:$E$454,MATCH("001|2488048",'Rubro por CUI'!$N$5:$N$454,0))</f>
        <v>0.0</v>
      </c>
      <c r="G78" s="8">
        <f>INDEX('Rubro por CUI'!$F$5:$F$454,MATCH("001|2488048",'Rubro por CUI'!$N$5:$N$454,0))</f>
        <v>0.0</v>
      </c>
      <c r="H78" s="8">
        <f>INDEX('Rubro por CUI'!$G$5:$G$454,MATCH("001|2488048",'Rubro por CUI'!$N$5:$N$454,0))</f>
        <v>0.0</v>
      </c>
      <c r="I78" s="8">
        <f>INDEX('Rubro por CUI'!$H$5:$H$454,MATCH("001|2488048",'Rubro por CUI'!$N$5:$N$454,0))</f>
        <v>0.0</v>
      </c>
      <c r="J78" s="8">
        <f>INDEX('Rubro por CUI'!$I$5:$I$454,MATCH("001|2488048",'Rubro por CUI'!$N$5:$N$454,0))</f>
        <v>0.0</v>
      </c>
      <c r="K78" s="8">
        <f>L78-SUM(F78:J78)</f>
        <v>0.0</v>
      </c>
      <c r="L78" s="8">
        <f>SUMIFS(Base!$N$5:$N$504,Base!$A$5:$A$504,"001",Base!$F$5:$F$504,"2488048")</f>
        <v>0.0</v>
      </c>
      <c r="M78" s="8">
        <f>D78-E78-L78</f>
        <v>102432.0</v>
      </c>
      <c r="N78" s="7" t="s">
        <v>89</v>
      </c>
    </row>
    <row r="79" spans="1:14">
      <c r="A79" s="28">
        <v>73</v>
      </c>
      <c r="B79" s="28" t="s">
        <v>1868</v>
      </c>
      <c r="C79" s="7" t="s">
        <v>1433</v>
      </c>
      <c r="D79" s="33">
        <v>24130054</v>
      </c>
      <c r="E79" s="33">
        <v>24035730</v>
      </c>
      <c r="F79" s="8">
        <f>INDEX('Rubro por CUI'!$E$5:$E$454,MATCH("001|2544369",'Rubro por CUI'!$N$5:$N$454,0))</f>
        <v>0.0</v>
      </c>
      <c r="G79" s="8">
        <f>INDEX('Rubro por CUI'!$F$5:$F$454,MATCH("001|2544369",'Rubro por CUI'!$N$5:$N$454,0))</f>
        <v>0.0</v>
      </c>
      <c r="H79" s="8">
        <f>INDEX('Rubro por CUI'!$G$5:$G$454,MATCH("001|2544369",'Rubro por CUI'!$N$5:$N$454,0))</f>
        <v>0.0</v>
      </c>
      <c r="I79" s="8">
        <f>INDEX('Rubro por CUI'!$H$5:$H$454,MATCH("001|2544369",'Rubro por CUI'!$N$5:$N$454,0))</f>
        <v>0.0</v>
      </c>
      <c r="J79" s="8">
        <f>INDEX('Rubro por CUI'!$I$5:$I$454,MATCH("001|2544369",'Rubro por CUI'!$N$5:$N$454,0))</f>
        <v>0.0</v>
      </c>
      <c r="K79" s="8">
        <f>L79-SUM(F79:J79)</f>
        <v>0.0</v>
      </c>
      <c r="L79" s="8">
        <f>SUMIFS(Base!$N$5:$N$504,Base!$A$5:$A$504,"001",Base!$F$5:$F$504,"2544369")</f>
        <v>0.0</v>
      </c>
      <c r="M79" s="8">
        <f>D79-E79-L79</f>
        <v>94324.0</v>
      </c>
      <c r="N79" s="7" t="s">
        <v>89</v>
      </c>
    </row>
    <row r="80" spans="1:14">
      <c r="A80" s="25" t="s">
        <v>102</v>
      </c>
      <c r="B80" s="25"/>
      <c r="C80" s="25"/>
      <c r="D80" s="26">
        <f>SUM(D81:D210)</f>
        <v>1612156973.0</v>
      </c>
      <c r="E80" s="26">
        <f>SUM(E81:E210)</f>
        <v>423244144.0</v>
      </c>
      <c r="F80" s="26">
        <f>SUM(F81:F210)</f>
        <v>1139986.0</v>
      </c>
      <c r="G80" s="26">
        <f>SUM(G81:G210)</f>
        <v>22742745.0</v>
      </c>
      <c r="H80" s="26">
        <f>SUM(H81:H210)</f>
        <v>252539164.0</v>
      </c>
      <c r="I80" s="26">
        <f>SUM(I81:I210)</f>
        <v>9839858.0</v>
      </c>
      <c r="J80" s="26">
        <f>SUM(J81:J210)</f>
        <v>0.0</v>
      </c>
      <c r="K80" s="26">
        <f>SUM(K81:K210)</f>
        <v>0.0</v>
      </c>
      <c r="L80" s="26">
        <f>SUM(L81:L210)</f>
        <v>286261753.0</v>
      </c>
      <c r="M80" s="26">
        <f>SUM(M81:M210)</f>
        <v>946899466.0</v>
      </c>
      <c r="N80" s="25"/>
    </row>
    <row r="81" spans="1:14">
      <c r="A81" s="28">
        <v>74</v>
      </c>
      <c r="B81" s="28" t="s">
        <v>1869</v>
      </c>
      <c r="C81" s="7" t="s">
        <v>399</v>
      </c>
      <c r="D81" s="33">
        <v>77971380</v>
      </c>
      <c r="E81" s="33">
        <v>14691422</v>
      </c>
      <c r="F81" s="8">
        <f>INDEX('Rubro por CUI'!$E$5:$E$454,MATCH("001|2284935",'Rubro por CUI'!$N$5:$N$454,0))</f>
        <v>0.0</v>
      </c>
      <c r="G81" s="8">
        <f>INDEX('Rubro por CUI'!$F$5:$F$454,MATCH("001|2284935",'Rubro por CUI'!$N$5:$N$454,0))</f>
        <v>5227548.0</v>
      </c>
      <c r="H81" s="8">
        <f>INDEX('Rubro por CUI'!$G$5:$G$454,MATCH("001|2284935",'Rubro por CUI'!$N$5:$N$454,0))</f>
        <v>17049232.0</v>
      </c>
      <c r="I81" s="8">
        <f>INDEX('Rubro por CUI'!$H$5:$H$454,MATCH("001|2284935",'Rubro por CUI'!$N$5:$N$454,0))</f>
        <v>0.0</v>
      </c>
      <c r="J81" s="8">
        <f>INDEX('Rubro por CUI'!$I$5:$I$454,MATCH("001|2284935",'Rubro por CUI'!$N$5:$N$454,0))</f>
        <v>0.0</v>
      </c>
      <c r="K81" s="8">
        <f>L81-SUM(F81:J81)</f>
        <v>0.0</v>
      </c>
      <c r="L81" s="8">
        <f>SUMIFS(Base!$N$5:$N$504,Base!$A$5:$A$504,"001",Base!$F$5:$F$504,"2284935")</f>
        <v>22276780.0</v>
      </c>
      <c r="M81" s="8">
        <f>D81-E81-L81</f>
        <v>41003178.0</v>
      </c>
      <c r="N81" s="7" t="s">
        <v>89</v>
      </c>
    </row>
    <row r="82" spans="1:14">
      <c r="A82" s="28">
        <v>75</v>
      </c>
      <c r="B82" s="28" t="s">
        <v>1870</v>
      </c>
      <c r="C82" s="7" t="s">
        <v>395</v>
      </c>
      <c r="D82" s="33">
        <v>60839799</v>
      </c>
      <c r="E82" s="33">
        <v>32541556</v>
      </c>
      <c r="F82" s="8">
        <f>INDEX('Rubro por CUI'!$E$5:$E$454,MATCH("001|2411336",'Rubro por CUI'!$N$5:$N$454,0))</f>
        <v>0.0</v>
      </c>
      <c r="G82" s="8">
        <f>INDEX('Rubro por CUI'!$F$5:$F$454,MATCH("001|2411336",'Rubro por CUI'!$N$5:$N$454,0))</f>
        <v>0.0</v>
      </c>
      <c r="H82" s="8">
        <f>INDEX('Rubro por CUI'!$G$5:$G$454,MATCH("001|2411336",'Rubro por CUI'!$N$5:$N$454,0))</f>
        <v>21914154.0</v>
      </c>
      <c r="I82" s="8">
        <f>INDEX('Rubro por CUI'!$H$5:$H$454,MATCH("001|2411336",'Rubro por CUI'!$N$5:$N$454,0))</f>
        <v>0.0</v>
      </c>
      <c r="J82" s="8">
        <f>INDEX('Rubro por CUI'!$I$5:$I$454,MATCH("001|2411336",'Rubro por CUI'!$N$5:$N$454,0))</f>
        <v>0.0</v>
      </c>
      <c r="K82" s="8">
        <f>L82-SUM(F82:J82)</f>
        <v>0.0</v>
      </c>
      <c r="L82" s="8">
        <f>SUMIFS(Base!$N$5:$N$504,Base!$A$5:$A$504,"001",Base!$F$5:$F$504,"2411336")</f>
        <v>21914154.0</v>
      </c>
      <c r="M82" s="8">
        <f>D82-E82-L82</f>
        <v>6384089.0</v>
      </c>
      <c r="N82" s="7" t="s">
        <v>89</v>
      </c>
    </row>
    <row r="83" spans="1:14">
      <c r="A83" s="28">
        <v>76</v>
      </c>
      <c r="B83" s="28" t="s">
        <v>1871</v>
      </c>
      <c r="C83" s="7" t="s">
        <v>405</v>
      </c>
      <c r="D83" s="33">
        <v>52212281</v>
      </c>
      <c r="E83" s="33">
        <v>25394040</v>
      </c>
      <c r="F83" s="8">
        <f>INDEX('Rubro por CUI'!$E$5:$E$454,MATCH("001|2357322",'Rubro por CUI'!$N$5:$N$454,0))</f>
        <v>0.0</v>
      </c>
      <c r="G83" s="8">
        <f>INDEX('Rubro por CUI'!$F$5:$F$454,MATCH("001|2357322",'Rubro por CUI'!$N$5:$N$454,0))</f>
        <v>0.0</v>
      </c>
      <c r="H83" s="8">
        <f>INDEX('Rubro por CUI'!$G$5:$G$454,MATCH("001|2357322",'Rubro por CUI'!$N$5:$N$454,0))</f>
        <v>19795501.0</v>
      </c>
      <c r="I83" s="8">
        <f>INDEX('Rubro por CUI'!$H$5:$H$454,MATCH("001|2357322",'Rubro por CUI'!$N$5:$N$454,0))</f>
        <v>0.0</v>
      </c>
      <c r="J83" s="8">
        <f>INDEX('Rubro por CUI'!$I$5:$I$454,MATCH("001|2357322",'Rubro por CUI'!$N$5:$N$454,0))</f>
        <v>0.0</v>
      </c>
      <c r="K83" s="8">
        <f>L83-SUM(F83:J83)</f>
        <v>0.0</v>
      </c>
      <c r="L83" s="8">
        <f>SUMIFS(Base!$N$5:$N$504,Base!$A$5:$A$504,"001",Base!$F$5:$F$504,"2357322")</f>
        <v>19795501.0</v>
      </c>
      <c r="M83" s="8">
        <f>D83-E83-L83</f>
        <v>7022740.0</v>
      </c>
      <c r="N83" s="7" t="s">
        <v>89</v>
      </c>
    </row>
    <row r="84" spans="1:14">
      <c r="A84" s="28">
        <v>77</v>
      </c>
      <c r="B84" s="28" t="s">
        <v>1872</v>
      </c>
      <c r="C84" s="7" t="s">
        <v>402</v>
      </c>
      <c r="D84" s="33">
        <v>35172206</v>
      </c>
      <c r="E84" s="33">
        <v>12257047</v>
      </c>
      <c r="F84" s="8">
        <f>INDEX('Rubro por CUI'!$E$5:$E$454,MATCH("001|2357330",'Rubro por CUI'!$N$5:$N$454,0))</f>
        <v>0.0</v>
      </c>
      <c r="G84" s="8">
        <f>INDEX('Rubro por CUI'!$F$5:$F$454,MATCH("001|2357330",'Rubro por CUI'!$N$5:$N$454,0))</f>
        <v>0.0</v>
      </c>
      <c r="H84" s="8">
        <f>INDEX('Rubro por CUI'!$G$5:$G$454,MATCH("001|2357330",'Rubro por CUI'!$N$5:$N$454,0))</f>
        <v>17354707.0</v>
      </c>
      <c r="I84" s="8">
        <f>INDEX('Rubro por CUI'!$H$5:$H$454,MATCH("001|2357330",'Rubro por CUI'!$N$5:$N$454,0))</f>
        <v>0.0</v>
      </c>
      <c r="J84" s="8">
        <f>INDEX('Rubro por CUI'!$I$5:$I$454,MATCH("001|2357330",'Rubro por CUI'!$N$5:$N$454,0))</f>
        <v>0.0</v>
      </c>
      <c r="K84" s="8">
        <f>L84-SUM(F84:J84)</f>
        <v>0.0</v>
      </c>
      <c r="L84" s="8">
        <f>SUMIFS(Base!$N$5:$N$504,Base!$A$5:$A$504,"001",Base!$F$5:$F$504,"2357330")</f>
        <v>17354707.0</v>
      </c>
      <c r="M84" s="8">
        <f>D84-E84-L84</f>
        <v>5560452.0</v>
      </c>
      <c r="N84" s="7" t="s">
        <v>89</v>
      </c>
    </row>
    <row r="85" spans="1:14">
      <c r="A85" s="28">
        <v>78</v>
      </c>
      <c r="B85" s="28" t="s">
        <v>1873</v>
      </c>
      <c r="C85" s="7" t="s">
        <v>408</v>
      </c>
      <c r="D85" s="33">
        <v>49037981</v>
      </c>
      <c r="E85" s="33">
        <v>18466277</v>
      </c>
      <c r="F85" s="8">
        <f>INDEX('Rubro por CUI'!$E$5:$E$454,MATCH("001|2385673",'Rubro por CUI'!$N$5:$N$454,0))</f>
        <v>0.0</v>
      </c>
      <c r="G85" s="8">
        <f>INDEX('Rubro por CUI'!$F$5:$F$454,MATCH("001|2385673",'Rubro por CUI'!$N$5:$N$454,0))</f>
        <v>3706950.0</v>
      </c>
      <c r="H85" s="8">
        <f>INDEX('Rubro por CUI'!$G$5:$G$454,MATCH("001|2385673",'Rubro por CUI'!$N$5:$N$454,0))</f>
        <v>5461344.0</v>
      </c>
      <c r="I85" s="8">
        <f>INDEX('Rubro por CUI'!$H$5:$H$454,MATCH("001|2385673",'Rubro por CUI'!$N$5:$N$454,0))</f>
        <v>8073670.0</v>
      </c>
      <c r="J85" s="8">
        <f>INDEX('Rubro por CUI'!$I$5:$I$454,MATCH("001|2385673",'Rubro por CUI'!$N$5:$N$454,0))</f>
        <v>0.0</v>
      </c>
      <c r="K85" s="8">
        <f>L85-SUM(F85:J85)</f>
        <v>0.0</v>
      </c>
      <c r="L85" s="8">
        <f>SUMIFS(Base!$N$5:$N$504,Base!$A$5:$A$504,"001",Base!$F$5:$F$504,"2385673")</f>
        <v>17241964.0</v>
      </c>
      <c r="M85" s="8">
        <f>D85-E85-L85</f>
        <v>13329740.0</v>
      </c>
      <c r="N85" s="7" t="s">
        <v>89</v>
      </c>
    </row>
    <row r="86" spans="1:14">
      <c r="A86" s="28">
        <v>79</v>
      </c>
      <c r="B86" s="28" t="s">
        <v>1874</v>
      </c>
      <c r="C86" s="7" t="s">
        <v>411</v>
      </c>
      <c r="D86" s="33">
        <v>23557530</v>
      </c>
      <c r="E86" s="33">
        <v>3611850</v>
      </c>
      <c r="F86" s="8">
        <f>INDEX('Rubro por CUI'!$E$5:$E$454,MATCH("001|2585543",'Rubro por CUI'!$N$5:$N$454,0))</f>
        <v>0.0</v>
      </c>
      <c r="G86" s="8">
        <f>INDEX('Rubro por CUI'!$F$5:$F$454,MATCH("001|2585543",'Rubro por CUI'!$N$5:$N$454,0))</f>
        <v>1000000.0</v>
      </c>
      <c r="H86" s="8">
        <f>INDEX('Rubro por CUI'!$G$5:$G$454,MATCH("001|2585543",'Rubro por CUI'!$N$5:$N$454,0))</f>
        <v>14380884.0</v>
      </c>
      <c r="I86" s="8">
        <f>INDEX('Rubro por CUI'!$H$5:$H$454,MATCH("001|2585543",'Rubro por CUI'!$N$5:$N$454,0))</f>
        <v>0.0</v>
      </c>
      <c r="J86" s="8">
        <f>INDEX('Rubro por CUI'!$I$5:$I$454,MATCH("001|2585543",'Rubro por CUI'!$N$5:$N$454,0))</f>
        <v>0.0</v>
      </c>
      <c r="K86" s="8">
        <f>L86-SUM(F86:J86)</f>
        <v>0.0</v>
      </c>
      <c r="L86" s="8">
        <f>SUMIFS(Base!$N$5:$N$504,Base!$A$5:$A$504,"001",Base!$F$5:$F$504,"2585543")</f>
        <v>15380884.0</v>
      </c>
      <c r="M86" s="8">
        <f>D86-E86-L86</f>
        <v>4564796.0</v>
      </c>
      <c r="N86" s="7" t="s">
        <v>89</v>
      </c>
    </row>
    <row r="87" spans="1:14">
      <c r="A87" s="28">
        <v>80</v>
      </c>
      <c r="B87" s="28" t="s">
        <v>1875</v>
      </c>
      <c r="C87" s="7" t="s">
        <v>117</v>
      </c>
      <c r="D87" s="33">
        <v>42991223</v>
      </c>
      <c r="E87" s="33">
        <v>29005462</v>
      </c>
      <c r="F87" s="8">
        <f>INDEX('Rubro por CUI'!$E$5:$E$454,MATCH("001|2521936",'Rubro por CUI'!$N$5:$N$454,0))</f>
        <v>1139986.0</v>
      </c>
      <c r="G87" s="8">
        <f>INDEX('Rubro por CUI'!$F$5:$F$454,MATCH("001|2521936",'Rubro por CUI'!$N$5:$N$454,0))</f>
        <v>0.0</v>
      </c>
      <c r="H87" s="8">
        <f>INDEX('Rubro por CUI'!$G$5:$G$454,MATCH("001|2521936",'Rubro por CUI'!$N$5:$N$454,0))</f>
        <v>10063179.0</v>
      </c>
      <c r="I87" s="8">
        <f>INDEX('Rubro por CUI'!$H$5:$H$454,MATCH("001|2521936",'Rubro por CUI'!$N$5:$N$454,0))</f>
        <v>0.0</v>
      </c>
      <c r="J87" s="8">
        <f>INDEX('Rubro por CUI'!$I$5:$I$454,MATCH("001|2521936",'Rubro por CUI'!$N$5:$N$454,0))</f>
        <v>0.0</v>
      </c>
      <c r="K87" s="8">
        <f>L87-SUM(F87:J87)</f>
        <v>0.0</v>
      </c>
      <c r="L87" s="8">
        <f>SUMIFS(Base!$N$5:$N$504,Base!$A$5:$A$504,"001",Base!$F$5:$F$504,"2521936")</f>
        <v>11203165.0</v>
      </c>
      <c r="M87" s="8">
        <f>D87-E87-L87</f>
        <v>2782596.0</v>
      </c>
      <c r="N87" s="7" t="s">
        <v>89</v>
      </c>
    </row>
    <row r="88" spans="1:14">
      <c r="A88" s="28">
        <v>81</v>
      </c>
      <c r="B88" s="28" t="s">
        <v>1876</v>
      </c>
      <c r="C88" s="7" t="s">
        <v>105</v>
      </c>
      <c r="D88" s="33">
        <v>92671506</v>
      </c>
      <c r="E88" s="33">
        <v>78944614</v>
      </c>
      <c r="F88" s="8">
        <f>INDEX('Rubro por CUI'!$E$5:$E$454,MATCH("001|2323700",'Rubro por CUI'!$N$5:$N$454,0))</f>
        <v>0.0</v>
      </c>
      <c r="G88" s="8">
        <f>INDEX('Rubro por CUI'!$F$5:$F$454,MATCH("001|2323700",'Rubro por CUI'!$N$5:$N$454,0))</f>
        <v>0.0</v>
      </c>
      <c r="H88" s="8">
        <f>INDEX('Rubro por CUI'!$G$5:$G$454,MATCH("001|2323700",'Rubro por CUI'!$N$5:$N$454,0))</f>
        <v>10519577.0</v>
      </c>
      <c r="I88" s="8">
        <f>INDEX('Rubro por CUI'!$H$5:$H$454,MATCH("001|2323700",'Rubro por CUI'!$N$5:$N$454,0))</f>
        <v>0.0</v>
      </c>
      <c r="J88" s="8">
        <f>INDEX('Rubro por CUI'!$I$5:$I$454,MATCH("001|2323700",'Rubro por CUI'!$N$5:$N$454,0))</f>
        <v>0.0</v>
      </c>
      <c r="K88" s="8">
        <f>L88-SUM(F88:J88)</f>
        <v>0.0</v>
      </c>
      <c r="L88" s="8">
        <f>SUMIFS(Base!$N$5:$N$504,Base!$A$5:$A$504,"001",Base!$F$5:$F$504,"2323700")</f>
        <v>10519577.0</v>
      </c>
      <c r="M88" s="8">
        <f>D88-E88-L88</f>
        <v>3207315.0</v>
      </c>
      <c r="N88" s="7" t="s">
        <v>89</v>
      </c>
    </row>
    <row r="89" spans="1:14">
      <c r="A89" s="28">
        <v>82</v>
      </c>
      <c r="B89" s="28" t="s">
        <v>1877</v>
      </c>
      <c r="C89" s="7" t="s">
        <v>112</v>
      </c>
      <c r="D89" s="33">
        <v>49280198</v>
      </c>
      <c r="E89" s="33">
        <v>35323867</v>
      </c>
      <c r="F89" s="8">
        <f>INDEX('Rubro por CUI'!$E$5:$E$454,MATCH("001|2335880",'Rubro por CUI'!$N$5:$N$454,0))</f>
        <v>0.0</v>
      </c>
      <c r="G89" s="8">
        <f>INDEX('Rubro por CUI'!$F$5:$F$454,MATCH("001|2335880",'Rubro por CUI'!$N$5:$N$454,0))</f>
        <v>0.0</v>
      </c>
      <c r="H89" s="8">
        <f>INDEX('Rubro por CUI'!$G$5:$G$454,MATCH("001|2335880",'Rubro por CUI'!$N$5:$N$454,0))</f>
        <v>10208307.0</v>
      </c>
      <c r="I89" s="8">
        <f>INDEX('Rubro por CUI'!$H$5:$H$454,MATCH("001|2335880",'Rubro por CUI'!$N$5:$N$454,0))</f>
        <v>0.0</v>
      </c>
      <c r="J89" s="8">
        <f>INDEX('Rubro por CUI'!$I$5:$I$454,MATCH("001|2335880",'Rubro por CUI'!$N$5:$N$454,0))</f>
        <v>0.0</v>
      </c>
      <c r="K89" s="8">
        <f>L89-SUM(F89:J89)</f>
        <v>0.0</v>
      </c>
      <c r="L89" s="8">
        <f>SUMIFS(Base!$N$5:$N$504,Base!$A$5:$A$504,"001",Base!$F$5:$F$504,"2335880")</f>
        <v>10208307.0</v>
      </c>
      <c r="M89" s="8">
        <f>D89-E89-L89</f>
        <v>3748024.0</v>
      </c>
      <c r="N89" s="7" t="s">
        <v>89</v>
      </c>
    </row>
    <row r="90" spans="1:14">
      <c r="A90" s="28">
        <v>83</v>
      </c>
      <c r="B90" s="28" t="s">
        <v>1878</v>
      </c>
      <c r="C90" s="7" t="s">
        <v>430</v>
      </c>
      <c r="D90" s="33">
        <v>29597092</v>
      </c>
      <c r="E90" s="33">
        <v>6314394</v>
      </c>
      <c r="F90" s="8">
        <f>INDEX('Rubro por CUI'!$E$5:$E$454,MATCH("001|2417765",'Rubro por CUI'!$N$5:$N$454,0))</f>
        <v>0.0</v>
      </c>
      <c r="G90" s="8">
        <f>INDEX('Rubro por CUI'!$F$5:$F$454,MATCH("001|2417765",'Rubro por CUI'!$N$5:$N$454,0))</f>
        <v>0.0</v>
      </c>
      <c r="H90" s="8">
        <f>INDEX('Rubro por CUI'!$G$5:$G$454,MATCH("001|2417765",'Rubro por CUI'!$N$5:$N$454,0))</f>
        <v>9795205.0</v>
      </c>
      <c r="I90" s="8">
        <f>INDEX('Rubro por CUI'!$H$5:$H$454,MATCH("001|2417765",'Rubro por CUI'!$N$5:$N$454,0))</f>
        <v>0.0</v>
      </c>
      <c r="J90" s="8">
        <f>INDEX('Rubro por CUI'!$I$5:$I$454,MATCH("001|2417765",'Rubro por CUI'!$N$5:$N$454,0))</f>
        <v>0.0</v>
      </c>
      <c r="K90" s="8">
        <f>L90-SUM(F90:J90)</f>
        <v>0.0</v>
      </c>
      <c r="L90" s="8">
        <f>SUMIFS(Base!$N$5:$N$504,Base!$A$5:$A$504,"001",Base!$F$5:$F$504,"2417765")</f>
        <v>9795205.0</v>
      </c>
      <c r="M90" s="8">
        <f>D90-E90-L90</f>
        <v>13487493.0</v>
      </c>
      <c r="N90" s="7" t="s">
        <v>89</v>
      </c>
    </row>
    <row r="91" spans="1:14">
      <c r="A91" s="28">
        <v>84</v>
      </c>
      <c r="B91" s="28" t="s">
        <v>1879</v>
      </c>
      <c r="C91" s="7" t="s">
        <v>415</v>
      </c>
      <c r="D91" s="33">
        <v>22345379</v>
      </c>
      <c r="E91" s="33">
        <v>9759573</v>
      </c>
      <c r="F91" s="8">
        <f>INDEX('Rubro por CUI'!$E$5:$E$454,MATCH("001|2535611",'Rubro por CUI'!$N$5:$N$454,0))</f>
        <v>0.0</v>
      </c>
      <c r="G91" s="8">
        <f>INDEX('Rubro por CUI'!$F$5:$F$454,MATCH("001|2535611",'Rubro por CUI'!$N$5:$N$454,0))</f>
        <v>314282.0</v>
      </c>
      <c r="H91" s="8">
        <f>INDEX('Rubro por CUI'!$G$5:$G$454,MATCH("001|2535611",'Rubro por CUI'!$N$5:$N$454,0))</f>
        <v>9351718.0</v>
      </c>
      <c r="I91" s="8">
        <f>INDEX('Rubro por CUI'!$H$5:$H$454,MATCH("001|2535611",'Rubro por CUI'!$N$5:$N$454,0))</f>
        <v>0.0</v>
      </c>
      <c r="J91" s="8">
        <f>INDEX('Rubro por CUI'!$I$5:$I$454,MATCH("001|2535611",'Rubro por CUI'!$N$5:$N$454,0))</f>
        <v>0.0</v>
      </c>
      <c r="K91" s="8">
        <f>L91-SUM(F91:J91)</f>
        <v>0.0</v>
      </c>
      <c r="L91" s="8">
        <f>SUMIFS(Base!$N$5:$N$504,Base!$A$5:$A$504,"001",Base!$F$5:$F$504,"2535611")</f>
        <v>9666000.0</v>
      </c>
      <c r="M91" s="8">
        <f>D91-E91-L91</f>
        <v>2919806.0</v>
      </c>
      <c r="N91" s="7" t="s">
        <v>89</v>
      </c>
    </row>
    <row r="92" spans="1:14">
      <c r="A92" s="28">
        <v>85</v>
      </c>
      <c r="B92" s="28" t="s">
        <v>1880</v>
      </c>
      <c r="C92" s="7" t="s">
        <v>131</v>
      </c>
      <c r="D92" s="33">
        <v>23051914</v>
      </c>
      <c r="E92" s="33">
        <v>11756655</v>
      </c>
      <c r="F92" s="8">
        <f>INDEX('Rubro por CUI'!$E$5:$E$454,MATCH("001|2570978",'Rubro por CUI'!$N$5:$N$454,0))</f>
        <v>0.0</v>
      </c>
      <c r="G92" s="8">
        <f>INDEX('Rubro por CUI'!$F$5:$F$454,MATCH("001|2570978",'Rubro por CUI'!$N$5:$N$454,0))</f>
        <v>0.0</v>
      </c>
      <c r="H92" s="8">
        <f>INDEX('Rubro por CUI'!$G$5:$G$454,MATCH("001|2570978",'Rubro por CUI'!$N$5:$N$454,0))</f>
        <v>9222405.0</v>
      </c>
      <c r="I92" s="8">
        <f>INDEX('Rubro por CUI'!$H$5:$H$454,MATCH("001|2570978",'Rubro por CUI'!$N$5:$N$454,0))</f>
        <v>0.0</v>
      </c>
      <c r="J92" s="8">
        <f>INDEX('Rubro por CUI'!$I$5:$I$454,MATCH("001|2570978",'Rubro por CUI'!$N$5:$N$454,0))</f>
        <v>0.0</v>
      </c>
      <c r="K92" s="8">
        <f>L92-SUM(F92:J92)</f>
        <v>0.0</v>
      </c>
      <c r="L92" s="8">
        <f>SUMIFS(Base!$N$5:$N$504,Base!$A$5:$A$504,"001",Base!$F$5:$F$504,"2570978")</f>
        <v>9222405.0</v>
      </c>
      <c r="M92" s="8">
        <f>D92-E92-L92</f>
        <v>2072854.0</v>
      </c>
      <c r="N92" s="7" t="s">
        <v>89</v>
      </c>
    </row>
    <row r="93" spans="1:14">
      <c r="A93" s="28">
        <v>86</v>
      </c>
      <c r="B93" s="28" t="s">
        <v>1881</v>
      </c>
      <c r="C93" s="7" t="s">
        <v>513</v>
      </c>
      <c r="D93" s="33">
        <v>27656942</v>
      </c>
      <c r="E93" s="33">
        <v>1210809</v>
      </c>
      <c r="F93" s="8">
        <f>INDEX('Rubro por CUI'!$E$5:$E$454,MATCH("001|2393398",'Rubro por CUI'!$N$5:$N$454,0))</f>
        <v>0.0</v>
      </c>
      <c r="G93" s="8">
        <f>INDEX('Rubro por CUI'!$F$5:$F$454,MATCH("001|2393398",'Rubro por CUI'!$N$5:$N$454,0))</f>
        <v>0.0</v>
      </c>
      <c r="H93" s="8">
        <f>INDEX('Rubro por CUI'!$G$5:$G$454,MATCH("001|2393398",'Rubro por CUI'!$N$5:$N$454,0))</f>
        <v>8692228.0</v>
      </c>
      <c r="I93" s="8">
        <f>INDEX('Rubro por CUI'!$H$5:$H$454,MATCH("001|2393398",'Rubro por CUI'!$N$5:$N$454,0))</f>
        <v>0.0</v>
      </c>
      <c r="J93" s="8">
        <f>INDEX('Rubro por CUI'!$I$5:$I$454,MATCH("001|2393398",'Rubro por CUI'!$N$5:$N$454,0))</f>
        <v>0.0</v>
      </c>
      <c r="K93" s="8">
        <f>L93-SUM(F93:J93)</f>
        <v>0.0</v>
      </c>
      <c r="L93" s="8">
        <f>SUMIFS(Base!$N$5:$N$504,Base!$A$5:$A$504,"001",Base!$F$5:$F$504,"2393398")</f>
        <v>8692228.0</v>
      </c>
      <c r="M93" s="8">
        <f>D93-E93-L93</f>
        <v>17753905.0</v>
      </c>
      <c r="N93" s="7" t="s">
        <v>89</v>
      </c>
    </row>
    <row r="94" spans="1:14">
      <c r="A94" s="28">
        <v>87</v>
      </c>
      <c r="B94" s="28" t="s">
        <v>1882</v>
      </c>
      <c r="C94" s="7" t="s">
        <v>418</v>
      </c>
      <c r="D94" s="7" t="s">
        <v>99</v>
      </c>
      <c r="E94" s="7" t="s">
        <v>99</v>
      </c>
      <c r="F94" s="8">
        <f>INDEX('Rubro por CUI'!$E$5:$E$454,MATCH("001|2538950",'Rubro por CUI'!$N$5:$N$454,0))</f>
        <v>0.0</v>
      </c>
      <c r="G94" s="8">
        <f>INDEX('Rubro por CUI'!$F$5:$F$454,MATCH("001|2538950",'Rubro por CUI'!$N$5:$N$454,0))</f>
        <v>0.0</v>
      </c>
      <c r="H94" s="8">
        <f>INDEX('Rubro por CUI'!$G$5:$G$454,MATCH("001|2538950",'Rubro por CUI'!$N$5:$N$454,0))</f>
        <v>6765264.0</v>
      </c>
      <c r="I94" s="8">
        <f>INDEX('Rubro por CUI'!$H$5:$H$454,MATCH("001|2538950",'Rubro por CUI'!$N$5:$N$454,0))</f>
        <v>0.0</v>
      </c>
      <c r="J94" s="8">
        <f>INDEX('Rubro por CUI'!$I$5:$I$454,MATCH("001|2538950",'Rubro por CUI'!$N$5:$N$454,0))</f>
        <v>0.0</v>
      </c>
      <c r="K94" s="8">
        <f>L94-SUM(F94:J94)</f>
        <v>0.0</v>
      </c>
      <c r="L94" s="8">
        <f>SUMIFS(Base!$N$5:$N$504,Base!$A$5:$A$504,"001",Base!$F$5:$F$504,"2538950")</f>
        <v>6765264.0</v>
      </c>
      <c r="M94" s="7" t="s">
        <v>99</v>
      </c>
      <c r="N94" s="7" t="s">
        <v>1796</v>
      </c>
    </row>
    <row r="95" spans="1:14">
      <c r="A95" s="28">
        <v>88</v>
      </c>
      <c r="B95" s="28" t="s">
        <v>1883</v>
      </c>
      <c r="C95" s="7" t="s">
        <v>873</v>
      </c>
      <c r="D95" s="33">
        <v>16199662</v>
      </c>
      <c r="E95" s="33">
        <v>769300</v>
      </c>
      <c r="F95" s="8">
        <f>INDEX('Rubro por CUI'!$E$5:$E$454,MATCH("001|2570369",'Rubro por CUI'!$N$5:$N$454,0))</f>
        <v>0.0</v>
      </c>
      <c r="G95" s="8">
        <f>INDEX('Rubro por CUI'!$F$5:$F$454,MATCH("001|2570369",'Rubro por CUI'!$N$5:$N$454,0))</f>
        <v>0.0</v>
      </c>
      <c r="H95" s="8">
        <f>INDEX('Rubro por CUI'!$G$5:$G$454,MATCH("001|2570369",'Rubro por CUI'!$N$5:$N$454,0))</f>
        <v>5931027.0</v>
      </c>
      <c r="I95" s="8">
        <f>INDEX('Rubro por CUI'!$H$5:$H$454,MATCH("001|2570369",'Rubro por CUI'!$N$5:$N$454,0))</f>
        <v>0.0</v>
      </c>
      <c r="J95" s="8">
        <f>INDEX('Rubro por CUI'!$I$5:$I$454,MATCH("001|2570369",'Rubro por CUI'!$N$5:$N$454,0))</f>
        <v>0.0</v>
      </c>
      <c r="K95" s="8">
        <f>L95-SUM(F95:J95)</f>
        <v>0.0</v>
      </c>
      <c r="L95" s="8">
        <f>SUMIFS(Base!$N$5:$N$504,Base!$A$5:$A$504,"001",Base!$F$5:$F$504,"2570369")</f>
        <v>5931027.0</v>
      </c>
      <c r="M95" s="8">
        <f>D95-E95-L95</f>
        <v>9499335.0</v>
      </c>
      <c r="N95" s="7" t="s">
        <v>89</v>
      </c>
    </row>
    <row r="96" spans="1:14">
      <c r="A96" s="28">
        <v>89</v>
      </c>
      <c r="B96" s="28" t="s">
        <v>1884</v>
      </c>
      <c r="C96" s="7" t="s">
        <v>426</v>
      </c>
      <c r="D96" s="7" t="s">
        <v>99</v>
      </c>
      <c r="E96" s="7" t="s">
        <v>99</v>
      </c>
      <c r="F96" s="8">
        <f>INDEX('Rubro por CUI'!$E$5:$E$454,MATCH("001|2590087",'Rubro por CUI'!$N$5:$N$454,0))</f>
        <v>0.0</v>
      </c>
      <c r="G96" s="8">
        <f>INDEX('Rubro por CUI'!$F$5:$F$454,MATCH("001|2590087",'Rubro por CUI'!$N$5:$N$454,0))</f>
        <v>0.0</v>
      </c>
      <c r="H96" s="8">
        <f>INDEX('Rubro por CUI'!$G$5:$G$454,MATCH("001|2590087",'Rubro por CUI'!$N$5:$N$454,0))</f>
        <v>5799805.0</v>
      </c>
      <c r="I96" s="8">
        <f>INDEX('Rubro por CUI'!$H$5:$H$454,MATCH("001|2590087",'Rubro por CUI'!$N$5:$N$454,0))</f>
        <v>0.0</v>
      </c>
      <c r="J96" s="8">
        <f>INDEX('Rubro por CUI'!$I$5:$I$454,MATCH("001|2590087",'Rubro por CUI'!$N$5:$N$454,0))</f>
        <v>0.0</v>
      </c>
      <c r="K96" s="8">
        <f>L96-SUM(F96:J96)</f>
        <v>0.0</v>
      </c>
      <c r="L96" s="8">
        <f>SUMIFS(Base!$N$5:$N$504,Base!$A$5:$A$504,"001",Base!$F$5:$F$504,"2590087")</f>
        <v>5799805.0</v>
      </c>
      <c r="M96" s="7" t="s">
        <v>99</v>
      </c>
      <c r="N96" s="7" t="s">
        <v>1796</v>
      </c>
    </row>
    <row r="97" spans="1:14">
      <c r="A97" s="28">
        <v>90</v>
      </c>
      <c r="B97" s="28" t="s">
        <v>1885</v>
      </c>
      <c r="C97" s="7" t="s">
        <v>134</v>
      </c>
      <c r="D97" s="33">
        <v>12238268</v>
      </c>
      <c r="E97" s="33">
        <v>475159</v>
      </c>
      <c r="F97" s="8">
        <f>INDEX('Rubro por CUI'!$E$5:$E$454,MATCH("001|2591926",'Rubro por CUI'!$N$5:$N$454,0))</f>
        <v>0.0</v>
      </c>
      <c r="G97" s="8">
        <f>INDEX('Rubro por CUI'!$F$5:$F$454,MATCH("001|2591926",'Rubro por CUI'!$N$5:$N$454,0))</f>
        <v>0.0</v>
      </c>
      <c r="H97" s="8">
        <f>INDEX('Rubro por CUI'!$G$5:$G$454,MATCH("001|2591926",'Rubro por CUI'!$N$5:$N$454,0))</f>
        <v>5194033.0</v>
      </c>
      <c r="I97" s="8">
        <f>INDEX('Rubro por CUI'!$H$5:$H$454,MATCH("001|2591926",'Rubro por CUI'!$N$5:$N$454,0))</f>
        <v>0.0</v>
      </c>
      <c r="J97" s="8">
        <f>INDEX('Rubro por CUI'!$I$5:$I$454,MATCH("001|2591926",'Rubro por CUI'!$N$5:$N$454,0))</f>
        <v>0.0</v>
      </c>
      <c r="K97" s="8">
        <f>L97-SUM(F97:J97)</f>
        <v>0.0</v>
      </c>
      <c r="L97" s="8">
        <f>SUMIFS(Base!$N$5:$N$504,Base!$A$5:$A$504,"001",Base!$F$5:$F$504,"2591926")</f>
        <v>5194033.0</v>
      </c>
      <c r="M97" s="8">
        <f>D97-E97-L97</f>
        <v>6569076.0</v>
      </c>
      <c r="N97" s="7" t="s">
        <v>89</v>
      </c>
    </row>
    <row r="98" spans="1:14">
      <c r="A98" s="28">
        <v>91</v>
      </c>
      <c r="B98" s="28" t="s">
        <v>1886</v>
      </c>
      <c r="C98" s="7" t="s">
        <v>867</v>
      </c>
      <c r="D98" s="33">
        <v>22387874</v>
      </c>
      <c r="E98" s="33">
        <v>513469</v>
      </c>
      <c r="F98" s="8">
        <f>INDEX('Rubro por CUI'!$E$5:$E$454,MATCH("001|2570033",'Rubro por CUI'!$N$5:$N$454,0))</f>
        <v>0.0</v>
      </c>
      <c r="G98" s="8">
        <f>INDEX('Rubro por CUI'!$F$5:$F$454,MATCH("001|2570033",'Rubro por CUI'!$N$5:$N$454,0))</f>
        <v>0.0</v>
      </c>
      <c r="H98" s="8">
        <f>INDEX('Rubro por CUI'!$G$5:$G$454,MATCH("001|2570033",'Rubro por CUI'!$N$5:$N$454,0))</f>
        <v>5089845.0</v>
      </c>
      <c r="I98" s="8">
        <f>INDEX('Rubro por CUI'!$H$5:$H$454,MATCH("001|2570033",'Rubro por CUI'!$N$5:$N$454,0))</f>
        <v>0.0</v>
      </c>
      <c r="J98" s="8">
        <f>INDEX('Rubro por CUI'!$I$5:$I$454,MATCH("001|2570033",'Rubro por CUI'!$N$5:$N$454,0))</f>
        <v>0.0</v>
      </c>
      <c r="K98" s="8">
        <f>L98-SUM(F98:J98)</f>
        <v>0.0</v>
      </c>
      <c r="L98" s="8">
        <f>SUMIFS(Base!$N$5:$N$504,Base!$A$5:$A$504,"001",Base!$F$5:$F$504,"2570033")</f>
        <v>5089845.0</v>
      </c>
      <c r="M98" s="8">
        <f>D98-E98-L98</f>
        <v>16784560.0</v>
      </c>
      <c r="N98" s="7" t="s">
        <v>89</v>
      </c>
    </row>
    <row r="99" spans="1:14">
      <c r="A99" s="28">
        <v>92</v>
      </c>
      <c r="B99" s="28" t="s">
        <v>1887</v>
      </c>
      <c r="C99" s="7" t="s">
        <v>530</v>
      </c>
      <c r="D99" s="33">
        <v>37501739</v>
      </c>
      <c r="E99" s="33">
        <v>872488</v>
      </c>
      <c r="F99" s="8">
        <f>INDEX('Rubro por CUI'!$E$5:$E$454,MATCH("001|2385051",'Rubro por CUI'!$N$5:$N$454,0))</f>
        <v>0.0</v>
      </c>
      <c r="G99" s="8">
        <f>INDEX('Rubro por CUI'!$F$5:$F$454,MATCH("001|2385051",'Rubro por CUI'!$N$5:$N$454,0))</f>
        <v>1627515.0</v>
      </c>
      <c r="H99" s="8">
        <f>INDEX('Rubro por CUI'!$G$5:$G$454,MATCH("001|2385051",'Rubro por CUI'!$N$5:$N$454,0))</f>
        <v>3300012.0</v>
      </c>
      <c r="I99" s="8">
        <f>INDEX('Rubro por CUI'!$H$5:$H$454,MATCH("001|2385051",'Rubro por CUI'!$N$5:$N$454,0))</f>
        <v>0.0</v>
      </c>
      <c r="J99" s="8">
        <f>INDEX('Rubro por CUI'!$I$5:$I$454,MATCH("001|2385051",'Rubro por CUI'!$N$5:$N$454,0))</f>
        <v>0.0</v>
      </c>
      <c r="K99" s="8">
        <f>L99-SUM(F99:J99)</f>
        <v>0.0</v>
      </c>
      <c r="L99" s="8">
        <f>SUMIFS(Base!$N$5:$N$504,Base!$A$5:$A$504,"001",Base!$F$5:$F$504,"2385051")</f>
        <v>4927527.0</v>
      </c>
      <c r="M99" s="8">
        <f>D99-E99-L99</f>
        <v>31701724.0</v>
      </c>
      <c r="N99" s="7" t="s">
        <v>89</v>
      </c>
    </row>
    <row r="100" spans="1:14">
      <c r="A100" s="28">
        <v>93</v>
      </c>
      <c r="B100" s="28" t="s">
        <v>1888</v>
      </c>
      <c r="C100" s="7" t="s">
        <v>517</v>
      </c>
      <c r="D100" s="7" t="s">
        <v>99</v>
      </c>
      <c r="E100" s="7" t="s">
        <v>99</v>
      </c>
      <c r="F100" s="8">
        <f>INDEX('Rubro por CUI'!$E$5:$E$454,MATCH("001|2500458",'Rubro por CUI'!$N$5:$N$454,0))</f>
        <v>0.0</v>
      </c>
      <c r="G100" s="8">
        <f>INDEX('Rubro por CUI'!$F$5:$F$454,MATCH("001|2500458",'Rubro por CUI'!$N$5:$N$454,0))</f>
        <v>0.0</v>
      </c>
      <c r="H100" s="8">
        <f>INDEX('Rubro por CUI'!$G$5:$G$454,MATCH("001|2500458",'Rubro por CUI'!$N$5:$N$454,0))</f>
        <v>4437995.0</v>
      </c>
      <c r="I100" s="8">
        <f>INDEX('Rubro por CUI'!$H$5:$H$454,MATCH("001|2500458",'Rubro por CUI'!$N$5:$N$454,0))</f>
        <v>0.0</v>
      </c>
      <c r="J100" s="8">
        <f>INDEX('Rubro por CUI'!$I$5:$I$454,MATCH("001|2500458",'Rubro por CUI'!$N$5:$N$454,0))</f>
        <v>0.0</v>
      </c>
      <c r="K100" s="8">
        <f>L100-SUM(F100:J100)</f>
        <v>0.0</v>
      </c>
      <c r="L100" s="8">
        <f>SUMIFS(Base!$N$5:$N$504,Base!$A$5:$A$504,"001",Base!$F$5:$F$504,"2500458")</f>
        <v>4437995.0</v>
      </c>
      <c r="M100" s="7" t="s">
        <v>99</v>
      </c>
      <c r="N100" s="7" t="s">
        <v>1796</v>
      </c>
    </row>
    <row r="101" spans="1:14">
      <c r="A101" s="28">
        <v>94</v>
      </c>
      <c r="B101" s="28" t="s">
        <v>1889</v>
      </c>
      <c r="C101" s="7" t="s">
        <v>422</v>
      </c>
      <c r="D101" s="7" t="s">
        <v>99</v>
      </c>
      <c r="E101" s="7" t="s">
        <v>99</v>
      </c>
      <c r="F101" s="8">
        <f>INDEX('Rubro por CUI'!$E$5:$E$454,MATCH("001|2289661",'Rubro por CUI'!$N$5:$N$454,0))</f>
        <v>0.0</v>
      </c>
      <c r="G101" s="8">
        <f>INDEX('Rubro por CUI'!$F$5:$F$454,MATCH("001|2289661",'Rubro por CUI'!$N$5:$N$454,0))</f>
        <v>0.0</v>
      </c>
      <c r="H101" s="8">
        <f>INDEX('Rubro por CUI'!$G$5:$G$454,MATCH("001|2289661",'Rubro por CUI'!$N$5:$N$454,0))</f>
        <v>4291327.0</v>
      </c>
      <c r="I101" s="8">
        <f>INDEX('Rubro por CUI'!$H$5:$H$454,MATCH("001|2289661",'Rubro por CUI'!$N$5:$N$454,0))</f>
        <v>0.0</v>
      </c>
      <c r="J101" s="8">
        <f>INDEX('Rubro por CUI'!$I$5:$I$454,MATCH("001|2289661",'Rubro por CUI'!$N$5:$N$454,0))</f>
        <v>0.0</v>
      </c>
      <c r="K101" s="8">
        <f>L101-SUM(F101:J101)</f>
        <v>0.0</v>
      </c>
      <c r="L101" s="8">
        <f>SUMIFS(Base!$N$5:$N$504,Base!$A$5:$A$504,"001",Base!$F$5:$F$504,"2289661")</f>
        <v>4291327.0</v>
      </c>
      <c r="M101" s="7" t="s">
        <v>99</v>
      </c>
      <c r="N101" s="7" t="s">
        <v>1796</v>
      </c>
    </row>
    <row r="102" spans="1:14">
      <c r="A102" s="28">
        <v>95</v>
      </c>
      <c r="B102" s="28" t="s">
        <v>1890</v>
      </c>
      <c r="C102" s="7" t="s">
        <v>520</v>
      </c>
      <c r="D102" s="7" t="s">
        <v>99</v>
      </c>
      <c r="E102" s="7" t="s">
        <v>99</v>
      </c>
      <c r="F102" s="8">
        <f>INDEX('Rubro por CUI'!$E$5:$E$454,MATCH("001|2453224",'Rubro por CUI'!$N$5:$N$454,0))</f>
        <v>0.0</v>
      </c>
      <c r="G102" s="8">
        <f>INDEX('Rubro por CUI'!$F$5:$F$454,MATCH("001|2453224",'Rubro por CUI'!$N$5:$N$454,0))</f>
        <v>0.0</v>
      </c>
      <c r="H102" s="8">
        <f>INDEX('Rubro por CUI'!$G$5:$G$454,MATCH("001|2453224",'Rubro por CUI'!$N$5:$N$454,0))</f>
        <v>4265759.0</v>
      </c>
      <c r="I102" s="8">
        <f>INDEX('Rubro por CUI'!$H$5:$H$454,MATCH("001|2453224",'Rubro por CUI'!$N$5:$N$454,0))</f>
        <v>0.0</v>
      </c>
      <c r="J102" s="8">
        <f>INDEX('Rubro por CUI'!$I$5:$I$454,MATCH("001|2453224",'Rubro por CUI'!$N$5:$N$454,0))</f>
        <v>0.0</v>
      </c>
      <c r="K102" s="8">
        <f>L102-SUM(F102:J102)</f>
        <v>0.0</v>
      </c>
      <c r="L102" s="8">
        <f>SUMIFS(Base!$N$5:$N$504,Base!$A$5:$A$504,"001",Base!$F$5:$F$504,"2453224")</f>
        <v>4265759.0</v>
      </c>
      <c r="M102" s="7" t="s">
        <v>99</v>
      </c>
      <c r="N102" s="7" t="s">
        <v>1796</v>
      </c>
    </row>
    <row r="103" spans="1:14">
      <c r="A103" s="28">
        <v>96</v>
      </c>
      <c r="B103" s="28" t="s">
        <v>1891</v>
      </c>
      <c r="C103" s="7" t="s">
        <v>527</v>
      </c>
      <c r="D103" s="33">
        <v>14908876</v>
      </c>
      <c r="E103" s="33">
        <v>794106</v>
      </c>
      <c r="F103" s="8">
        <f>INDEX('Rubro por CUI'!$E$5:$E$454,MATCH("001|2344253",'Rubro por CUI'!$N$5:$N$454,0))</f>
        <v>0.0</v>
      </c>
      <c r="G103" s="8">
        <f>INDEX('Rubro por CUI'!$F$5:$F$454,MATCH("001|2344253",'Rubro por CUI'!$N$5:$N$454,0))</f>
        <v>0.0</v>
      </c>
      <c r="H103" s="8">
        <f>INDEX('Rubro por CUI'!$G$5:$G$454,MATCH("001|2344253",'Rubro por CUI'!$N$5:$N$454,0))</f>
        <v>4026127.0</v>
      </c>
      <c r="I103" s="8">
        <f>INDEX('Rubro por CUI'!$H$5:$H$454,MATCH("001|2344253",'Rubro por CUI'!$N$5:$N$454,0))</f>
        <v>0.0</v>
      </c>
      <c r="J103" s="8">
        <f>INDEX('Rubro por CUI'!$I$5:$I$454,MATCH("001|2344253",'Rubro por CUI'!$N$5:$N$454,0))</f>
        <v>0.0</v>
      </c>
      <c r="K103" s="8">
        <f>L103-SUM(F103:J103)</f>
        <v>0.0</v>
      </c>
      <c r="L103" s="8">
        <f>SUMIFS(Base!$N$5:$N$504,Base!$A$5:$A$504,"001",Base!$F$5:$F$504,"2344253")</f>
        <v>4026127.0</v>
      </c>
      <c r="M103" s="8">
        <f>D103-E103-L103</f>
        <v>10088643.0</v>
      </c>
      <c r="N103" s="7" t="s">
        <v>89</v>
      </c>
    </row>
    <row r="104" spans="1:14">
      <c r="A104" s="28">
        <v>97</v>
      </c>
      <c r="B104" s="28" t="s">
        <v>1892</v>
      </c>
      <c r="C104" s="7" t="s">
        <v>436</v>
      </c>
      <c r="D104" s="7" t="s">
        <v>99</v>
      </c>
      <c r="E104" s="7" t="s">
        <v>99</v>
      </c>
      <c r="F104" s="8">
        <f>INDEX('Rubro por CUI'!$E$5:$E$454,MATCH("001|2606991",'Rubro por CUI'!$N$5:$N$454,0))</f>
        <v>0.0</v>
      </c>
      <c r="G104" s="8">
        <f>INDEX('Rubro por CUI'!$F$5:$F$454,MATCH("001|2606991",'Rubro por CUI'!$N$5:$N$454,0))</f>
        <v>600641.0</v>
      </c>
      <c r="H104" s="8">
        <f>INDEX('Rubro por CUI'!$G$5:$G$454,MATCH("001|2606991",'Rubro por CUI'!$N$5:$N$454,0))</f>
        <v>3252523.0</v>
      </c>
      <c r="I104" s="8">
        <f>INDEX('Rubro por CUI'!$H$5:$H$454,MATCH("001|2606991",'Rubro por CUI'!$N$5:$N$454,0))</f>
        <v>0.0</v>
      </c>
      <c r="J104" s="8">
        <f>INDEX('Rubro por CUI'!$I$5:$I$454,MATCH("001|2606991",'Rubro por CUI'!$N$5:$N$454,0))</f>
        <v>0.0</v>
      </c>
      <c r="K104" s="8">
        <f>L104-SUM(F104:J104)</f>
        <v>0.0</v>
      </c>
      <c r="L104" s="8">
        <f>SUMIFS(Base!$N$5:$N$504,Base!$A$5:$A$504,"001",Base!$F$5:$F$504,"2606991")</f>
        <v>3853164.0</v>
      </c>
      <c r="M104" s="7" t="s">
        <v>99</v>
      </c>
      <c r="N104" s="7" t="s">
        <v>1796</v>
      </c>
    </row>
    <row r="105" spans="1:14">
      <c r="A105" s="28">
        <v>98</v>
      </c>
      <c r="B105" s="28" t="s">
        <v>1893</v>
      </c>
      <c r="C105" s="7" t="s">
        <v>139</v>
      </c>
      <c r="D105" s="33">
        <v>7037137</v>
      </c>
      <c r="E105" s="33">
        <v>237600</v>
      </c>
      <c r="F105" s="8">
        <f>INDEX('Rubro por CUI'!$E$5:$E$454,MATCH("001|2629119",'Rubro por CUI'!$N$5:$N$454,0))</f>
        <v>0.0</v>
      </c>
      <c r="G105" s="8">
        <f>INDEX('Rubro por CUI'!$F$5:$F$454,MATCH("001|2629119",'Rubro por CUI'!$N$5:$N$454,0))</f>
        <v>0.0</v>
      </c>
      <c r="H105" s="8">
        <f>INDEX('Rubro por CUI'!$G$5:$G$454,MATCH("001|2629119",'Rubro por CUI'!$N$5:$N$454,0))</f>
        <v>3656326.0</v>
      </c>
      <c r="I105" s="8">
        <f>INDEX('Rubro por CUI'!$H$5:$H$454,MATCH("001|2629119",'Rubro por CUI'!$N$5:$N$454,0))</f>
        <v>0.0</v>
      </c>
      <c r="J105" s="8">
        <f>INDEX('Rubro por CUI'!$I$5:$I$454,MATCH("001|2629119",'Rubro por CUI'!$N$5:$N$454,0))</f>
        <v>0.0</v>
      </c>
      <c r="K105" s="8">
        <f>L105-SUM(F105:J105)</f>
        <v>0.0</v>
      </c>
      <c r="L105" s="8">
        <f>SUMIFS(Base!$N$5:$N$504,Base!$A$5:$A$504,"001",Base!$F$5:$F$504,"2629119")</f>
        <v>3656326.0</v>
      </c>
      <c r="M105" s="8">
        <f>D105-E105-L105</f>
        <v>3143211.0</v>
      </c>
      <c r="N105" s="7" t="s">
        <v>89</v>
      </c>
    </row>
    <row r="106" spans="1:14">
      <c r="A106" s="28">
        <v>99</v>
      </c>
      <c r="B106" s="28" t="s">
        <v>1894</v>
      </c>
      <c r="C106" s="7" t="s">
        <v>1515</v>
      </c>
      <c r="D106" s="7" t="s">
        <v>99</v>
      </c>
      <c r="E106" s="7" t="s">
        <v>99</v>
      </c>
      <c r="F106" s="8">
        <f>INDEX('Rubro por CUI'!$E$5:$E$454,MATCH("001|2721991",'Rubro por CUI'!$N$5:$N$454,0))</f>
        <v>0.0</v>
      </c>
      <c r="G106" s="8">
        <f>INDEX('Rubro por CUI'!$F$5:$F$454,MATCH("001|2721991",'Rubro por CUI'!$N$5:$N$454,0))</f>
        <v>3254770.0</v>
      </c>
      <c r="H106" s="8">
        <f>INDEX('Rubro por CUI'!$G$5:$G$454,MATCH("001|2721991",'Rubro por CUI'!$N$5:$N$454,0))</f>
        <v>0.0</v>
      </c>
      <c r="I106" s="8">
        <f>INDEX('Rubro por CUI'!$H$5:$H$454,MATCH("001|2721991",'Rubro por CUI'!$N$5:$N$454,0))</f>
        <v>0.0</v>
      </c>
      <c r="J106" s="8">
        <f>INDEX('Rubro por CUI'!$I$5:$I$454,MATCH("001|2721991",'Rubro por CUI'!$N$5:$N$454,0))</f>
        <v>0.0</v>
      </c>
      <c r="K106" s="8">
        <f>L106-SUM(F106:J106)</f>
        <v>0.0</v>
      </c>
      <c r="L106" s="8">
        <f>SUMIFS(Base!$N$5:$N$504,Base!$A$5:$A$504,"001",Base!$F$5:$F$504,"2721991")</f>
        <v>3254770.0</v>
      </c>
      <c r="M106" s="7" t="s">
        <v>99</v>
      </c>
      <c r="N106" s="7" t="s">
        <v>1796</v>
      </c>
    </row>
    <row r="107" spans="1:14">
      <c r="A107" s="28">
        <v>100</v>
      </c>
      <c r="B107" s="28" t="s">
        <v>1895</v>
      </c>
      <c r="C107" s="7" t="s">
        <v>938</v>
      </c>
      <c r="D107" s="7" t="s">
        <v>99</v>
      </c>
      <c r="E107" s="7" t="s">
        <v>99</v>
      </c>
      <c r="F107" s="8">
        <f>INDEX('Rubro por CUI'!$E$5:$E$454,MATCH("001|2650473",'Rubro por CUI'!$N$5:$N$454,0))</f>
        <v>0.0</v>
      </c>
      <c r="G107" s="8">
        <f>INDEX('Rubro por CUI'!$F$5:$F$454,MATCH("001|2650473",'Rubro por CUI'!$N$5:$N$454,0))</f>
        <v>653776.0</v>
      </c>
      <c r="H107" s="8">
        <f>INDEX('Rubro por CUI'!$G$5:$G$454,MATCH("001|2650473",'Rubro por CUI'!$N$5:$N$454,0))</f>
        <v>0.0</v>
      </c>
      <c r="I107" s="8">
        <f>INDEX('Rubro por CUI'!$H$5:$H$454,MATCH("001|2650473",'Rubro por CUI'!$N$5:$N$454,0))</f>
        <v>1740229.0</v>
      </c>
      <c r="J107" s="8">
        <f>INDEX('Rubro por CUI'!$I$5:$I$454,MATCH("001|2650473",'Rubro por CUI'!$N$5:$N$454,0))</f>
        <v>0.0</v>
      </c>
      <c r="K107" s="8">
        <f>L107-SUM(F107:J107)</f>
        <v>0.0</v>
      </c>
      <c r="L107" s="8">
        <f>SUMIFS(Base!$N$5:$N$504,Base!$A$5:$A$504,"001",Base!$F$5:$F$504,"2650473")</f>
        <v>2394005.0</v>
      </c>
      <c r="M107" s="7" t="s">
        <v>99</v>
      </c>
      <c r="N107" s="7" t="s">
        <v>1796</v>
      </c>
    </row>
    <row r="108" spans="1:14">
      <c r="A108" s="28">
        <v>101</v>
      </c>
      <c r="B108" s="28" t="s">
        <v>1896</v>
      </c>
      <c r="C108" s="7" t="s">
        <v>443</v>
      </c>
      <c r="D108" s="33">
        <v>2554872</v>
      </c>
      <c r="E108" s="33">
        <v>111628</v>
      </c>
      <c r="F108" s="8">
        <f>INDEX('Rubro por CUI'!$E$5:$E$454,MATCH("001|2649858",'Rubro por CUI'!$N$5:$N$454,0))</f>
        <v>0.0</v>
      </c>
      <c r="G108" s="8">
        <f>INDEX('Rubro por CUI'!$F$5:$F$454,MATCH("001|2649858",'Rubro por CUI'!$N$5:$N$454,0))</f>
        <v>0.0</v>
      </c>
      <c r="H108" s="8">
        <f>INDEX('Rubro por CUI'!$G$5:$G$454,MATCH("001|2649858",'Rubro por CUI'!$N$5:$N$454,0))</f>
        <v>2361641.0</v>
      </c>
      <c r="I108" s="8">
        <f>INDEX('Rubro por CUI'!$H$5:$H$454,MATCH("001|2649858",'Rubro por CUI'!$N$5:$N$454,0))</f>
        <v>0.0</v>
      </c>
      <c r="J108" s="8">
        <f>INDEX('Rubro por CUI'!$I$5:$I$454,MATCH("001|2649858",'Rubro por CUI'!$N$5:$N$454,0))</f>
        <v>0.0</v>
      </c>
      <c r="K108" s="8">
        <f>L108-SUM(F108:J108)</f>
        <v>0.0</v>
      </c>
      <c r="L108" s="8">
        <f>SUMIFS(Base!$N$5:$N$504,Base!$A$5:$A$504,"001",Base!$F$5:$F$504,"2649858")</f>
        <v>2361641.0</v>
      </c>
      <c r="M108" s="8">
        <f>D108-E108-L108</f>
        <v>81603.0</v>
      </c>
      <c r="N108" s="7" t="s">
        <v>89</v>
      </c>
    </row>
    <row r="109" spans="1:14">
      <c r="A109" s="28">
        <v>102</v>
      </c>
      <c r="B109" s="28" t="s">
        <v>1897</v>
      </c>
      <c r="C109" s="7" t="s">
        <v>524</v>
      </c>
      <c r="D109" s="33">
        <v>3634791</v>
      </c>
      <c r="E109" s="33">
        <v>549425</v>
      </c>
      <c r="F109" s="8">
        <f>INDEX('Rubro por CUI'!$E$5:$E$454,MATCH("001|2250382",'Rubro por CUI'!$N$5:$N$454,0))</f>
        <v>0.0</v>
      </c>
      <c r="G109" s="8">
        <f>INDEX('Rubro por CUI'!$F$5:$F$454,MATCH("001|2250382",'Rubro por CUI'!$N$5:$N$454,0))</f>
        <v>0.0</v>
      </c>
      <c r="H109" s="8">
        <f>INDEX('Rubro por CUI'!$G$5:$G$454,MATCH("001|2250382",'Rubro por CUI'!$N$5:$N$454,0))</f>
        <v>2342684.0</v>
      </c>
      <c r="I109" s="8">
        <f>INDEX('Rubro por CUI'!$H$5:$H$454,MATCH("001|2250382",'Rubro por CUI'!$N$5:$N$454,0))</f>
        <v>0.0</v>
      </c>
      <c r="J109" s="8">
        <f>INDEX('Rubro por CUI'!$I$5:$I$454,MATCH("001|2250382",'Rubro por CUI'!$N$5:$N$454,0))</f>
        <v>0.0</v>
      </c>
      <c r="K109" s="8">
        <f>L109-SUM(F109:J109)</f>
        <v>0.0</v>
      </c>
      <c r="L109" s="8">
        <f>SUMIFS(Base!$N$5:$N$504,Base!$A$5:$A$504,"001",Base!$F$5:$F$504,"2250382")</f>
        <v>2342684.0</v>
      </c>
      <c r="M109" s="8">
        <f>D109-E109-L109</f>
        <v>742682.0</v>
      </c>
      <c r="N109" s="7" t="s">
        <v>89</v>
      </c>
    </row>
    <row r="110" spans="1:14">
      <c r="A110" s="28">
        <v>103</v>
      </c>
      <c r="B110" s="28" t="s">
        <v>1898</v>
      </c>
      <c r="C110" s="7" t="s">
        <v>120</v>
      </c>
      <c r="D110" s="33">
        <v>14491611</v>
      </c>
      <c r="E110" s="33">
        <v>12020022</v>
      </c>
      <c r="F110" s="8">
        <f>INDEX('Rubro por CUI'!$E$5:$E$454,MATCH("001|2344324",'Rubro por CUI'!$N$5:$N$454,0))</f>
        <v>0.0</v>
      </c>
      <c r="G110" s="8">
        <f>INDEX('Rubro por CUI'!$F$5:$F$454,MATCH("001|2344324",'Rubro por CUI'!$N$5:$N$454,0))</f>
        <v>0.0</v>
      </c>
      <c r="H110" s="8">
        <f>INDEX('Rubro por CUI'!$G$5:$G$454,MATCH("001|2344324",'Rubro por CUI'!$N$5:$N$454,0))</f>
        <v>2079431.0</v>
      </c>
      <c r="I110" s="8">
        <f>INDEX('Rubro por CUI'!$H$5:$H$454,MATCH("001|2344324",'Rubro por CUI'!$N$5:$N$454,0))</f>
        <v>0.0</v>
      </c>
      <c r="J110" s="8">
        <f>INDEX('Rubro por CUI'!$I$5:$I$454,MATCH("001|2344324",'Rubro por CUI'!$N$5:$N$454,0))</f>
        <v>0.0</v>
      </c>
      <c r="K110" s="8">
        <f>L110-SUM(F110:J110)</f>
        <v>0.0</v>
      </c>
      <c r="L110" s="8">
        <f>SUMIFS(Base!$N$5:$N$504,Base!$A$5:$A$504,"001",Base!$F$5:$F$504,"2344324")</f>
        <v>2079431.0</v>
      </c>
      <c r="M110" s="8">
        <f>D110-E110-L110</f>
        <v>392158.0</v>
      </c>
      <c r="N110" s="7" t="s">
        <v>89</v>
      </c>
    </row>
    <row r="111" spans="1:14">
      <c r="A111" s="28">
        <v>104</v>
      </c>
      <c r="B111" s="28" t="s">
        <v>1899</v>
      </c>
      <c r="C111" s="7" t="s">
        <v>144</v>
      </c>
      <c r="D111" s="33">
        <v>57464983</v>
      </c>
      <c r="E111" s="33">
        <v>1085345</v>
      </c>
      <c r="F111" s="8">
        <f>INDEX('Rubro por CUI'!$E$5:$E$454,MATCH("001|2539673",'Rubro por CUI'!$N$5:$N$454,0))</f>
        <v>0.0</v>
      </c>
      <c r="G111" s="8">
        <f>INDEX('Rubro por CUI'!$F$5:$F$454,MATCH("001|2539673",'Rubro por CUI'!$N$5:$N$454,0))</f>
        <v>0.0</v>
      </c>
      <c r="H111" s="8">
        <f>INDEX('Rubro por CUI'!$G$5:$G$454,MATCH("001|2539673",'Rubro por CUI'!$N$5:$N$454,0))</f>
        <v>2000000.0</v>
      </c>
      <c r="I111" s="8">
        <f>INDEX('Rubro por CUI'!$H$5:$H$454,MATCH("001|2539673",'Rubro por CUI'!$N$5:$N$454,0))</f>
        <v>0.0</v>
      </c>
      <c r="J111" s="8">
        <f>INDEX('Rubro por CUI'!$I$5:$I$454,MATCH("001|2539673",'Rubro por CUI'!$N$5:$N$454,0))</f>
        <v>0.0</v>
      </c>
      <c r="K111" s="8">
        <f>L111-SUM(F111:J111)</f>
        <v>0.0</v>
      </c>
      <c r="L111" s="8">
        <f>SUMIFS(Base!$N$5:$N$504,Base!$A$5:$A$504,"001",Base!$F$5:$F$504,"2539673")</f>
        <v>2000000.0</v>
      </c>
      <c r="M111" s="8">
        <f>D111-E111-L111</f>
        <v>54379638.0</v>
      </c>
      <c r="N111" s="7" t="s">
        <v>89</v>
      </c>
    </row>
    <row r="112" spans="1:14">
      <c r="A112" s="28">
        <v>105</v>
      </c>
      <c r="B112" s="28" t="s">
        <v>1900</v>
      </c>
      <c r="C112" s="7" t="s">
        <v>154</v>
      </c>
      <c r="D112" s="33">
        <v>2388319</v>
      </c>
      <c r="E112" s="33">
        <v>144845</v>
      </c>
      <c r="F112" s="8">
        <f>INDEX('Rubro por CUI'!$E$5:$E$454,MATCH("001|2664940",'Rubro por CUI'!$N$5:$N$454,0))</f>
        <v>0.0</v>
      </c>
      <c r="G112" s="8">
        <f>INDEX('Rubro por CUI'!$F$5:$F$454,MATCH("001|2664940",'Rubro por CUI'!$N$5:$N$454,0))</f>
        <v>451270.0</v>
      </c>
      <c r="H112" s="8">
        <f>INDEX('Rubro por CUI'!$G$5:$G$454,MATCH("001|2664940",'Rubro por CUI'!$N$5:$N$454,0))</f>
        <v>1410000.0</v>
      </c>
      <c r="I112" s="8">
        <f>INDEX('Rubro por CUI'!$H$5:$H$454,MATCH("001|2664940",'Rubro por CUI'!$N$5:$N$454,0))</f>
        <v>0.0</v>
      </c>
      <c r="J112" s="8">
        <f>INDEX('Rubro por CUI'!$I$5:$I$454,MATCH("001|2664940",'Rubro por CUI'!$N$5:$N$454,0))</f>
        <v>0.0</v>
      </c>
      <c r="K112" s="8">
        <f>L112-SUM(F112:J112)</f>
        <v>0.0</v>
      </c>
      <c r="L112" s="8">
        <f>SUMIFS(Base!$N$5:$N$504,Base!$A$5:$A$504,"001",Base!$F$5:$F$504,"2664940")</f>
        <v>1861270.0</v>
      </c>
      <c r="M112" s="8">
        <f>D112-E112-L112</f>
        <v>382204.0</v>
      </c>
      <c r="N112" s="7" t="s">
        <v>89</v>
      </c>
    </row>
    <row r="113" spans="1:14">
      <c r="A113" s="28">
        <v>106</v>
      </c>
      <c r="B113" s="28" t="s">
        <v>1901</v>
      </c>
      <c r="C113" s="7" t="s">
        <v>1525</v>
      </c>
      <c r="D113" s="7" t="s">
        <v>99</v>
      </c>
      <c r="E113" s="7" t="s">
        <v>99</v>
      </c>
      <c r="F113" s="8">
        <f>INDEX('Rubro por CUI'!$E$5:$E$454,MATCH("001|2719529",'Rubro por CUI'!$N$5:$N$454,0))</f>
        <v>0.0</v>
      </c>
      <c r="G113" s="8">
        <f>INDEX('Rubro por CUI'!$F$5:$F$454,MATCH("001|2719529",'Rubro por CUI'!$N$5:$N$454,0))</f>
        <v>1688098.0</v>
      </c>
      <c r="H113" s="8">
        <f>INDEX('Rubro por CUI'!$G$5:$G$454,MATCH("001|2719529",'Rubro por CUI'!$N$5:$N$454,0))</f>
        <v>0.0</v>
      </c>
      <c r="I113" s="8">
        <f>INDEX('Rubro por CUI'!$H$5:$H$454,MATCH("001|2719529",'Rubro por CUI'!$N$5:$N$454,0))</f>
        <v>0.0</v>
      </c>
      <c r="J113" s="8">
        <f>INDEX('Rubro por CUI'!$I$5:$I$454,MATCH("001|2719529",'Rubro por CUI'!$N$5:$N$454,0))</f>
        <v>0.0</v>
      </c>
      <c r="K113" s="8">
        <f>L113-SUM(F113:J113)</f>
        <v>0.0</v>
      </c>
      <c r="L113" s="8">
        <f>SUMIFS(Base!$N$5:$N$504,Base!$A$5:$A$504,"001",Base!$F$5:$F$504,"2719529")</f>
        <v>1688098.0</v>
      </c>
      <c r="M113" s="7" t="s">
        <v>99</v>
      </c>
      <c r="N113" s="7" t="s">
        <v>1796</v>
      </c>
    </row>
    <row r="114" spans="1:14">
      <c r="A114" s="28">
        <v>107</v>
      </c>
      <c r="B114" s="28" t="s">
        <v>1902</v>
      </c>
      <c r="C114" s="7" t="s">
        <v>533</v>
      </c>
      <c r="D114" s="33">
        <v>15685238</v>
      </c>
      <c r="E114" s="33">
        <v>539273</v>
      </c>
      <c r="F114" s="8">
        <f>INDEX('Rubro por CUI'!$E$5:$E$454,MATCH("001|2566572",'Rubro por CUI'!$N$5:$N$454,0))</f>
        <v>0.0</v>
      </c>
      <c r="G114" s="8">
        <f>INDEX('Rubro por CUI'!$F$5:$F$454,MATCH("001|2566572",'Rubro por CUI'!$N$5:$N$454,0))</f>
        <v>0.0</v>
      </c>
      <c r="H114" s="8">
        <f>INDEX('Rubro por CUI'!$G$5:$G$454,MATCH("001|2566572",'Rubro por CUI'!$N$5:$N$454,0))</f>
        <v>1479604.0</v>
      </c>
      <c r="I114" s="8">
        <f>INDEX('Rubro por CUI'!$H$5:$H$454,MATCH("001|2566572",'Rubro por CUI'!$N$5:$N$454,0))</f>
        <v>0.0</v>
      </c>
      <c r="J114" s="8">
        <f>INDEX('Rubro por CUI'!$I$5:$I$454,MATCH("001|2566572",'Rubro por CUI'!$N$5:$N$454,0))</f>
        <v>0.0</v>
      </c>
      <c r="K114" s="8">
        <f>L114-SUM(F114:J114)</f>
        <v>0.0</v>
      </c>
      <c r="L114" s="8">
        <f>SUMIFS(Base!$N$5:$N$504,Base!$A$5:$A$504,"001",Base!$F$5:$F$504,"2566572")</f>
        <v>1479604.0</v>
      </c>
      <c r="M114" s="8">
        <f>D114-E114-L114</f>
        <v>13666361.0</v>
      </c>
      <c r="N114" s="7" t="s">
        <v>89</v>
      </c>
    </row>
    <row r="115" spans="1:14">
      <c r="A115" s="28">
        <v>108</v>
      </c>
      <c r="B115" s="28" t="s">
        <v>1903</v>
      </c>
      <c r="C115" s="7" t="s">
        <v>125</v>
      </c>
      <c r="D115" s="33">
        <v>12502191</v>
      </c>
      <c r="E115" s="33">
        <v>11024054</v>
      </c>
      <c r="F115" s="8">
        <f>INDEX('Rubro por CUI'!$E$5:$E$454,MATCH("001|2490075",'Rubro por CUI'!$N$5:$N$454,0))</f>
        <v>0.0</v>
      </c>
      <c r="G115" s="8">
        <f>INDEX('Rubro por CUI'!$F$5:$F$454,MATCH("001|2490075",'Rubro por CUI'!$N$5:$N$454,0))</f>
        <v>0.0</v>
      </c>
      <c r="H115" s="8">
        <f>INDEX('Rubro por CUI'!$G$5:$G$454,MATCH("001|2490075",'Rubro por CUI'!$N$5:$N$454,0))</f>
        <v>1425006.0</v>
      </c>
      <c r="I115" s="8">
        <f>INDEX('Rubro por CUI'!$H$5:$H$454,MATCH("001|2490075",'Rubro por CUI'!$N$5:$N$454,0))</f>
        <v>0.0</v>
      </c>
      <c r="J115" s="8">
        <f>INDEX('Rubro por CUI'!$I$5:$I$454,MATCH("001|2490075",'Rubro por CUI'!$N$5:$N$454,0))</f>
        <v>0.0</v>
      </c>
      <c r="K115" s="8">
        <f>L115-SUM(F115:J115)</f>
        <v>0.0</v>
      </c>
      <c r="L115" s="8">
        <f>SUMIFS(Base!$N$5:$N$504,Base!$A$5:$A$504,"001",Base!$F$5:$F$504,"2490075")</f>
        <v>1425006.0</v>
      </c>
      <c r="M115" s="8">
        <f>D115-E115-L115</f>
        <v>53131.0</v>
      </c>
      <c r="N115" s="7" t="s">
        <v>89</v>
      </c>
    </row>
    <row r="116" spans="1:14">
      <c r="A116" s="28">
        <v>109</v>
      </c>
      <c r="B116" s="28" t="s">
        <v>1904</v>
      </c>
      <c r="C116" s="7" t="s">
        <v>446</v>
      </c>
      <c r="D116" s="33">
        <v>13497888</v>
      </c>
      <c r="E116" s="33">
        <v>12180425</v>
      </c>
      <c r="F116" s="8">
        <f>INDEX('Rubro por CUI'!$E$5:$E$454,MATCH("001|2411335",'Rubro por CUI'!$N$5:$N$454,0))</f>
        <v>0.0</v>
      </c>
      <c r="G116" s="8">
        <f>INDEX('Rubro por CUI'!$F$5:$F$454,MATCH("001|2411335",'Rubro por CUI'!$N$5:$N$454,0))</f>
        <v>0.0</v>
      </c>
      <c r="H116" s="8">
        <f>INDEX('Rubro por CUI'!$G$5:$G$454,MATCH("001|2411335",'Rubro por CUI'!$N$5:$N$454,0))</f>
        <v>1272735.0</v>
      </c>
      <c r="I116" s="8">
        <f>INDEX('Rubro por CUI'!$H$5:$H$454,MATCH("001|2411335",'Rubro por CUI'!$N$5:$N$454,0))</f>
        <v>0.0</v>
      </c>
      <c r="J116" s="8">
        <f>INDEX('Rubro por CUI'!$I$5:$I$454,MATCH("001|2411335",'Rubro por CUI'!$N$5:$N$454,0))</f>
        <v>0.0</v>
      </c>
      <c r="K116" s="8">
        <f>L116-SUM(F116:J116)</f>
        <v>0.0</v>
      </c>
      <c r="L116" s="8">
        <f>SUMIFS(Base!$N$5:$N$504,Base!$A$5:$A$504,"001",Base!$F$5:$F$504,"2411335")</f>
        <v>1272735.0</v>
      </c>
      <c r="M116" s="8">
        <f>D116-E116-L116</f>
        <v>44728.0</v>
      </c>
      <c r="N116" s="7" t="s">
        <v>89</v>
      </c>
    </row>
    <row r="117" spans="1:14">
      <c r="A117" s="28">
        <v>110</v>
      </c>
      <c r="B117" s="28" t="s">
        <v>1905</v>
      </c>
      <c r="C117" s="7" t="s">
        <v>440</v>
      </c>
      <c r="D117" s="33">
        <v>2187901</v>
      </c>
      <c r="E117" s="33">
        <v>86545</v>
      </c>
      <c r="F117" s="8">
        <f>INDEX('Rubro por CUI'!$E$5:$E$454,MATCH("001|2649852",'Rubro por CUI'!$N$5:$N$454,0))</f>
        <v>0.0</v>
      </c>
      <c r="G117" s="8">
        <f>INDEX('Rubro por CUI'!$F$5:$F$454,MATCH("001|2649852",'Rubro por CUI'!$N$5:$N$454,0))</f>
        <v>0.0</v>
      </c>
      <c r="H117" s="8">
        <f>INDEX('Rubro por CUI'!$G$5:$G$454,MATCH("001|2649852",'Rubro por CUI'!$N$5:$N$454,0))</f>
        <v>1142346.0</v>
      </c>
      <c r="I117" s="8">
        <f>INDEX('Rubro por CUI'!$H$5:$H$454,MATCH("001|2649852",'Rubro por CUI'!$N$5:$N$454,0))</f>
        <v>0.0</v>
      </c>
      <c r="J117" s="8">
        <f>INDEX('Rubro por CUI'!$I$5:$I$454,MATCH("001|2649852",'Rubro por CUI'!$N$5:$N$454,0))</f>
        <v>0.0</v>
      </c>
      <c r="K117" s="8">
        <f>L117-SUM(F117:J117)</f>
        <v>0.0</v>
      </c>
      <c r="L117" s="8">
        <f>SUMIFS(Base!$N$5:$N$504,Base!$A$5:$A$504,"001",Base!$F$5:$F$504,"2649852")</f>
        <v>1142346.0</v>
      </c>
      <c r="M117" s="8">
        <f>D117-E117-L117</f>
        <v>959010.0</v>
      </c>
      <c r="N117" s="7" t="s">
        <v>89</v>
      </c>
    </row>
    <row r="118" spans="1:14">
      <c r="A118" s="28">
        <v>111</v>
      </c>
      <c r="B118" s="28" t="s">
        <v>1906</v>
      </c>
      <c r="C118" s="7" t="s">
        <v>537</v>
      </c>
      <c r="D118" s="7" t="s">
        <v>99</v>
      </c>
      <c r="E118" s="7" t="s">
        <v>99</v>
      </c>
      <c r="F118" s="8">
        <f>INDEX('Rubro por CUI'!$E$5:$E$454,MATCH("001|2501244",'Rubro por CUI'!$N$5:$N$454,0))</f>
        <v>0.0</v>
      </c>
      <c r="G118" s="8">
        <f>INDEX('Rubro por CUI'!$F$5:$F$454,MATCH("001|2501244",'Rubro por CUI'!$N$5:$N$454,0))</f>
        <v>0.0</v>
      </c>
      <c r="H118" s="8">
        <f>INDEX('Rubro por CUI'!$G$5:$G$454,MATCH("001|2501244",'Rubro por CUI'!$N$5:$N$454,0))</f>
        <v>1038097.0</v>
      </c>
      <c r="I118" s="8">
        <f>INDEX('Rubro por CUI'!$H$5:$H$454,MATCH("001|2501244",'Rubro por CUI'!$N$5:$N$454,0))</f>
        <v>0.0</v>
      </c>
      <c r="J118" s="8">
        <f>INDEX('Rubro por CUI'!$I$5:$I$454,MATCH("001|2501244",'Rubro por CUI'!$N$5:$N$454,0))</f>
        <v>0.0</v>
      </c>
      <c r="K118" s="8">
        <f>L118-SUM(F118:J118)</f>
        <v>0.0</v>
      </c>
      <c r="L118" s="8">
        <f>SUMIFS(Base!$N$5:$N$504,Base!$A$5:$A$504,"001",Base!$F$5:$F$504,"2501244")</f>
        <v>1038097.0</v>
      </c>
      <c r="M118" s="7" t="s">
        <v>99</v>
      </c>
      <c r="N118" s="7" t="s">
        <v>1796</v>
      </c>
    </row>
    <row r="119" spans="1:14">
      <c r="A119" s="28">
        <v>112</v>
      </c>
      <c r="B119" s="28" t="s">
        <v>1907</v>
      </c>
      <c r="C119" s="7" t="s">
        <v>1521</v>
      </c>
      <c r="D119" s="7" t="s">
        <v>99</v>
      </c>
      <c r="E119" s="7" t="s">
        <v>99</v>
      </c>
      <c r="F119" s="8">
        <f>INDEX('Rubro por CUI'!$E$5:$E$454,MATCH("001|2721892",'Rubro por CUI'!$N$5:$N$454,0))</f>
        <v>0.0</v>
      </c>
      <c r="G119" s="8">
        <f>INDEX('Rubro por CUI'!$F$5:$F$454,MATCH("001|2721892",'Rubro por CUI'!$N$5:$N$454,0))</f>
        <v>1007572.0</v>
      </c>
      <c r="H119" s="8">
        <f>INDEX('Rubro por CUI'!$G$5:$G$454,MATCH("001|2721892",'Rubro por CUI'!$N$5:$N$454,0))</f>
        <v>0.0</v>
      </c>
      <c r="I119" s="8">
        <f>INDEX('Rubro por CUI'!$H$5:$H$454,MATCH("001|2721892",'Rubro por CUI'!$N$5:$N$454,0))</f>
        <v>0.0</v>
      </c>
      <c r="J119" s="8">
        <f>INDEX('Rubro por CUI'!$I$5:$I$454,MATCH("001|2721892",'Rubro por CUI'!$N$5:$N$454,0))</f>
        <v>0.0</v>
      </c>
      <c r="K119" s="8">
        <f>L119-SUM(F119:J119)</f>
        <v>0.0</v>
      </c>
      <c r="L119" s="8">
        <f>SUMIFS(Base!$N$5:$N$504,Base!$A$5:$A$504,"001",Base!$F$5:$F$504,"2721892")</f>
        <v>1007572.0</v>
      </c>
      <c r="M119" s="7" t="s">
        <v>99</v>
      </c>
      <c r="N119" s="7" t="s">
        <v>1796</v>
      </c>
    </row>
    <row r="120" spans="1:14">
      <c r="A120" s="28">
        <v>113</v>
      </c>
      <c r="B120" s="28" t="s">
        <v>1908</v>
      </c>
      <c r="C120" s="7" t="s">
        <v>1545</v>
      </c>
      <c r="D120" s="7" t="s">
        <v>99</v>
      </c>
      <c r="E120" s="7" t="s">
        <v>99</v>
      </c>
      <c r="F120" s="8">
        <f>INDEX('Rubro por CUI'!$E$5:$E$454,MATCH("001|2729834",'Rubro por CUI'!$N$5:$N$454,0))</f>
        <v>0.0</v>
      </c>
      <c r="G120" s="8">
        <f>INDEX('Rubro por CUI'!$F$5:$F$454,MATCH("001|2729834",'Rubro por CUI'!$N$5:$N$454,0))</f>
        <v>928545.0</v>
      </c>
      <c r="H120" s="8">
        <f>INDEX('Rubro por CUI'!$G$5:$G$454,MATCH("001|2729834",'Rubro por CUI'!$N$5:$N$454,0))</f>
        <v>0.0</v>
      </c>
      <c r="I120" s="8">
        <f>INDEX('Rubro por CUI'!$H$5:$H$454,MATCH("001|2729834",'Rubro por CUI'!$N$5:$N$454,0))</f>
        <v>0.0</v>
      </c>
      <c r="J120" s="8">
        <f>INDEX('Rubro por CUI'!$I$5:$I$454,MATCH("001|2729834",'Rubro por CUI'!$N$5:$N$454,0))</f>
        <v>0.0</v>
      </c>
      <c r="K120" s="8">
        <f>L120-SUM(F120:J120)</f>
        <v>0.0</v>
      </c>
      <c r="L120" s="8">
        <f>SUMIFS(Base!$N$5:$N$504,Base!$A$5:$A$504,"001",Base!$F$5:$F$504,"2729834")</f>
        <v>928545.0</v>
      </c>
      <c r="M120" s="7" t="s">
        <v>99</v>
      </c>
      <c r="N120" s="7" t="s">
        <v>1796</v>
      </c>
    </row>
    <row r="121" spans="1:14">
      <c r="A121" s="28">
        <v>114</v>
      </c>
      <c r="B121" s="28" t="s">
        <v>1909</v>
      </c>
      <c r="C121" s="7" t="s">
        <v>449</v>
      </c>
      <c r="D121" s="33">
        <v>2174190</v>
      </c>
      <c r="E121" s="33">
        <v>82791</v>
      </c>
      <c r="F121" s="8">
        <f>INDEX('Rubro por CUI'!$E$5:$E$454,MATCH("001|2651383",'Rubro por CUI'!$N$5:$N$454,0))</f>
        <v>0.0</v>
      </c>
      <c r="G121" s="8">
        <f>INDEX('Rubro por CUI'!$F$5:$F$454,MATCH("001|2651383",'Rubro por CUI'!$N$5:$N$454,0))</f>
        <v>0.0</v>
      </c>
      <c r="H121" s="8">
        <f>INDEX('Rubro por CUI'!$G$5:$G$454,MATCH("001|2651383",'Rubro por CUI'!$N$5:$N$454,0))</f>
        <v>919876.0</v>
      </c>
      <c r="I121" s="8">
        <f>INDEX('Rubro por CUI'!$H$5:$H$454,MATCH("001|2651383",'Rubro por CUI'!$N$5:$N$454,0))</f>
        <v>0.0</v>
      </c>
      <c r="J121" s="8">
        <f>INDEX('Rubro por CUI'!$I$5:$I$454,MATCH("001|2651383",'Rubro por CUI'!$N$5:$N$454,0))</f>
        <v>0.0</v>
      </c>
      <c r="K121" s="8">
        <f>L121-SUM(F121:J121)</f>
        <v>0.0</v>
      </c>
      <c r="L121" s="8">
        <f>SUMIFS(Base!$N$5:$N$504,Base!$A$5:$A$504,"001",Base!$F$5:$F$504,"2651383")</f>
        <v>919876.0</v>
      </c>
      <c r="M121" s="8">
        <f>D121-E121-L121</f>
        <v>1171523.0</v>
      </c>
      <c r="N121" s="7" t="s">
        <v>89</v>
      </c>
    </row>
    <row r="122" spans="1:14">
      <c r="A122" s="28">
        <v>115</v>
      </c>
      <c r="B122" s="28" t="s">
        <v>1910</v>
      </c>
      <c r="C122" s="7" t="s">
        <v>180</v>
      </c>
      <c r="D122" s="33">
        <v>17552581</v>
      </c>
      <c r="E122" s="33">
        <v>16064638</v>
      </c>
      <c r="F122" s="8">
        <f>INDEX('Rubro por CUI'!$E$5:$E$454,MATCH("001|2301117",'Rubro por CUI'!$N$5:$N$454,0))</f>
        <v>0.0</v>
      </c>
      <c r="G122" s="8">
        <f>INDEX('Rubro por CUI'!$F$5:$F$454,MATCH("001|2301117",'Rubro por CUI'!$N$5:$N$454,0))</f>
        <v>0.0</v>
      </c>
      <c r="H122" s="8">
        <f>INDEX('Rubro por CUI'!$G$5:$G$454,MATCH("001|2301117",'Rubro por CUI'!$N$5:$N$454,0))</f>
        <v>909086.0</v>
      </c>
      <c r="I122" s="8">
        <f>INDEX('Rubro por CUI'!$H$5:$H$454,MATCH("001|2301117",'Rubro por CUI'!$N$5:$N$454,0))</f>
        <v>0.0</v>
      </c>
      <c r="J122" s="8">
        <f>INDEX('Rubro por CUI'!$I$5:$I$454,MATCH("001|2301117",'Rubro por CUI'!$N$5:$N$454,0))</f>
        <v>0.0</v>
      </c>
      <c r="K122" s="8">
        <f>L122-SUM(F122:J122)</f>
        <v>0.0</v>
      </c>
      <c r="L122" s="8">
        <f>SUMIFS(Base!$N$5:$N$504,Base!$A$5:$A$504,"001",Base!$F$5:$F$504,"2301117")</f>
        <v>909086.0</v>
      </c>
      <c r="M122" s="8">
        <f>D122-E122-L122</f>
        <v>578857.0</v>
      </c>
      <c r="N122" s="7" t="s">
        <v>89</v>
      </c>
    </row>
    <row r="123" spans="1:14">
      <c r="A123" s="28">
        <v>116</v>
      </c>
      <c r="B123" s="28" t="s">
        <v>1911</v>
      </c>
      <c r="C123" s="7" t="s">
        <v>645</v>
      </c>
      <c r="D123" s="33">
        <v>30928293</v>
      </c>
      <c r="E123" s="33">
        <v>0</v>
      </c>
      <c r="F123" s="8">
        <f>INDEX('Rubro por CUI'!$E$5:$E$454,MATCH("001|2681029",'Rubro por CUI'!$N$5:$N$454,0))</f>
        <v>0.0</v>
      </c>
      <c r="G123" s="8">
        <f>INDEX('Rubro por CUI'!$F$5:$F$454,MATCH("001|2681029",'Rubro por CUI'!$N$5:$N$454,0))</f>
        <v>0.0</v>
      </c>
      <c r="H123" s="8">
        <f>INDEX('Rubro por CUI'!$G$5:$G$454,MATCH("001|2681029",'Rubro por CUI'!$N$5:$N$454,0))</f>
        <v>784869.0</v>
      </c>
      <c r="I123" s="8">
        <f>INDEX('Rubro por CUI'!$H$5:$H$454,MATCH("001|2681029",'Rubro por CUI'!$N$5:$N$454,0))</f>
        <v>0.0</v>
      </c>
      <c r="J123" s="8">
        <f>INDEX('Rubro por CUI'!$I$5:$I$454,MATCH("001|2681029",'Rubro por CUI'!$N$5:$N$454,0))</f>
        <v>0.0</v>
      </c>
      <c r="K123" s="8">
        <f>L123-SUM(F123:J123)</f>
        <v>0.0</v>
      </c>
      <c r="L123" s="8">
        <f>SUMIFS(Base!$N$5:$N$504,Base!$A$5:$A$504,"001",Base!$F$5:$F$504,"2681029")</f>
        <v>784869.0</v>
      </c>
      <c r="M123" s="8">
        <f>D123-E123-L123</f>
        <v>30143424.0</v>
      </c>
      <c r="N123" s="7" t="s">
        <v>89</v>
      </c>
    </row>
    <row r="124" spans="1:14">
      <c r="A124" s="28">
        <v>117</v>
      </c>
      <c r="B124" s="28" t="s">
        <v>1912</v>
      </c>
      <c r="C124" s="7" t="s">
        <v>201</v>
      </c>
      <c r="D124" s="33">
        <v>1868187</v>
      </c>
      <c r="E124" s="33">
        <v>139657</v>
      </c>
      <c r="F124" s="8">
        <f>INDEX('Rubro por CUI'!$E$5:$E$454,MATCH("001|2196834",'Rubro por CUI'!$N$5:$N$454,0))</f>
        <v>0.0</v>
      </c>
      <c r="G124" s="8">
        <f>INDEX('Rubro por CUI'!$F$5:$F$454,MATCH("001|2196834",'Rubro por CUI'!$N$5:$N$454,0))</f>
        <v>0.0</v>
      </c>
      <c r="H124" s="8">
        <f>INDEX('Rubro por CUI'!$G$5:$G$454,MATCH("001|2196834",'Rubro por CUI'!$N$5:$N$454,0))</f>
        <v>728529.0</v>
      </c>
      <c r="I124" s="8">
        <f>INDEX('Rubro por CUI'!$H$5:$H$454,MATCH("001|2196834",'Rubro por CUI'!$N$5:$N$454,0))</f>
        <v>0.0</v>
      </c>
      <c r="J124" s="8">
        <f>INDEX('Rubro por CUI'!$I$5:$I$454,MATCH("001|2196834",'Rubro por CUI'!$N$5:$N$454,0))</f>
        <v>0.0</v>
      </c>
      <c r="K124" s="8">
        <f>L124-SUM(F124:J124)</f>
        <v>0.0</v>
      </c>
      <c r="L124" s="8">
        <f>SUMIFS(Base!$N$5:$N$504,Base!$A$5:$A$504,"001",Base!$F$5:$F$504,"2196834")</f>
        <v>728529.0</v>
      </c>
      <c r="M124" s="8">
        <f>D124-E124-L124</f>
        <v>1000001.0</v>
      </c>
      <c r="N124" s="7" t="s">
        <v>89</v>
      </c>
    </row>
    <row r="125" spans="1:14">
      <c r="A125" s="28">
        <v>118</v>
      </c>
      <c r="B125" s="28" t="s">
        <v>1913</v>
      </c>
      <c r="C125" s="7" t="s">
        <v>456</v>
      </c>
      <c r="D125" s="33">
        <v>1731972</v>
      </c>
      <c r="E125" s="33">
        <v>105077</v>
      </c>
      <c r="F125" s="8">
        <f>INDEX('Rubro por CUI'!$E$5:$E$454,MATCH("001|2649805",'Rubro por CUI'!$N$5:$N$454,0))</f>
        <v>0.0</v>
      </c>
      <c r="G125" s="8">
        <f>INDEX('Rubro por CUI'!$F$5:$F$454,MATCH("001|2649805",'Rubro por CUI'!$N$5:$N$454,0))</f>
        <v>0.0</v>
      </c>
      <c r="H125" s="8">
        <f>INDEX('Rubro por CUI'!$G$5:$G$454,MATCH("001|2649805",'Rubro por CUI'!$N$5:$N$454,0))</f>
        <v>704972.0</v>
      </c>
      <c r="I125" s="8">
        <f>INDEX('Rubro por CUI'!$H$5:$H$454,MATCH("001|2649805",'Rubro por CUI'!$N$5:$N$454,0))</f>
        <v>0.0</v>
      </c>
      <c r="J125" s="8">
        <f>INDEX('Rubro por CUI'!$I$5:$I$454,MATCH("001|2649805",'Rubro por CUI'!$N$5:$N$454,0))</f>
        <v>0.0</v>
      </c>
      <c r="K125" s="8">
        <f>L125-SUM(F125:J125)</f>
        <v>0.0</v>
      </c>
      <c r="L125" s="8">
        <f>SUMIFS(Base!$N$5:$N$504,Base!$A$5:$A$504,"001",Base!$F$5:$F$504,"2649805")</f>
        <v>704972.0</v>
      </c>
      <c r="M125" s="8">
        <f>D125-E125-L125</f>
        <v>921923.0</v>
      </c>
      <c r="N125" s="7" t="s">
        <v>89</v>
      </c>
    </row>
    <row r="126" spans="1:14">
      <c r="A126" s="28">
        <v>119</v>
      </c>
      <c r="B126" s="28" t="s">
        <v>1914</v>
      </c>
      <c r="C126" s="7" t="s">
        <v>1529</v>
      </c>
      <c r="D126" s="7" t="s">
        <v>99</v>
      </c>
      <c r="E126" s="7" t="s">
        <v>99</v>
      </c>
      <c r="F126" s="8">
        <f>INDEX('Rubro por CUI'!$E$5:$E$454,MATCH("001|2723359",'Rubro por CUI'!$N$5:$N$454,0))</f>
        <v>0.0</v>
      </c>
      <c r="G126" s="8">
        <f>INDEX('Rubro por CUI'!$F$5:$F$454,MATCH("001|2723359",'Rubro por CUI'!$N$5:$N$454,0))</f>
        <v>680748.0</v>
      </c>
      <c r="H126" s="8">
        <f>INDEX('Rubro por CUI'!$G$5:$G$454,MATCH("001|2723359",'Rubro por CUI'!$N$5:$N$454,0))</f>
        <v>0.0</v>
      </c>
      <c r="I126" s="8">
        <f>INDEX('Rubro por CUI'!$H$5:$H$454,MATCH("001|2723359",'Rubro por CUI'!$N$5:$N$454,0))</f>
        <v>0.0</v>
      </c>
      <c r="J126" s="8">
        <f>INDEX('Rubro por CUI'!$I$5:$I$454,MATCH("001|2723359",'Rubro por CUI'!$N$5:$N$454,0))</f>
        <v>0.0</v>
      </c>
      <c r="K126" s="8">
        <f>L126-SUM(F126:J126)</f>
        <v>0.0</v>
      </c>
      <c r="L126" s="8">
        <f>SUMIFS(Base!$N$5:$N$504,Base!$A$5:$A$504,"001",Base!$F$5:$F$504,"2723359")</f>
        <v>680748.0</v>
      </c>
      <c r="M126" s="7" t="s">
        <v>99</v>
      </c>
      <c r="N126" s="7" t="s">
        <v>1796</v>
      </c>
    </row>
    <row r="127" spans="1:14">
      <c r="A127" s="28">
        <v>120</v>
      </c>
      <c r="B127" s="28" t="s">
        <v>1915</v>
      </c>
      <c r="C127" s="7" t="s">
        <v>161</v>
      </c>
      <c r="D127" s="7" t="s">
        <v>99</v>
      </c>
      <c r="E127" s="7" t="s">
        <v>99</v>
      </c>
      <c r="F127" s="8">
        <f>INDEX('Rubro por CUI'!$E$5:$E$454,MATCH("001|2650476",'Rubro por CUI'!$N$5:$N$454,0))</f>
        <v>0.0</v>
      </c>
      <c r="G127" s="8">
        <f>INDEX('Rubro por CUI'!$F$5:$F$454,MATCH("001|2650476",'Rubro por CUI'!$N$5:$N$454,0))</f>
        <v>0.0</v>
      </c>
      <c r="H127" s="8">
        <f>INDEX('Rubro por CUI'!$G$5:$G$454,MATCH("001|2650476",'Rubro por CUI'!$N$5:$N$454,0))</f>
        <v>677644.0</v>
      </c>
      <c r="I127" s="8">
        <f>INDEX('Rubro por CUI'!$H$5:$H$454,MATCH("001|2650476",'Rubro por CUI'!$N$5:$N$454,0))</f>
        <v>0.0</v>
      </c>
      <c r="J127" s="8">
        <f>INDEX('Rubro por CUI'!$I$5:$I$454,MATCH("001|2650476",'Rubro por CUI'!$N$5:$N$454,0))</f>
        <v>0.0</v>
      </c>
      <c r="K127" s="8">
        <f>L127-SUM(F127:J127)</f>
        <v>0.0</v>
      </c>
      <c r="L127" s="8">
        <f>SUMIFS(Base!$N$5:$N$504,Base!$A$5:$A$504,"001",Base!$F$5:$F$504,"2650476")</f>
        <v>677644.0</v>
      </c>
      <c r="M127" s="7" t="s">
        <v>99</v>
      </c>
      <c r="N127" s="7" t="s">
        <v>1796</v>
      </c>
    </row>
    <row r="128" spans="1:14">
      <c r="A128" s="28">
        <v>121</v>
      </c>
      <c r="B128" s="28" t="s">
        <v>1916</v>
      </c>
      <c r="C128" s="7" t="s">
        <v>1533</v>
      </c>
      <c r="D128" s="7" t="s">
        <v>99</v>
      </c>
      <c r="E128" s="7" t="s">
        <v>99</v>
      </c>
      <c r="F128" s="8">
        <f>INDEX('Rubro por CUI'!$E$5:$E$454,MATCH("001|2721888",'Rubro por CUI'!$N$5:$N$454,0))</f>
        <v>0.0</v>
      </c>
      <c r="G128" s="8">
        <f>INDEX('Rubro por CUI'!$F$5:$F$454,MATCH("001|2721888",'Rubro por CUI'!$N$5:$N$454,0))</f>
        <v>670100.0</v>
      </c>
      <c r="H128" s="8">
        <f>INDEX('Rubro por CUI'!$G$5:$G$454,MATCH("001|2721888",'Rubro por CUI'!$N$5:$N$454,0))</f>
        <v>0.0</v>
      </c>
      <c r="I128" s="8">
        <f>INDEX('Rubro por CUI'!$H$5:$H$454,MATCH("001|2721888",'Rubro por CUI'!$N$5:$N$454,0))</f>
        <v>0.0</v>
      </c>
      <c r="J128" s="8">
        <f>INDEX('Rubro por CUI'!$I$5:$I$454,MATCH("001|2721888",'Rubro por CUI'!$N$5:$N$454,0))</f>
        <v>0.0</v>
      </c>
      <c r="K128" s="8">
        <f>L128-SUM(F128:J128)</f>
        <v>0.0</v>
      </c>
      <c r="L128" s="8">
        <f>SUMIFS(Base!$N$5:$N$504,Base!$A$5:$A$504,"001",Base!$F$5:$F$504,"2721888")</f>
        <v>670100.0</v>
      </c>
      <c r="M128" s="7" t="s">
        <v>99</v>
      </c>
      <c r="N128" s="7" t="s">
        <v>1796</v>
      </c>
    </row>
    <row r="129" spans="1:14">
      <c r="A129" s="28">
        <v>122</v>
      </c>
      <c r="B129" s="28" t="s">
        <v>1917</v>
      </c>
      <c r="C129" s="7" t="s">
        <v>623</v>
      </c>
      <c r="D129" s="33">
        <v>33561463</v>
      </c>
      <c r="E129" s="33">
        <v>39224</v>
      </c>
      <c r="F129" s="8">
        <f>INDEX('Rubro por CUI'!$E$5:$E$454,MATCH("001|2681028",'Rubro por CUI'!$N$5:$N$454,0))</f>
        <v>0.0</v>
      </c>
      <c r="G129" s="8">
        <f>INDEX('Rubro por CUI'!$F$5:$F$454,MATCH("001|2681028",'Rubro por CUI'!$N$5:$N$454,0))</f>
        <v>0.0</v>
      </c>
      <c r="H129" s="8">
        <f>INDEX('Rubro por CUI'!$G$5:$G$454,MATCH("001|2681028",'Rubro por CUI'!$N$5:$N$454,0))</f>
        <v>645412.0</v>
      </c>
      <c r="I129" s="8">
        <f>INDEX('Rubro por CUI'!$H$5:$H$454,MATCH("001|2681028",'Rubro por CUI'!$N$5:$N$454,0))</f>
        <v>0.0</v>
      </c>
      <c r="J129" s="8">
        <f>INDEX('Rubro por CUI'!$I$5:$I$454,MATCH("001|2681028",'Rubro por CUI'!$N$5:$N$454,0))</f>
        <v>0.0</v>
      </c>
      <c r="K129" s="8">
        <f>L129-SUM(F129:J129)</f>
        <v>0.0</v>
      </c>
      <c r="L129" s="8">
        <f>SUMIFS(Base!$N$5:$N$504,Base!$A$5:$A$504,"001",Base!$F$5:$F$504,"2681028")</f>
        <v>645412.0</v>
      </c>
      <c r="M129" s="8">
        <f>D129-E129-L129</f>
        <v>32876827.0</v>
      </c>
      <c r="N129" s="7" t="s">
        <v>89</v>
      </c>
    </row>
    <row r="130" spans="1:14">
      <c r="A130" s="28">
        <v>123</v>
      </c>
      <c r="B130" s="28" t="s">
        <v>1918</v>
      </c>
      <c r="C130" s="7" t="s">
        <v>642</v>
      </c>
      <c r="D130" s="33">
        <v>16279117</v>
      </c>
      <c r="E130" s="33">
        <v>0</v>
      </c>
      <c r="F130" s="8">
        <f>INDEX('Rubro por CUI'!$E$5:$E$454,MATCH("001|2670402",'Rubro por CUI'!$N$5:$N$454,0))</f>
        <v>0.0</v>
      </c>
      <c r="G130" s="8">
        <f>INDEX('Rubro por CUI'!$F$5:$F$454,MATCH("001|2670402",'Rubro por CUI'!$N$5:$N$454,0))</f>
        <v>0.0</v>
      </c>
      <c r="H130" s="8">
        <f>INDEX('Rubro por CUI'!$G$5:$G$454,MATCH("001|2670402",'Rubro por CUI'!$N$5:$N$454,0))</f>
        <v>621845.0</v>
      </c>
      <c r="I130" s="8">
        <f>INDEX('Rubro por CUI'!$H$5:$H$454,MATCH("001|2670402",'Rubro por CUI'!$N$5:$N$454,0))</f>
        <v>0.0</v>
      </c>
      <c r="J130" s="8">
        <f>INDEX('Rubro por CUI'!$I$5:$I$454,MATCH("001|2670402",'Rubro por CUI'!$N$5:$N$454,0))</f>
        <v>0.0</v>
      </c>
      <c r="K130" s="8">
        <f>L130-SUM(F130:J130)</f>
        <v>0.0</v>
      </c>
      <c r="L130" s="8">
        <f>SUMIFS(Base!$N$5:$N$504,Base!$A$5:$A$504,"001",Base!$F$5:$F$504,"2670402")</f>
        <v>621845.0</v>
      </c>
      <c r="M130" s="8">
        <f>D130-E130-L130</f>
        <v>15657272.0</v>
      </c>
      <c r="N130" s="7" t="s">
        <v>89</v>
      </c>
    </row>
    <row r="131" spans="1:14">
      <c r="A131" s="28">
        <v>124</v>
      </c>
      <c r="B131" s="28" t="s">
        <v>1919</v>
      </c>
      <c r="C131" s="7" t="s">
        <v>1541</v>
      </c>
      <c r="D131" s="7" t="s">
        <v>99</v>
      </c>
      <c r="E131" s="7" t="s">
        <v>99</v>
      </c>
      <c r="F131" s="8">
        <f>INDEX('Rubro por CUI'!$E$5:$E$454,MATCH("001|2721889",'Rubro por CUI'!$N$5:$N$454,0))</f>
        <v>0.0</v>
      </c>
      <c r="G131" s="8">
        <f>INDEX('Rubro por CUI'!$F$5:$F$454,MATCH("001|2721889",'Rubro por CUI'!$N$5:$N$454,0))</f>
        <v>542416.0</v>
      </c>
      <c r="H131" s="8">
        <f>INDEX('Rubro por CUI'!$G$5:$G$454,MATCH("001|2721889",'Rubro por CUI'!$N$5:$N$454,0))</f>
        <v>0.0</v>
      </c>
      <c r="I131" s="8">
        <f>INDEX('Rubro por CUI'!$H$5:$H$454,MATCH("001|2721889",'Rubro por CUI'!$N$5:$N$454,0))</f>
        <v>0.0</v>
      </c>
      <c r="J131" s="8">
        <f>INDEX('Rubro por CUI'!$I$5:$I$454,MATCH("001|2721889",'Rubro por CUI'!$N$5:$N$454,0))</f>
        <v>0.0</v>
      </c>
      <c r="K131" s="8">
        <f>L131-SUM(F131:J131)</f>
        <v>0.0</v>
      </c>
      <c r="L131" s="8">
        <f>SUMIFS(Base!$N$5:$N$504,Base!$A$5:$A$504,"001",Base!$F$5:$F$504,"2721889")</f>
        <v>542416.0</v>
      </c>
      <c r="M131" s="7" t="s">
        <v>99</v>
      </c>
      <c r="N131" s="7" t="s">
        <v>1796</v>
      </c>
    </row>
    <row r="132" spans="1:14">
      <c r="A132" s="28">
        <v>125</v>
      </c>
      <c r="B132" s="28" t="s">
        <v>1920</v>
      </c>
      <c r="C132" s="7" t="s">
        <v>822</v>
      </c>
      <c r="D132" s="33">
        <v>4977227</v>
      </c>
      <c r="E132" s="33">
        <v>221699</v>
      </c>
      <c r="F132" s="8">
        <f>INDEX('Rubro por CUI'!$E$5:$E$454,MATCH("001|2638009",'Rubro por CUI'!$N$5:$N$454,0))</f>
        <v>0.0</v>
      </c>
      <c r="G132" s="8">
        <f>INDEX('Rubro por CUI'!$F$5:$F$454,MATCH("001|2638009",'Rubro por CUI'!$N$5:$N$454,0))</f>
        <v>0.0</v>
      </c>
      <c r="H132" s="8">
        <f>INDEX('Rubro por CUI'!$G$5:$G$454,MATCH("001|2638009",'Rubro por CUI'!$N$5:$N$454,0))</f>
        <v>500172.0</v>
      </c>
      <c r="I132" s="8">
        <f>INDEX('Rubro por CUI'!$H$5:$H$454,MATCH("001|2638009",'Rubro por CUI'!$N$5:$N$454,0))</f>
        <v>0.0</v>
      </c>
      <c r="J132" s="8">
        <f>INDEX('Rubro por CUI'!$I$5:$I$454,MATCH("001|2638009",'Rubro por CUI'!$N$5:$N$454,0))</f>
        <v>0.0</v>
      </c>
      <c r="K132" s="8">
        <f>L132-SUM(F132:J132)</f>
        <v>0.0</v>
      </c>
      <c r="L132" s="8">
        <f>SUMIFS(Base!$N$5:$N$504,Base!$A$5:$A$504,"001",Base!$F$5:$F$504,"2638009")</f>
        <v>500172.0</v>
      </c>
      <c r="M132" s="8">
        <f>D132-E132-L132</f>
        <v>4255356.0</v>
      </c>
      <c r="N132" s="7" t="s">
        <v>89</v>
      </c>
    </row>
    <row r="133" spans="1:14">
      <c r="A133" s="28">
        <v>126</v>
      </c>
      <c r="B133" s="28" t="s">
        <v>1921</v>
      </c>
      <c r="C133" s="7" t="s">
        <v>167</v>
      </c>
      <c r="D133" s="7" t="s">
        <v>99</v>
      </c>
      <c r="E133" s="7" t="s">
        <v>99</v>
      </c>
      <c r="F133" s="8">
        <f>INDEX('Rubro por CUI'!$E$5:$E$454,MATCH("001|2695845",'Rubro por CUI'!$N$5:$N$454,0))</f>
        <v>0.0</v>
      </c>
      <c r="G133" s="8">
        <f>INDEX('Rubro por CUI'!$F$5:$F$454,MATCH("001|2695845",'Rubro por CUI'!$N$5:$N$454,0))</f>
        <v>0.0</v>
      </c>
      <c r="H133" s="8">
        <f>INDEX('Rubro por CUI'!$G$5:$G$454,MATCH("001|2695845",'Rubro por CUI'!$N$5:$N$454,0))</f>
        <v>492669.0</v>
      </c>
      <c r="I133" s="8">
        <f>INDEX('Rubro por CUI'!$H$5:$H$454,MATCH("001|2695845",'Rubro por CUI'!$N$5:$N$454,0))</f>
        <v>0.0</v>
      </c>
      <c r="J133" s="8">
        <f>INDEX('Rubro por CUI'!$I$5:$I$454,MATCH("001|2695845",'Rubro por CUI'!$N$5:$N$454,0))</f>
        <v>0.0</v>
      </c>
      <c r="K133" s="8">
        <f>L133-SUM(F133:J133)</f>
        <v>0.0</v>
      </c>
      <c r="L133" s="8">
        <f>SUMIFS(Base!$N$5:$N$504,Base!$A$5:$A$504,"001",Base!$F$5:$F$504,"2695845")</f>
        <v>492669.0</v>
      </c>
      <c r="M133" s="7" t="s">
        <v>99</v>
      </c>
      <c r="N133" s="7" t="s">
        <v>1796</v>
      </c>
    </row>
    <row r="134" spans="1:14">
      <c r="A134" s="28">
        <v>127</v>
      </c>
      <c r="B134" s="28" t="s">
        <v>1922</v>
      </c>
      <c r="C134" s="7" t="s">
        <v>861</v>
      </c>
      <c r="D134" s="33">
        <v>10550415</v>
      </c>
      <c r="E134" s="33">
        <v>409221</v>
      </c>
      <c r="F134" s="8">
        <f>INDEX('Rubro por CUI'!$E$5:$E$454,MATCH("001|2623873",'Rubro por CUI'!$N$5:$N$454,0))</f>
        <v>0.0</v>
      </c>
      <c r="G134" s="8">
        <f>INDEX('Rubro por CUI'!$F$5:$F$454,MATCH("001|2623873",'Rubro por CUI'!$N$5:$N$454,0))</f>
        <v>0.0</v>
      </c>
      <c r="H134" s="8">
        <f>INDEX('Rubro por CUI'!$G$5:$G$454,MATCH("001|2623873",'Rubro por CUI'!$N$5:$N$454,0))</f>
        <v>408761.0</v>
      </c>
      <c r="I134" s="8">
        <f>INDEX('Rubro por CUI'!$H$5:$H$454,MATCH("001|2623873",'Rubro por CUI'!$N$5:$N$454,0))</f>
        <v>0.0</v>
      </c>
      <c r="J134" s="8">
        <f>INDEX('Rubro por CUI'!$I$5:$I$454,MATCH("001|2623873",'Rubro por CUI'!$N$5:$N$454,0))</f>
        <v>0.0</v>
      </c>
      <c r="K134" s="8">
        <f>L134-SUM(F134:J134)</f>
        <v>0.0</v>
      </c>
      <c r="L134" s="8">
        <f>SUMIFS(Base!$N$5:$N$504,Base!$A$5:$A$504,"001",Base!$F$5:$F$504,"2623873")</f>
        <v>408761.0</v>
      </c>
      <c r="M134" s="8">
        <f>D134-E134-L134</f>
        <v>9732433.0</v>
      </c>
      <c r="N134" s="7" t="s">
        <v>89</v>
      </c>
    </row>
    <row r="135" spans="1:14">
      <c r="A135" s="28">
        <v>128</v>
      </c>
      <c r="B135" s="28" t="s">
        <v>1923</v>
      </c>
      <c r="C135" s="7" t="s">
        <v>831</v>
      </c>
      <c r="D135" s="33">
        <v>3777835</v>
      </c>
      <c r="E135" s="33">
        <v>0</v>
      </c>
      <c r="F135" s="8">
        <f>INDEX('Rubro por CUI'!$E$5:$E$454,MATCH("001|2652120",'Rubro por CUI'!$N$5:$N$454,0))</f>
        <v>0.0</v>
      </c>
      <c r="G135" s="8">
        <f>INDEX('Rubro por CUI'!$F$5:$F$454,MATCH("001|2652120",'Rubro por CUI'!$N$5:$N$454,0))</f>
        <v>0.0</v>
      </c>
      <c r="H135" s="8">
        <f>INDEX('Rubro por CUI'!$G$5:$G$454,MATCH("001|2652120",'Rubro por CUI'!$N$5:$N$454,0))</f>
        <v>400214.0</v>
      </c>
      <c r="I135" s="8">
        <f>INDEX('Rubro por CUI'!$H$5:$H$454,MATCH("001|2652120",'Rubro por CUI'!$N$5:$N$454,0))</f>
        <v>0.0</v>
      </c>
      <c r="J135" s="8">
        <f>INDEX('Rubro por CUI'!$I$5:$I$454,MATCH("001|2652120",'Rubro por CUI'!$N$5:$N$454,0))</f>
        <v>0.0</v>
      </c>
      <c r="K135" s="8">
        <f>L135-SUM(F135:J135)</f>
        <v>0.0</v>
      </c>
      <c r="L135" s="8">
        <f>SUMIFS(Base!$N$5:$N$504,Base!$A$5:$A$504,"001",Base!$F$5:$F$504,"2652120")</f>
        <v>400214.0</v>
      </c>
      <c r="M135" s="8">
        <f>D135-E135-L135</f>
        <v>3377621.0</v>
      </c>
      <c r="N135" s="7" t="s">
        <v>89</v>
      </c>
    </row>
    <row r="136" spans="1:14">
      <c r="A136" s="28">
        <v>129</v>
      </c>
      <c r="B136" s="28" t="s">
        <v>1924</v>
      </c>
      <c r="C136" s="7" t="s">
        <v>902</v>
      </c>
      <c r="D136" s="33">
        <v>2233744</v>
      </c>
      <c r="E136" s="33">
        <v>123034</v>
      </c>
      <c r="F136" s="8">
        <f>INDEX('Rubro por CUI'!$E$5:$E$454,MATCH("001|2649804",'Rubro por CUI'!$N$5:$N$454,0))</f>
        <v>0.0</v>
      </c>
      <c r="G136" s="8">
        <f>INDEX('Rubro por CUI'!$F$5:$F$454,MATCH("001|2649804",'Rubro por CUI'!$N$5:$N$454,0))</f>
        <v>0.0</v>
      </c>
      <c r="H136" s="8">
        <f>INDEX('Rubro por CUI'!$G$5:$G$454,MATCH("001|2649804",'Rubro por CUI'!$N$5:$N$454,0))</f>
        <v>400000.0</v>
      </c>
      <c r="I136" s="8">
        <f>INDEX('Rubro por CUI'!$H$5:$H$454,MATCH("001|2649804",'Rubro por CUI'!$N$5:$N$454,0))</f>
        <v>0.0</v>
      </c>
      <c r="J136" s="8">
        <f>INDEX('Rubro por CUI'!$I$5:$I$454,MATCH("001|2649804",'Rubro por CUI'!$N$5:$N$454,0))</f>
        <v>0.0</v>
      </c>
      <c r="K136" s="8">
        <f>L136-SUM(F136:J136)</f>
        <v>0.0</v>
      </c>
      <c r="L136" s="8">
        <f>SUMIFS(Base!$N$5:$N$504,Base!$A$5:$A$504,"001",Base!$F$5:$F$504,"2649804")</f>
        <v>400000.0</v>
      </c>
      <c r="M136" s="8">
        <f>D136-E136-L136</f>
        <v>1710710.0</v>
      </c>
      <c r="N136" s="7" t="s">
        <v>89</v>
      </c>
    </row>
    <row r="137" spans="1:14">
      <c r="A137" s="28">
        <v>130</v>
      </c>
      <c r="B137" s="28" t="s">
        <v>1925</v>
      </c>
      <c r="C137" s="7" t="s">
        <v>1537</v>
      </c>
      <c r="D137" s="7" t="s">
        <v>99</v>
      </c>
      <c r="E137" s="7" t="s">
        <v>99</v>
      </c>
      <c r="F137" s="8">
        <f>INDEX('Rubro por CUI'!$E$5:$E$454,MATCH("001|2721886",'Rubro por CUI'!$N$5:$N$454,0))</f>
        <v>0.0</v>
      </c>
      <c r="G137" s="8">
        <f>INDEX('Rubro por CUI'!$F$5:$F$454,MATCH("001|2721886",'Rubro por CUI'!$N$5:$N$454,0))</f>
        <v>388514.0</v>
      </c>
      <c r="H137" s="8">
        <f>INDEX('Rubro por CUI'!$G$5:$G$454,MATCH("001|2721886",'Rubro por CUI'!$N$5:$N$454,0))</f>
        <v>0.0</v>
      </c>
      <c r="I137" s="8">
        <f>INDEX('Rubro por CUI'!$H$5:$H$454,MATCH("001|2721886",'Rubro por CUI'!$N$5:$N$454,0))</f>
        <v>0.0</v>
      </c>
      <c r="J137" s="8">
        <f>INDEX('Rubro por CUI'!$I$5:$I$454,MATCH("001|2721886",'Rubro por CUI'!$N$5:$N$454,0))</f>
        <v>0.0</v>
      </c>
      <c r="K137" s="8">
        <f>L137-SUM(F137:J137)</f>
        <v>0.0</v>
      </c>
      <c r="L137" s="8">
        <f>SUMIFS(Base!$N$5:$N$504,Base!$A$5:$A$504,"001",Base!$F$5:$F$504,"2721886")</f>
        <v>388514.0</v>
      </c>
      <c r="M137" s="7" t="s">
        <v>99</v>
      </c>
      <c r="N137" s="7" t="s">
        <v>1796</v>
      </c>
    </row>
    <row r="138" spans="1:14">
      <c r="A138" s="28">
        <v>131</v>
      </c>
      <c r="B138" s="28" t="s">
        <v>1926</v>
      </c>
      <c r="C138" s="7" t="s">
        <v>648</v>
      </c>
      <c r="D138" s="33">
        <v>16022836</v>
      </c>
      <c r="E138" s="33">
        <v>0</v>
      </c>
      <c r="F138" s="8">
        <f>INDEX('Rubro por CUI'!$E$5:$E$454,MATCH("001|2681019",'Rubro por CUI'!$N$5:$N$454,0))</f>
        <v>0.0</v>
      </c>
      <c r="G138" s="8">
        <f>INDEX('Rubro por CUI'!$F$5:$F$454,MATCH("001|2681019",'Rubro por CUI'!$N$5:$N$454,0))</f>
        <v>0.0</v>
      </c>
      <c r="H138" s="8">
        <f>INDEX('Rubro por CUI'!$G$5:$G$454,MATCH("001|2681019",'Rubro por CUI'!$N$5:$N$454,0))</f>
        <v>373203.0</v>
      </c>
      <c r="I138" s="8">
        <f>INDEX('Rubro por CUI'!$H$5:$H$454,MATCH("001|2681019",'Rubro por CUI'!$N$5:$N$454,0))</f>
        <v>0.0</v>
      </c>
      <c r="J138" s="8">
        <f>INDEX('Rubro por CUI'!$I$5:$I$454,MATCH("001|2681019",'Rubro por CUI'!$N$5:$N$454,0))</f>
        <v>0.0</v>
      </c>
      <c r="K138" s="8">
        <f>L138-SUM(F138:J138)</f>
        <v>0.0</v>
      </c>
      <c r="L138" s="8">
        <f>SUMIFS(Base!$N$5:$N$504,Base!$A$5:$A$504,"001",Base!$F$5:$F$504,"2681019")</f>
        <v>373203.0</v>
      </c>
      <c r="M138" s="8">
        <f>D138-E138-L138</f>
        <v>15649633.0</v>
      </c>
      <c r="N138" s="7" t="s">
        <v>89</v>
      </c>
    </row>
    <row r="139" spans="1:14">
      <c r="A139" s="28">
        <v>132</v>
      </c>
      <c r="B139" s="28" t="s">
        <v>1927</v>
      </c>
      <c r="C139" s="7" t="s">
        <v>612</v>
      </c>
      <c r="D139" s="33">
        <v>13665533</v>
      </c>
      <c r="E139" s="33">
        <v>0</v>
      </c>
      <c r="F139" s="8">
        <f>INDEX('Rubro por CUI'!$E$5:$E$454,MATCH("001|2681042",'Rubro por CUI'!$N$5:$N$454,0))</f>
        <v>0.0</v>
      </c>
      <c r="G139" s="8">
        <f>INDEX('Rubro por CUI'!$F$5:$F$454,MATCH("001|2681042",'Rubro por CUI'!$N$5:$N$454,0))</f>
        <v>0.0</v>
      </c>
      <c r="H139" s="8">
        <f>INDEX('Rubro por CUI'!$G$5:$G$454,MATCH("001|2681042",'Rubro por CUI'!$N$5:$N$454,0))</f>
        <v>350000.0</v>
      </c>
      <c r="I139" s="8">
        <f>INDEX('Rubro por CUI'!$H$5:$H$454,MATCH("001|2681042",'Rubro por CUI'!$N$5:$N$454,0))</f>
        <v>0.0</v>
      </c>
      <c r="J139" s="8">
        <f>INDEX('Rubro por CUI'!$I$5:$I$454,MATCH("001|2681042",'Rubro por CUI'!$N$5:$N$454,0))</f>
        <v>0.0</v>
      </c>
      <c r="K139" s="8">
        <f>L139-SUM(F139:J139)</f>
        <v>0.0</v>
      </c>
      <c r="L139" s="8">
        <f>SUMIFS(Base!$N$5:$N$504,Base!$A$5:$A$504,"001",Base!$F$5:$F$504,"2681042")</f>
        <v>350000.0</v>
      </c>
      <c r="M139" s="8">
        <f>D139-E139-L139</f>
        <v>13315533.0</v>
      </c>
      <c r="N139" s="7" t="s">
        <v>89</v>
      </c>
    </row>
    <row r="140" spans="1:14">
      <c r="A140" s="28">
        <v>133</v>
      </c>
      <c r="B140" s="28" t="s">
        <v>1928</v>
      </c>
      <c r="C140" s="7" t="s">
        <v>852</v>
      </c>
      <c r="D140" s="33">
        <v>5797658</v>
      </c>
      <c r="E140" s="33">
        <v>0</v>
      </c>
      <c r="F140" s="8">
        <f>INDEX('Rubro por CUI'!$E$5:$E$454,MATCH("001|2664647",'Rubro por CUI'!$N$5:$N$454,0))</f>
        <v>0.0</v>
      </c>
      <c r="G140" s="8">
        <f>INDEX('Rubro por CUI'!$F$5:$F$454,MATCH("001|2664647",'Rubro por CUI'!$N$5:$N$454,0))</f>
        <v>0.0</v>
      </c>
      <c r="H140" s="8">
        <f>INDEX('Rubro por CUI'!$G$5:$G$454,MATCH("001|2664647",'Rubro por CUI'!$N$5:$N$454,0))</f>
        <v>332000.0</v>
      </c>
      <c r="I140" s="8">
        <f>INDEX('Rubro por CUI'!$H$5:$H$454,MATCH("001|2664647",'Rubro por CUI'!$N$5:$N$454,0))</f>
        <v>0.0</v>
      </c>
      <c r="J140" s="8">
        <f>INDEX('Rubro por CUI'!$I$5:$I$454,MATCH("001|2664647",'Rubro por CUI'!$N$5:$N$454,0))</f>
        <v>0.0</v>
      </c>
      <c r="K140" s="8">
        <f>L140-SUM(F140:J140)</f>
        <v>0.0</v>
      </c>
      <c r="L140" s="8">
        <f>SUMIFS(Base!$N$5:$N$504,Base!$A$5:$A$504,"001",Base!$F$5:$F$504,"2664647")</f>
        <v>332000.0</v>
      </c>
      <c r="M140" s="8">
        <f>D140-E140-L140</f>
        <v>5465658.0</v>
      </c>
      <c r="N140" s="7" t="s">
        <v>89</v>
      </c>
    </row>
    <row r="141" spans="1:14">
      <c r="A141" s="28">
        <v>134</v>
      </c>
      <c r="B141" s="28" t="s">
        <v>1929</v>
      </c>
      <c r="C141" s="7" t="s">
        <v>825</v>
      </c>
      <c r="D141" s="33">
        <v>2851050</v>
      </c>
      <c r="E141" s="33">
        <v>0</v>
      </c>
      <c r="F141" s="8">
        <f>INDEX('Rubro por CUI'!$E$5:$E$454,MATCH("001|2652118",'Rubro por CUI'!$N$5:$N$454,0))</f>
        <v>0.0</v>
      </c>
      <c r="G141" s="8">
        <f>INDEX('Rubro por CUI'!$F$5:$F$454,MATCH("001|2652118",'Rubro por CUI'!$N$5:$N$454,0))</f>
        <v>0.0</v>
      </c>
      <c r="H141" s="8">
        <f>INDEX('Rubro por CUI'!$G$5:$G$454,MATCH("001|2652118",'Rubro por CUI'!$N$5:$N$454,0))</f>
        <v>310000.0</v>
      </c>
      <c r="I141" s="8">
        <f>INDEX('Rubro por CUI'!$H$5:$H$454,MATCH("001|2652118",'Rubro por CUI'!$N$5:$N$454,0))</f>
        <v>0.0</v>
      </c>
      <c r="J141" s="8">
        <f>INDEX('Rubro por CUI'!$I$5:$I$454,MATCH("001|2652118",'Rubro por CUI'!$N$5:$N$454,0))</f>
        <v>0.0</v>
      </c>
      <c r="K141" s="8">
        <f>L141-SUM(F141:J141)</f>
        <v>0.0</v>
      </c>
      <c r="L141" s="8">
        <f>SUMIFS(Base!$N$5:$N$504,Base!$A$5:$A$504,"001",Base!$F$5:$F$504,"2652118")</f>
        <v>310000.0</v>
      </c>
      <c r="M141" s="8">
        <f>D141-E141-L141</f>
        <v>2541050.0</v>
      </c>
      <c r="N141" s="7" t="s">
        <v>89</v>
      </c>
    </row>
    <row r="142" spans="1:14">
      <c r="A142" s="28">
        <v>135</v>
      </c>
      <c r="B142" s="28" t="s">
        <v>1930</v>
      </c>
      <c r="C142" s="7" t="s">
        <v>923</v>
      </c>
      <c r="D142" s="33">
        <v>2289090</v>
      </c>
      <c r="E142" s="33">
        <v>0</v>
      </c>
      <c r="F142" s="8">
        <f>INDEX('Rubro por CUI'!$E$5:$E$454,MATCH("001|2652121",'Rubro por CUI'!$N$5:$N$454,0))</f>
        <v>0.0</v>
      </c>
      <c r="G142" s="8">
        <f>INDEX('Rubro por CUI'!$F$5:$F$454,MATCH("001|2652121",'Rubro por CUI'!$N$5:$N$454,0))</f>
        <v>0.0</v>
      </c>
      <c r="H142" s="8">
        <f>INDEX('Rubro por CUI'!$G$5:$G$454,MATCH("001|2652121",'Rubro por CUI'!$N$5:$N$454,0))</f>
        <v>306148.0</v>
      </c>
      <c r="I142" s="8">
        <f>INDEX('Rubro por CUI'!$H$5:$H$454,MATCH("001|2652121",'Rubro por CUI'!$N$5:$N$454,0))</f>
        <v>0.0</v>
      </c>
      <c r="J142" s="8">
        <f>INDEX('Rubro por CUI'!$I$5:$I$454,MATCH("001|2652121",'Rubro por CUI'!$N$5:$N$454,0))</f>
        <v>0.0</v>
      </c>
      <c r="K142" s="8">
        <f>L142-SUM(F142:J142)</f>
        <v>0.0</v>
      </c>
      <c r="L142" s="8">
        <f>SUMIFS(Base!$N$5:$N$504,Base!$A$5:$A$504,"001",Base!$F$5:$F$504,"2652121")</f>
        <v>306148.0</v>
      </c>
      <c r="M142" s="8">
        <f>D142-E142-L142</f>
        <v>1982942.0</v>
      </c>
      <c r="N142" s="7" t="s">
        <v>89</v>
      </c>
    </row>
    <row r="143" spans="1:14">
      <c r="A143" s="28">
        <v>136</v>
      </c>
      <c r="B143" s="28" t="s">
        <v>1931</v>
      </c>
      <c r="C143" s="7" t="s">
        <v>158</v>
      </c>
      <c r="D143" s="33">
        <v>4830901</v>
      </c>
      <c r="E143" s="33">
        <v>208615</v>
      </c>
      <c r="F143" s="8">
        <f>INDEX('Rubro por CUI'!$E$5:$E$454,MATCH("001|2637997",'Rubro por CUI'!$N$5:$N$454,0))</f>
        <v>0.0</v>
      </c>
      <c r="G143" s="8">
        <f>INDEX('Rubro por CUI'!$F$5:$F$454,MATCH("001|2637997",'Rubro por CUI'!$N$5:$N$454,0))</f>
        <v>0.0</v>
      </c>
      <c r="H143" s="8">
        <f>INDEX('Rubro por CUI'!$G$5:$G$454,MATCH("001|2637997",'Rubro por CUI'!$N$5:$N$454,0))</f>
        <v>304829.0</v>
      </c>
      <c r="I143" s="8">
        <f>INDEX('Rubro por CUI'!$H$5:$H$454,MATCH("001|2637997",'Rubro por CUI'!$N$5:$N$454,0))</f>
        <v>0.0</v>
      </c>
      <c r="J143" s="8">
        <f>INDEX('Rubro por CUI'!$I$5:$I$454,MATCH("001|2637997",'Rubro por CUI'!$N$5:$N$454,0))</f>
        <v>0.0</v>
      </c>
      <c r="K143" s="8">
        <f>L143-SUM(F143:J143)</f>
        <v>0.0</v>
      </c>
      <c r="L143" s="8">
        <f>SUMIFS(Base!$N$5:$N$504,Base!$A$5:$A$504,"001",Base!$F$5:$F$504,"2637997")</f>
        <v>304829.0</v>
      </c>
      <c r="M143" s="8">
        <f>D143-E143-L143</f>
        <v>4317457.0</v>
      </c>
      <c r="N143" s="7" t="s">
        <v>89</v>
      </c>
    </row>
    <row r="144" spans="1:14">
      <c r="A144" s="28">
        <v>137</v>
      </c>
      <c r="B144" s="28" t="s">
        <v>1932</v>
      </c>
      <c r="C144" s="7" t="s">
        <v>619</v>
      </c>
      <c r="D144" s="7" t="s">
        <v>99</v>
      </c>
      <c r="E144" s="7" t="s">
        <v>99</v>
      </c>
      <c r="F144" s="8">
        <f>INDEX('Rubro por CUI'!$E$5:$E$454,MATCH("001|2663002",'Rubro por CUI'!$N$5:$N$454,0))</f>
        <v>0.0</v>
      </c>
      <c r="G144" s="8">
        <f>INDEX('Rubro por CUI'!$F$5:$F$454,MATCH("001|2663002",'Rubro por CUI'!$N$5:$N$454,0))</f>
        <v>0.0</v>
      </c>
      <c r="H144" s="8">
        <f>INDEX('Rubro por CUI'!$G$5:$G$454,MATCH("001|2663002",'Rubro por CUI'!$N$5:$N$454,0))</f>
        <v>292573.0</v>
      </c>
      <c r="I144" s="8">
        <f>INDEX('Rubro por CUI'!$H$5:$H$454,MATCH("001|2663002",'Rubro por CUI'!$N$5:$N$454,0))</f>
        <v>0.0</v>
      </c>
      <c r="J144" s="8">
        <f>INDEX('Rubro por CUI'!$I$5:$I$454,MATCH("001|2663002",'Rubro por CUI'!$N$5:$N$454,0))</f>
        <v>0.0</v>
      </c>
      <c r="K144" s="8">
        <f>L144-SUM(F144:J144)</f>
        <v>0.0</v>
      </c>
      <c r="L144" s="8">
        <f>SUMIFS(Base!$N$5:$N$504,Base!$A$5:$A$504,"001",Base!$F$5:$F$504,"2663002")</f>
        <v>292573.0</v>
      </c>
      <c r="M144" s="7" t="s">
        <v>99</v>
      </c>
      <c r="N144" s="7" t="s">
        <v>1796</v>
      </c>
    </row>
    <row r="145" spans="1:14">
      <c r="A145" s="28">
        <v>138</v>
      </c>
      <c r="B145" s="28" t="s">
        <v>1933</v>
      </c>
      <c r="C145" s="7" t="s">
        <v>654</v>
      </c>
      <c r="D145" s="33">
        <v>6178031</v>
      </c>
      <c r="E145" s="33">
        <v>0</v>
      </c>
      <c r="F145" s="8">
        <f>INDEX('Rubro por CUI'!$E$5:$E$454,MATCH("001|2681054",'Rubro por CUI'!$N$5:$N$454,0))</f>
        <v>0.0</v>
      </c>
      <c r="G145" s="8">
        <f>INDEX('Rubro por CUI'!$F$5:$F$454,MATCH("001|2681054",'Rubro por CUI'!$N$5:$N$454,0))</f>
        <v>0.0</v>
      </c>
      <c r="H145" s="8">
        <f>INDEX('Rubro por CUI'!$G$5:$G$454,MATCH("001|2681054",'Rubro por CUI'!$N$5:$N$454,0))</f>
        <v>287709.0</v>
      </c>
      <c r="I145" s="8">
        <f>INDEX('Rubro por CUI'!$H$5:$H$454,MATCH("001|2681054",'Rubro por CUI'!$N$5:$N$454,0))</f>
        <v>0.0</v>
      </c>
      <c r="J145" s="8">
        <f>INDEX('Rubro por CUI'!$I$5:$I$454,MATCH("001|2681054",'Rubro por CUI'!$N$5:$N$454,0))</f>
        <v>0.0</v>
      </c>
      <c r="K145" s="8">
        <f>L145-SUM(F145:J145)</f>
        <v>0.0</v>
      </c>
      <c r="L145" s="8">
        <f>SUMIFS(Base!$N$5:$N$504,Base!$A$5:$A$504,"001",Base!$F$5:$F$504,"2681054")</f>
        <v>287709.0</v>
      </c>
      <c r="M145" s="8">
        <f>D145-E145-L145</f>
        <v>5890322.0</v>
      </c>
      <c r="N145" s="7" t="s">
        <v>89</v>
      </c>
    </row>
    <row r="146" spans="1:14">
      <c r="A146" s="28">
        <v>139</v>
      </c>
      <c r="B146" s="28" t="s">
        <v>1934</v>
      </c>
      <c r="C146" s="7" t="s">
        <v>1590</v>
      </c>
      <c r="D146" s="33">
        <v>312698</v>
      </c>
      <c r="E146" s="33">
        <v>20105</v>
      </c>
      <c r="F146" s="8">
        <f>INDEX('Rubro por CUI'!$E$5:$E$454,MATCH("001|2699546",'Rubro por CUI'!$N$5:$N$454,0))</f>
        <v>0.0</v>
      </c>
      <c r="G146" s="8">
        <f>INDEX('Rubro por CUI'!$F$5:$F$454,MATCH("001|2699546",'Rubro por CUI'!$N$5:$N$454,0))</f>
        <v>0.0</v>
      </c>
      <c r="H146" s="8">
        <f>INDEX('Rubro por CUI'!$G$5:$G$454,MATCH("001|2699546",'Rubro por CUI'!$N$5:$N$454,0))</f>
        <v>271707.0</v>
      </c>
      <c r="I146" s="8">
        <f>INDEX('Rubro por CUI'!$H$5:$H$454,MATCH("001|2699546",'Rubro por CUI'!$N$5:$N$454,0))</f>
        <v>0.0</v>
      </c>
      <c r="J146" s="8">
        <f>INDEX('Rubro por CUI'!$I$5:$I$454,MATCH("001|2699546",'Rubro por CUI'!$N$5:$N$454,0))</f>
        <v>0.0</v>
      </c>
      <c r="K146" s="8">
        <f>L146-SUM(F146:J146)</f>
        <v>0.0</v>
      </c>
      <c r="L146" s="8">
        <f>SUMIFS(Base!$N$5:$N$504,Base!$A$5:$A$504,"001",Base!$F$5:$F$504,"2699546")</f>
        <v>271707.0</v>
      </c>
      <c r="M146" s="8">
        <f>D146-E146-L146</f>
        <v>20886.0</v>
      </c>
      <c r="N146" s="7" t="s">
        <v>89</v>
      </c>
    </row>
    <row r="147" spans="1:14">
      <c r="A147" s="28">
        <v>140</v>
      </c>
      <c r="B147" s="28" t="s">
        <v>1935</v>
      </c>
      <c r="C147" s="7" t="s">
        <v>864</v>
      </c>
      <c r="D147" s="33">
        <v>19954663</v>
      </c>
      <c r="E147" s="33">
        <v>530857</v>
      </c>
      <c r="F147" s="8">
        <f>INDEX('Rubro por CUI'!$E$5:$E$454,MATCH("001|2403888",'Rubro por CUI'!$N$5:$N$454,0))</f>
        <v>0.0</v>
      </c>
      <c r="G147" s="8">
        <f>INDEX('Rubro por CUI'!$F$5:$F$454,MATCH("001|2403888",'Rubro por CUI'!$N$5:$N$454,0))</f>
        <v>0.0</v>
      </c>
      <c r="H147" s="8">
        <f>INDEX('Rubro por CUI'!$G$5:$G$454,MATCH("001|2403888",'Rubro por CUI'!$N$5:$N$454,0))</f>
        <v>261704.0</v>
      </c>
      <c r="I147" s="8">
        <f>INDEX('Rubro por CUI'!$H$5:$H$454,MATCH("001|2403888",'Rubro por CUI'!$N$5:$N$454,0))</f>
        <v>0.0</v>
      </c>
      <c r="J147" s="8">
        <f>INDEX('Rubro por CUI'!$I$5:$I$454,MATCH("001|2403888",'Rubro por CUI'!$N$5:$N$454,0))</f>
        <v>0.0</v>
      </c>
      <c r="K147" s="8">
        <f>L147-SUM(F147:J147)</f>
        <v>0.0</v>
      </c>
      <c r="L147" s="8">
        <f>SUMIFS(Base!$N$5:$N$504,Base!$A$5:$A$504,"001",Base!$F$5:$F$504,"2403888")</f>
        <v>261704.0</v>
      </c>
      <c r="M147" s="8">
        <f>D147-E147-L147</f>
        <v>19162102.0</v>
      </c>
      <c r="N147" s="7" t="s">
        <v>89</v>
      </c>
    </row>
    <row r="148" spans="1:14">
      <c r="A148" s="28">
        <v>141</v>
      </c>
      <c r="B148" s="28" t="s">
        <v>1936</v>
      </c>
      <c r="C148" s="7" t="s">
        <v>657</v>
      </c>
      <c r="D148" s="33">
        <v>5978792</v>
      </c>
      <c r="E148" s="33">
        <v>0</v>
      </c>
      <c r="F148" s="8">
        <f>INDEX('Rubro por CUI'!$E$5:$E$454,MATCH("001|2700348",'Rubro por CUI'!$N$5:$N$454,0))</f>
        <v>0.0</v>
      </c>
      <c r="G148" s="8">
        <f>INDEX('Rubro por CUI'!$F$5:$F$454,MATCH("001|2700348",'Rubro por CUI'!$N$5:$N$454,0))</f>
        <v>0.0</v>
      </c>
      <c r="H148" s="8">
        <f>INDEX('Rubro por CUI'!$G$5:$G$454,MATCH("001|2700348",'Rubro por CUI'!$N$5:$N$454,0))</f>
        <v>256938.0</v>
      </c>
      <c r="I148" s="8">
        <f>INDEX('Rubro por CUI'!$H$5:$H$454,MATCH("001|2700348",'Rubro por CUI'!$N$5:$N$454,0))</f>
        <v>0.0</v>
      </c>
      <c r="J148" s="8">
        <f>INDEX('Rubro por CUI'!$I$5:$I$454,MATCH("001|2700348",'Rubro por CUI'!$N$5:$N$454,0))</f>
        <v>0.0</v>
      </c>
      <c r="K148" s="8">
        <f>L148-SUM(F148:J148)</f>
        <v>0.0</v>
      </c>
      <c r="L148" s="8">
        <f>SUMIFS(Base!$N$5:$N$504,Base!$A$5:$A$504,"001",Base!$F$5:$F$504,"2700348")</f>
        <v>256938.0</v>
      </c>
      <c r="M148" s="8">
        <f>D148-E148-L148</f>
        <v>5721854.0</v>
      </c>
      <c r="N148" s="7" t="s">
        <v>89</v>
      </c>
    </row>
    <row r="149" spans="1:14">
      <c r="A149" s="28">
        <v>142</v>
      </c>
      <c r="B149" s="28" t="s">
        <v>1937</v>
      </c>
      <c r="C149" s="7" t="s">
        <v>633</v>
      </c>
      <c r="D149" s="7" t="s">
        <v>99</v>
      </c>
      <c r="E149" s="7" t="s">
        <v>99</v>
      </c>
      <c r="F149" s="8">
        <f>INDEX('Rubro por CUI'!$E$5:$E$454,MATCH("001|2492963",'Rubro por CUI'!$N$5:$N$454,0))</f>
        <v>0.0</v>
      </c>
      <c r="G149" s="8">
        <f>INDEX('Rubro por CUI'!$F$5:$F$454,MATCH("001|2492963",'Rubro por CUI'!$N$5:$N$454,0))</f>
        <v>0.0</v>
      </c>
      <c r="H149" s="8">
        <f>INDEX('Rubro por CUI'!$G$5:$G$454,MATCH("001|2492963",'Rubro por CUI'!$N$5:$N$454,0))</f>
        <v>220496.0</v>
      </c>
      <c r="I149" s="8">
        <f>INDEX('Rubro por CUI'!$H$5:$H$454,MATCH("001|2492963",'Rubro por CUI'!$N$5:$N$454,0))</f>
        <v>0.0</v>
      </c>
      <c r="J149" s="8">
        <f>INDEX('Rubro por CUI'!$I$5:$I$454,MATCH("001|2492963",'Rubro por CUI'!$N$5:$N$454,0))</f>
        <v>0.0</v>
      </c>
      <c r="K149" s="8">
        <f>L149-SUM(F149:J149)</f>
        <v>0.0</v>
      </c>
      <c r="L149" s="8">
        <f>SUMIFS(Base!$N$5:$N$504,Base!$A$5:$A$504,"001",Base!$F$5:$F$504,"2492963")</f>
        <v>220496.0</v>
      </c>
      <c r="M149" s="7" t="s">
        <v>99</v>
      </c>
      <c r="N149" s="7" t="s">
        <v>1796</v>
      </c>
    </row>
    <row r="150" spans="1:14">
      <c r="A150" s="28">
        <v>143</v>
      </c>
      <c r="B150" s="28" t="s">
        <v>1938</v>
      </c>
      <c r="C150" s="7" t="s">
        <v>880</v>
      </c>
      <c r="D150" s="33">
        <v>13222141</v>
      </c>
      <c r="E150" s="33">
        <v>345837</v>
      </c>
      <c r="F150" s="8">
        <f>INDEX('Rubro por CUI'!$E$5:$E$454,MATCH("001|2623876",'Rubro por CUI'!$N$5:$N$454,0))</f>
        <v>0.0</v>
      </c>
      <c r="G150" s="8">
        <f>INDEX('Rubro por CUI'!$F$5:$F$454,MATCH("001|2623876",'Rubro por CUI'!$N$5:$N$454,0))</f>
        <v>0.0</v>
      </c>
      <c r="H150" s="8">
        <f>INDEX('Rubro por CUI'!$G$5:$G$454,MATCH("001|2623876",'Rubro por CUI'!$N$5:$N$454,0))</f>
        <v>194522.0</v>
      </c>
      <c r="I150" s="8">
        <f>INDEX('Rubro por CUI'!$H$5:$H$454,MATCH("001|2623876",'Rubro por CUI'!$N$5:$N$454,0))</f>
        <v>25959.0</v>
      </c>
      <c r="J150" s="8">
        <f>INDEX('Rubro por CUI'!$I$5:$I$454,MATCH("001|2623876",'Rubro por CUI'!$N$5:$N$454,0))</f>
        <v>0.0</v>
      </c>
      <c r="K150" s="8">
        <f>L150-SUM(F150:J150)</f>
        <v>0.0</v>
      </c>
      <c r="L150" s="8">
        <f>SUMIFS(Base!$N$5:$N$504,Base!$A$5:$A$504,"001",Base!$F$5:$F$504,"2623876")</f>
        <v>220481.0</v>
      </c>
      <c r="M150" s="8">
        <f>D150-E150-L150</f>
        <v>12655823.0</v>
      </c>
      <c r="N150" s="7" t="s">
        <v>89</v>
      </c>
    </row>
    <row r="151" spans="1:14">
      <c r="A151" s="28">
        <v>144</v>
      </c>
      <c r="B151" s="28" t="s">
        <v>1939</v>
      </c>
      <c r="C151" s="7" t="s">
        <v>1595</v>
      </c>
      <c r="D151" s="7" t="s">
        <v>99</v>
      </c>
      <c r="E151" s="7" t="s">
        <v>99</v>
      </c>
      <c r="F151" s="8">
        <f>INDEX('Rubro por CUI'!$E$5:$E$454,MATCH("001|2617364",'Rubro por CUI'!$N$5:$N$454,0))</f>
        <v>0.0</v>
      </c>
      <c r="G151" s="8">
        <f>INDEX('Rubro por CUI'!$F$5:$F$454,MATCH("001|2617364",'Rubro por CUI'!$N$5:$N$454,0))</f>
        <v>0.0</v>
      </c>
      <c r="H151" s="8">
        <f>INDEX('Rubro por CUI'!$G$5:$G$454,MATCH("001|2617364",'Rubro por CUI'!$N$5:$N$454,0))</f>
        <v>218556.0</v>
      </c>
      <c r="I151" s="8">
        <f>INDEX('Rubro por CUI'!$H$5:$H$454,MATCH("001|2617364",'Rubro por CUI'!$N$5:$N$454,0))</f>
        <v>0.0</v>
      </c>
      <c r="J151" s="8">
        <f>INDEX('Rubro por CUI'!$I$5:$I$454,MATCH("001|2617364",'Rubro por CUI'!$N$5:$N$454,0))</f>
        <v>0.0</v>
      </c>
      <c r="K151" s="8">
        <f>L151-SUM(F151:J151)</f>
        <v>0.0</v>
      </c>
      <c r="L151" s="8">
        <f>SUMIFS(Base!$N$5:$N$504,Base!$A$5:$A$504,"001",Base!$F$5:$F$504,"2617364")</f>
        <v>218556.0</v>
      </c>
      <c r="M151" s="7" t="s">
        <v>99</v>
      </c>
      <c r="N151" s="7" t="s">
        <v>1796</v>
      </c>
    </row>
    <row r="152" spans="1:14">
      <c r="A152" s="28">
        <v>145</v>
      </c>
      <c r="B152" s="28" t="s">
        <v>1940</v>
      </c>
      <c r="C152" s="7" t="s">
        <v>899</v>
      </c>
      <c r="D152" s="33">
        <v>1266458</v>
      </c>
      <c r="E152" s="33">
        <v>0</v>
      </c>
      <c r="F152" s="8">
        <f>INDEX('Rubro por CUI'!$E$5:$E$454,MATCH("001|2649803",'Rubro por CUI'!$N$5:$N$454,0))</f>
        <v>0.0</v>
      </c>
      <c r="G152" s="8">
        <f>INDEX('Rubro por CUI'!$F$5:$F$454,MATCH("001|2649803",'Rubro por CUI'!$N$5:$N$454,0))</f>
        <v>0.0</v>
      </c>
      <c r="H152" s="8">
        <f>INDEX('Rubro por CUI'!$G$5:$G$454,MATCH("001|2649803",'Rubro por CUI'!$N$5:$N$454,0))</f>
        <v>209495.0</v>
      </c>
      <c r="I152" s="8">
        <f>INDEX('Rubro por CUI'!$H$5:$H$454,MATCH("001|2649803",'Rubro por CUI'!$N$5:$N$454,0))</f>
        <v>0.0</v>
      </c>
      <c r="J152" s="8">
        <f>INDEX('Rubro por CUI'!$I$5:$I$454,MATCH("001|2649803",'Rubro por CUI'!$N$5:$N$454,0))</f>
        <v>0.0</v>
      </c>
      <c r="K152" s="8">
        <f>L152-SUM(F152:J152)</f>
        <v>0.0</v>
      </c>
      <c r="L152" s="8">
        <f>SUMIFS(Base!$N$5:$N$504,Base!$A$5:$A$504,"001",Base!$F$5:$F$504,"2649803")</f>
        <v>209495.0</v>
      </c>
      <c r="M152" s="8">
        <f>D152-E152-L152</f>
        <v>1056963.0</v>
      </c>
      <c r="N152" s="7" t="s">
        <v>89</v>
      </c>
    </row>
    <row r="153" spans="1:14">
      <c r="A153" s="28">
        <v>146</v>
      </c>
      <c r="B153" s="28" t="s">
        <v>1941</v>
      </c>
      <c r="C153" s="7" t="s">
        <v>660</v>
      </c>
      <c r="D153" s="7" t="s">
        <v>99</v>
      </c>
      <c r="E153" s="7" t="s">
        <v>99</v>
      </c>
      <c r="F153" s="8">
        <f>INDEX('Rubro por CUI'!$E$5:$E$454,MATCH("001|2650804",'Rubro por CUI'!$N$5:$N$454,0))</f>
        <v>0.0</v>
      </c>
      <c r="G153" s="8">
        <f>INDEX('Rubro por CUI'!$F$5:$F$454,MATCH("001|2650804",'Rubro por CUI'!$N$5:$N$454,0))</f>
        <v>0.0</v>
      </c>
      <c r="H153" s="8">
        <f>INDEX('Rubro por CUI'!$G$5:$G$454,MATCH("001|2650804",'Rubro por CUI'!$N$5:$N$454,0))</f>
        <v>200000.0</v>
      </c>
      <c r="I153" s="8">
        <f>INDEX('Rubro por CUI'!$H$5:$H$454,MATCH("001|2650804",'Rubro por CUI'!$N$5:$N$454,0))</f>
        <v>0.0</v>
      </c>
      <c r="J153" s="8">
        <f>INDEX('Rubro por CUI'!$I$5:$I$454,MATCH("001|2650804",'Rubro por CUI'!$N$5:$N$454,0))</f>
        <v>0.0</v>
      </c>
      <c r="K153" s="8">
        <f>L153-SUM(F153:J153)</f>
        <v>0.0</v>
      </c>
      <c r="L153" s="8">
        <f>SUMIFS(Base!$N$5:$N$504,Base!$A$5:$A$504,"001",Base!$F$5:$F$504,"2650804")</f>
        <v>200000.0</v>
      </c>
      <c r="M153" s="7" t="s">
        <v>99</v>
      </c>
      <c r="N153" s="7" t="s">
        <v>1796</v>
      </c>
    </row>
    <row r="154" spans="1:14">
      <c r="A154" s="28">
        <v>147</v>
      </c>
      <c r="B154" s="28" t="s">
        <v>1942</v>
      </c>
      <c r="C154" s="7" t="s">
        <v>665</v>
      </c>
      <c r="D154" s="33">
        <v>12096729</v>
      </c>
      <c r="E154" s="33">
        <v>0</v>
      </c>
      <c r="F154" s="8">
        <f>INDEX('Rubro por CUI'!$E$5:$E$454,MATCH("001|2681015",'Rubro por CUI'!$N$5:$N$454,0))</f>
        <v>0.0</v>
      </c>
      <c r="G154" s="8">
        <f>INDEX('Rubro por CUI'!$F$5:$F$454,MATCH("001|2681015",'Rubro por CUI'!$N$5:$N$454,0))</f>
        <v>0.0</v>
      </c>
      <c r="H154" s="8">
        <f>INDEX('Rubro por CUI'!$G$5:$G$454,MATCH("001|2681015",'Rubro por CUI'!$N$5:$N$454,0))</f>
        <v>200000.0</v>
      </c>
      <c r="I154" s="8">
        <f>INDEX('Rubro por CUI'!$H$5:$H$454,MATCH("001|2681015",'Rubro por CUI'!$N$5:$N$454,0))</f>
        <v>0.0</v>
      </c>
      <c r="J154" s="8">
        <f>INDEX('Rubro por CUI'!$I$5:$I$454,MATCH("001|2681015",'Rubro por CUI'!$N$5:$N$454,0))</f>
        <v>0.0</v>
      </c>
      <c r="K154" s="8">
        <f>L154-SUM(F154:J154)</f>
        <v>0.0</v>
      </c>
      <c r="L154" s="8">
        <f>SUMIFS(Base!$N$5:$N$504,Base!$A$5:$A$504,"001",Base!$F$5:$F$504,"2681015")</f>
        <v>200000.0</v>
      </c>
      <c r="M154" s="8">
        <f>D154-E154-L154</f>
        <v>11896729.0</v>
      </c>
      <c r="N154" s="7" t="s">
        <v>89</v>
      </c>
    </row>
    <row r="155" spans="1:14">
      <c r="A155" s="28">
        <v>148</v>
      </c>
      <c r="B155" s="28" t="s">
        <v>1943</v>
      </c>
      <c r="C155" s="7" t="s">
        <v>1557</v>
      </c>
      <c r="D155" s="33">
        <v>239677</v>
      </c>
      <c r="E155" s="33">
        <v>21050</v>
      </c>
      <c r="F155" s="8">
        <f>INDEX('Rubro por CUI'!$E$5:$E$454,MATCH("001|2699544",'Rubro por CUI'!$N$5:$N$454,0))</f>
        <v>0.0</v>
      </c>
      <c r="G155" s="8">
        <f>INDEX('Rubro por CUI'!$F$5:$F$454,MATCH("001|2699544",'Rubro por CUI'!$N$5:$N$454,0))</f>
        <v>0.0</v>
      </c>
      <c r="H155" s="8">
        <f>INDEX('Rubro por CUI'!$G$5:$G$454,MATCH("001|2699544",'Rubro por CUI'!$N$5:$N$454,0))</f>
        <v>195079.0</v>
      </c>
      <c r="I155" s="8">
        <f>INDEX('Rubro por CUI'!$H$5:$H$454,MATCH("001|2699544",'Rubro por CUI'!$N$5:$N$454,0))</f>
        <v>0.0</v>
      </c>
      <c r="J155" s="8">
        <f>INDEX('Rubro por CUI'!$I$5:$I$454,MATCH("001|2699544",'Rubro por CUI'!$N$5:$N$454,0))</f>
        <v>0.0</v>
      </c>
      <c r="K155" s="8">
        <f>L155-SUM(F155:J155)</f>
        <v>0.0</v>
      </c>
      <c r="L155" s="8">
        <f>SUMIFS(Base!$N$5:$N$504,Base!$A$5:$A$504,"001",Base!$F$5:$F$504,"2699544")</f>
        <v>195079.0</v>
      </c>
      <c r="M155" s="8">
        <f>D155-E155-L155</f>
        <v>23548.0</v>
      </c>
      <c r="N155" s="7" t="s">
        <v>89</v>
      </c>
    </row>
    <row r="156" spans="1:14">
      <c r="A156" s="28">
        <v>149</v>
      </c>
      <c r="B156" s="28" t="s">
        <v>1944</v>
      </c>
      <c r="C156" s="7" t="s">
        <v>651</v>
      </c>
      <c r="D156" s="33">
        <v>12138150</v>
      </c>
      <c r="E156" s="33">
        <v>0</v>
      </c>
      <c r="F156" s="8">
        <f>INDEX('Rubro por CUI'!$E$5:$E$454,MATCH("001|2681037",'Rubro por CUI'!$N$5:$N$454,0))</f>
        <v>0.0</v>
      </c>
      <c r="G156" s="8">
        <f>INDEX('Rubro por CUI'!$F$5:$F$454,MATCH("001|2681037",'Rubro por CUI'!$N$5:$N$454,0))</f>
        <v>0.0</v>
      </c>
      <c r="H156" s="8">
        <f>INDEX('Rubro por CUI'!$G$5:$G$454,MATCH("001|2681037",'Rubro por CUI'!$N$5:$N$454,0))</f>
        <v>192812.0</v>
      </c>
      <c r="I156" s="8">
        <f>INDEX('Rubro por CUI'!$H$5:$H$454,MATCH("001|2681037",'Rubro por CUI'!$N$5:$N$454,0))</f>
        <v>0.0</v>
      </c>
      <c r="J156" s="8">
        <f>INDEX('Rubro por CUI'!$I$5:$I$454,MATCH("001|2681037",'Rubro por CUI'!$N$5:$N$454,0))</f>
        <v>0.0</v>
      </c>
      <c r="K156" s="8">
        <f>L156-SUM(F156:J156)</f>
        <v>0.0</v>
      </c>
      <c r="L156" s="8">
        <f>SUMIFS(Base!$N$5:$N$504,Base!$A$5:$A$504,"001",Base!$F$5:$F$504,"2681037")</f>
        <v>192812.0</v>
      </c>
      <c r="M156" s="8">
        <f>D156-E156-L156</f>
        <v>11945338.0</v>
      </c>
      <c r="N156" s="7" t="s">
        <v>89</v>
      </c>
    </row>
    <row r="157" spans="1:14">
      <c r="A157" s="28">
        <v>150</v>
      </c>
      <c r="B157" s="28" t="s">
        <v>1945</v>
      </c>
      <c r="C157" s="7" t="s">
        <v>905</v>
      </c>
      <c r="D157" s="33">
        <v>985880</v>
      </c>
      <c r="E157" s="33">
        <v>0</v>
      </c>
      <c r="F157" s="8">
        <f>INDEX('Rubro por CUI'!$E$5:$E$454,MATCH("001|2649853",'Rubro por CUI'!$N$5:$N$454,0))</f>
        <v>0.0</v>
      </c>
      <c r="G157" s="8">
        <f>INDEX('Rubro por CUI'!$F$5:$F$454,MATCH("001|2649853",'Rubro por CUI'!$N$5:$N$454,0))</f>
        <v>0.0</v>
      </c>
      <c r="H157" s="8">
        <f>INDEX('Rubro por CUI'!$G$5:$G$454,MATCH("001|2649853",'Rubro por CUI'!$N$5:$N$454,0))</f>
        <v>179528.0</v>
      </c>
      <c r="I157" s="8">
        <f>INDEX('Rubro por CUI'!$H$5:$H$454,MATCH("001|2649853",'Rubro por CUI'!$N$5:$N$454,0))</f>
        <v>0.0</v>
      </c>
      <c r="J157" s="8">
        <f>INDEX('Rubro por CUI'!$I$5:$I$454,MATCH("001|2649853",'Rubro por CUI'!$N$5:$N$454,0))</f>
        <v>0.0</v>
      </c>
      <c r="K157" s="8">
        <f>L157-SUM(F157:J157)</f>
        <v>0.0</v>
      </c>
      <c r="L157" s="8">
        <f>SUMIFS(Base!$N$5:$N$504,Base!$A$5:$A$504,"001",Base!$F$5:$F$504,"2649853")</f>
        <v>179528.0</v>
      </c>
      <c r="M157" s="8">
        <f>D157-E157-L157</f>
        <v>806352.0</v>
      </c>
      <c r="N157" s="7" t="s">
        <v>89</v>
      </c>
    </row>
    <row r="158" spans="1:14">
      <c r="A158" s="28">
        <v>151</v>
      </c>
      <c r="B158" s="28" t="s">
        <v>1946</v>
      </c>
      <c r="C158" s="7" t="s">
        <v>877</v>
      </c>
      <c r="D158" s="33">
        <v>12239864</v>
      </c>
      <c r="E158" s="33">
        <v>448861</v>
      </c>
      <c r="F158" s="8">
        <f>INDEX('Rubro por CUI'!$E$5:$E$454,MATCH("001|2623875",'Rubro por CUI'!$N$5:$N$454,0))</f>
        <v>0.0</v>
      </c>
      <c r="G158" s="8">
        <f>INDEX('Rubro por CUI'!$F$5:$F$454,MATCH("001|2623875",'Rubro por CUI'!$N$5:$N$454,0))</f>
        <v>0.0</v>
      </c>
      <c r="H158" s="8">
        <f>INDEX('Rubro por CUI'!$G$5:$G$454,MATCH("001|2623875",'Rubro por CUI'!$N$5:$N$454,0))</f>
        <v>178134.0</v>
      </c>
      <c r="I158" s="8">
        <f>INDEX('Rubro por CUI'!$H$5:$H$454,MATCH("001|2623875",'Rubro por CUI'!$N$5:$N$454,0))</f>
        <v>0.0</v>
      </c>
      <c r="J158" s="8">
        <f>INDEX('Rubro por CUI'!$I$5:$I$454,MATCH("001|2623875",'Rubro por CUI'!$N$5:$N$454,0))</f>
        <v>0.0</v>
      </c>
      <c r="K158" s="8">
        <f>L158-SUM(F158:J158)</f>
        <v>0.0</v>
      </c>
      <c r="L158" s="8">
        <f>SUMIFS(Base!$N$5:$N$504,Base!$A$5:$A$504,"001",Base!$F$5:$F$504,"2623875")</f>
        <v>178134.0</v>
      </c>
      <c r="M158" s="8">
        <f>D158-E158-L158</f>
        <v>11612869.0</v>
      </c>
      <c r="N158" s="7" t="s">
        <v>89</v>
      </c>
    </row>
    <row r="159" spans="1:14">
      <c r="A159" s="28">
        <v>152</v>
      </c>
      <c r="B159" s="28" t="s">
        <v>1947</v>
      </c>
      <c r="C159" s="7" t="s">
        <v>846</v>
      </c>
      <c r="D159" s="33">
        <v>2130533</v>
      </c>
      <c r="E159" s="33">
        <v>115992</v>
      </c>
      <c r="F159" s="8">
        <f>INDEX('Rubro por CUI'!$E$5:$E$454,MATCH("001|2662668",'Rubro por CUI'!$N$5:$N$454,0))</f>
        <v>0.0</v>
      </c>
      <c r="G159" s="8">
        <f>INDEX('Rubro por CUI'!$F$5:$F$454,MATCH("001|2662668",'Rubro por CUI'!$N$5:$N$454,0))</f>
        <v>0.0</v>
      </c>
      <c r="H159" s="8">
        <f>INDEX('Rubro por CUI'!$G$5:$G$454,MATCH("001|2662668",'Rubro por CUI'!$N$5:$N$454,0))</f>
        <v>164979.0</v>
      </c>
      <c r="I159" s="8">
        <f>INDEX('Rubro por CUI'!$H$5:$H$454,MATCH("001|2662668",'Rubro por CUI'!$N$5:$N$454,0))</f>
        <v>0.0</v>
      </c>
      <c r="J159" s="8">
        <f>INDEX('Rubro por CUI'!$I$5:$I$454,MATCH("001|2662668",'Rubro por CUI'!$N$5:$N$454,0))</f>
        <v>0.0</v>
      </c>
      <c r="K159" s="8">
        <f>L159-SUM(F159:J159)</f>
        <v>0.0</v>
      </c>
      <c r="L159" s="8">
        <f>SUMIFS(Base!$N$5:$N$504,Base!$A$5:$A$504,"001",Base!$F$5:$F$504,"2662668")</f>
        <v>164979.0</v>
      </c>
      <c r="M159" s="8">
        <f>D159-E159-L159</f>
        <v>1849562.0</v>
      </c>
      <c r="N159" s="7" t="s">
        <v>89</v>
      </c>
    </row>
    <row r="160" spans="1:14">
      <c r="A160" s="28">
        <v>153</v>
      </c>
      <c r="B160" s="28" t="s">
        <v>1948</v>
      </c>
      <c r="C160" s="7" t="s">
        <v>926</v>
      </c>
      <c r="D160" s="33">
        <v>1553703</v>
      </c>
      <c r="E160" s="33">
        <v>53068</v>
      </c>
      <c r="F160" s="8">
        <f>INDEX('Rubro por CUI'!$E$5:$E$454,MATCH("001|2659575",'Rubro por CUI'!$N$5:$N$454,0))</f>
        <v>0.0</v>
      </c>
      <c r="G160" s="8">
        <f>INDEX('Rubro por CUI'!$F$5:$F$454,MATCH("001|2659575",'Rubro por CUI'!$N$5:$N$454,0))</f>
        <v>0.0</v>
      </c>
      <c r="H160" s="8">
        <f>INDEX('Rubro por CUI'!$G$5:$G$454,MATCH("001|2659575",'Rubro por CUI'!$N$5:$N$454,0))</f>
        <v>159574.0</v>
      </c>
      <c r="I160" s="8">
        <f>INDEX('Rubro por CUI'!$H$5:$H$454,MATCH("001|2659575",'Rubro por CUI'!$N$5:$N$454,0))</f>
        <v>0.0</v>
      </c>
      <c r="J160" s="8">
        <f>INDEX('Rubro por CUI'!$I$5:$I$454,MATCH("001|2659575",'Rubro por CUI'!$N$5:$N$454,0))</f>
        <v>0.0</v>
      </c>
      <c r="K160" s="8">
        <f>L160-SUM(F160:J160)</f>
        <v>0.0</v>
      </c>
      <c r="L160" s="8">
        <f>SUMIFS(Base!$N$5:$N$504,Base!$A$5:$A$504,"001",Base!$F$5:$F$504,"2659575")</f>
        <v>159574.0</v>
      </c>
      <c r="M160" s="8">
        <f>D160-E160-L160</f>
        <v>1341061.0</v>
      </c>
      <c r="N160" s="7" t="s">
        <v>89</v>
      </c>
    </row>
    <row r="161" spans="1:14">
      <c r="A161" s="28">
        <v>154</v>
      </c>
      <c r="B161" s="28" t="s">
        <v>1949</v>
      </c>
      <c r="C161" s="7" t="s">
        <v>636</v>
      </c>
      <c r="D161" s="33">
        <v>958145</v>
      </c>
      <c r="E161" s="33">
        <v>26160</v>
      </c>
      <c r="F161" s="8">
        <f>INDEX('Rubro por CUI'!$E$5:$E$454,MATCH("001|2650271",'Rubro por CUI'!$N$5:$N$454,0))</f>
        <v>0.0</v>
      </c>
      <c r="G161" s="8">
        <f>INDEX('Rubro por CUI'!$F$5:$F$454,MATCH("001|2650271",'Rubro por CUI'!$N$5:$N$454,0))</f>
        <v>0.0</v>
      </c>
      <c r="H161" s="8">
        <f>INDEX('Rubro por CUI'!$G$5:$G$454,MATCH("001|2650271",'Rubro por CUI'!$N$5:$N$454,0))</f>
        <v>129991.0</v>
      </c>
      <c r="I161" s="8">
        <f>INDEX('Rubro por CUI'!$H$5:$H$454,MATCH("001|2650271",'Rubro por CUI'!$N$5:$N$454,0))</f>
        <v>0.0</v>
      </c>
      <c r="J161" s="8">
        <f>INDEX('Rubro por CUI'!$I$5:$I$454,MATCH("001|2650271",'Rubro por CUI'!$N$5:$N$454,0))</f>
        <v>0.0</v>
      </c>
      <c r="K161" s="8">
        <f>L161-SUM(F161:J161)</f>
        <v>0.0</v>
      </c>
      <c r="L161" s="8">
        <f>SUMIFS(Base!$N$5:$N$504,Base!$A$5:$A$504,"001",Base!$F$5:$F$504,"2650271")</f>
        <v>129991.0</v>
      </c>
      <c r="M161" s="8">
        <f>D161-E161-L161</f>
        <v>801994.0</v>
      </c>
      <c r="N161" s="7" t="s">
        <v>89</v>
      </c>
    </row>
    <row r="162" spans="1:14">
      <c r="A162" s="28">
        <v>155</v>
      </c>
      <c r="B162" s="28" t="s">
        <v>1950</v>
      </c>
      <c r="C162" s="7" t="s">
        <v>837</v>
      </c>
      <c r="D162" s="33">
        <v>4853788</v>
      </c>
      <c r="E162" s="33">
        <v>208992</v>
      </c>
      <c r="F162" s="8">
        <f>INDEX('Rubro por CUI'!$E$5:$E$454,MATCH("001|2656882",'Rubro por CUI'!$N$5:$N$454,0))</f>
        <v>0.0</v>
      </c>
      <c r="G162" s="8">
        <f>INDEX('Rubro por CUI'!$F$5:$F$454,MATCH("001|2656882",'Rubro por CUI'!$N$5:$N$454,0))</f>
        <v>0.0</v>
      </c>
      <c r="H162" s="8">
        <f>INDEX('Rubro por CUI'!$G$5:$G$454,MATCH("001|2656882",'Rubro por CUI'!$N$5:$N$454,0))</f>
        <v>126982.0</v>
      </c>
      <c r="I162" s="8">
        <f>INDEX('Rubro por CUI'!$H$5:$H$454,MATCH("001|2656882",'Rubro por CUI'!$N$5:$N$454,0))</f>
        <v>0.0</v>
      </c>
      <c r="J162" s="8">
        <f>INDEX('Rubro por CUI'!$I$5:$I$454,MATCH("001|2656882",'Rubro por CUI'!$N$5:$N$454,0))</f>
        <v>0.0</v>
      </c>
      <c r="K162" s="8">
        <f>L162-SUM(F162:J162)</f>
        <v>0.0</v>
      </c>
      <c r="L162" s="8">
        <f>SUMIFS(Base!$N$5:$N$504,Base!$A$5:$A$504,"001",Base!$F$5:$F$504,"2656882")</f>
        <v>126982.0</v>
      </c>
      <c r="M162" s="8">
        <f>D162-E162-L162</f>
        <v>4517814.0</v>
      </c>
      <c r="N162" s="7" t="s">
        <v>89</v>
      </c>
    </row>
    <row r="163" spans="1:14">
      <c r="A163" s="28">
        <v>156</v>
      </c>
      <c r="B163" s="28" t="s">
        <v>1951</v>
      </c>
      <c r="C163" s="7" t="s">
        <v>174</v>
      </c>
      <c r="D163" s="33">
        <v>3108780</v>
      </c>
      <c r="E163" s="33">
        <v>2948855</v>
      </c>
      <c r="F163" s="8">
        <f>INDEX('Rubro por CUI'!$E$5:$E$454,MATCH("001|2196865",'Rubro por CUI'!$N$5:$N$454,0))</f>
        <v>0.0</v>
      </c>
      <c r="G163" s="8">
        <f>INDEX('Rubro por CUI'!$F$5:$F$454,MATCH("001|2196865",'Rubro por CUI'!$N$5:$N$454,0))</f>
        <v>0.0</v>
      </c>
      <c r="H163" s="8">
        <f>INDEX('Rubro por CUI'!$G$5:$G$454,MATCH("001|2196865",'Rubro por CUI'!$N$5:$N$454,0))</f>
        <v>118539.0</v>
      </c>
      <c r="I163" s="8">
        <f>INDEX('Rubro por CUI'!$H$5:$H$454,MATCH("001|2196865",'Rubro por CUI'!$N$5:$N$454,0))</f>
        <v>0.0</v>
      </c>
      <c r="J163" s="8">
        <f>INDEX('Rubro por CUI'!$I$5:$I$454,MATCH("001|2196865",'Rubro por CUI'!$N$5:$N$454,0))</f>
        <v>0.0</v>
      </c>
      <c r="K163" s="8">
        <f>L163-SUM(F163:J163)</f>
        <v>0.0</v>
      </c>
      <c r="L163" s="8">
        <f>SUMIFS(Base!$N$5:$N$504,Base!$A$5:$A$504,"001",Base!$F$5:$F$504,"2196865")</f>
        <v>118539.0</v>
      </c>
      <c r="M163" s="8">
        <f>D163-E163-L163</f>
        <v>41386.0</v>
      </c>
      <c r="N163" s="7" t="s">
        <v>89</v>
      </c>
    </row>
    <row r="164" spans="1:14">
      <c r="A164" s="28">
        <v>157</v>
      </c>
      <c r="B164" s="28" t="s">
        <v>1952</v>
      </c>
      <c r="C164" s="7" t="s">
        <v>843</v>
      </c>
      <c r="D164" s="33">
        <v>9959133</v>
      </c>
      <c r="E164" s="33">
        <v>387471</v>
      </c>
      <c r="F164" s="8">
        <f>INDEX('Rubro por CUI'!$E$5:$E$454,MATCH("001|2660479",'Rubro por CUI'!$N$5:$N$454,0))</f>
        <v>0.0</v>
      </c>
      <c r="G164" s="8">
        <f>INDEX('Rubro por CUI'!$F$5:$F$454,MATCH("001|2660479",'Rubro por CUI'!$N$5:$N$454,0))</f>
        <v>0.0</v>
      </c>
      <c r="H164" s="8">
        <f>INDEX('Rubro por CUI'!$G$5:$G$454,MATCH("001|2660479",'Rubro por CUI'!$N$5:$N$454,0))</f>
        <v>112244.0</v>
      </c>
      <c r="I164" s="8">
        <f>INDEX('Rubro por CUI'!$H$5:$H$454,MATCH("001|2660479",'Rubro por CUI'!$N$5:$N$454,0))</f>
        <v>0.0</v>
      </c>
      <c r="J164" s="8">
        <f>INDEX('Rubro por CUI'!$I$5:$I$454,MATCH("001|2660479",'Rubro por CUI'!$N$5:$N$454,0))</f>
        <v>0.0</v>
      </c>
      <c r="K164" s="8">
        <f>L164-SUM(F164:J164)</f>
        <v>0.0</v>
      </c>
      <c r="L164" s="8">
        <f>SUMIFS(Base!$N$5:$N$504,Base!$A$5:$A$504,"001",Base!$F$5:$F$504,"2660479")</f>
        <v>112244.0</v>
      </c>
      <c r="M164" s="8">
        <f>D164-E164-L164</f>
        <v>9459418.0</v>
      </c>
      <c r="N164" s="7" t="s">
        <v>89</v>
      </c>
    </row>
    <row r="165" spans="1:14">
      <c r="A165" s="28">
        <v>158</v>
      </c>
      <c r="B165" s="28" t="s">
        <v>1953</v>
      </c>
      <c r="C165" s="7" t="s">
        <v>920</v>
      </c>
      <c r="D165" s="33">
        <v>701649</v>
      </c>
      <c r="E165" s="33">
        <v>55847</v>
      </c>
      <c r="F165" s="8">
        <f>INDEX('Rubro por CUI'!$E$5:$E$454,MATCH("001|2651086",'Rubro por CUI'!$N$5:$N$454,0))</f>
        <v>0.0</v>
      </c>
      <c r="G165" s="8">
        <f>INDEX('Rubro por CUI'!$F$5:$F$454,MATCH("001|2651086",'Rubro por CUI'!$N$5:$N$454,0))</f>
        <v>0.0</v>
      </c>
      <c r="H165" s="8">
        <f>INDEX('Rubro por CUI'!$G$5:$G$454,MATCH("001|2651086",'Rubro por CUI'!$N$5:$N$454,0))</f>
        <v>106670.0</v>
      </c>
      <c r="I165" s="8">
        <f>INDEX('Rubro por CUI'!$H$5:$H$454,MATCH("001|2651086",'Rubro por CUI'!$N$5:$N$454,0))</f>
        <v>0.0</v>
      </c>
      <c r="J165" s="8">
        <f>INDEX('Rubro por CUI'!$I$5:$I$454,MATCH("001|2651086",'Rubro por CUI'!$N$5:$N$454,0))</f>
        <v>0.0</v>
      </c>
      <c r="K165" s="8">
        <f>L165-SUM(F165:J165)</f>
        <v>0.0</v>
      </c>
      <c r="L165" s="8">
        <f>SUMIFS(Base!$N$5:$N$504,Base!$A$5:$A$504,"001",Base!$F$5:$F$504,"2651086")</f>
        <v>106670.0</v>
      </c>
      <c r="M165" s="8">
        <f>D165-E165-L165</f>
        <v>539132.0</v>
      </c>
      <c r="N165" s="7" t="s">
        <v>89</v>
      </c>
    </row>
    <row r="166" spans="1:14">
      <c r="A166" s="28">
        <v>159</v>
      </c>
      <c r="B166" s="28" t="s">
        <v>1954</v>
      </c>
      <c r="C166" s="7" t="s">
        <v>1553</v>
      </c>
      <c r="D166" s="33">
        <v>540185</v>
      </c>
      <c r="E166" s="33">
        <v>384286</v>
      </c>
      <c r="F166" s="8">
        <f>INDEX('Rubro por CUI'!$E$5:$E$454,MATCH("001|2692840",'Rubro por CUI'!$N$5:$N$454,0))</f>
        <v>0.0</v>
      </c>
      <c r="G166" s="8">
        <f>INDEX('Rubro por CUI'!$F$5:$F$454,MATCH("001|2692840",'Rubro por CUI'!$N$5:$N$454,0))</f>
        <v>0.0</v>
      </c>
      <c r="H166" s="8">
        <f>INDEX('Rubro por CUI'!$G$5:$G$454,MATCH("001|2692840",'Rubro por CUI'!$N$5:$N$454,0))</f>
        <v>100785.0</v>
      </c>
      <c r="I166" s="8">
        <f>INDEX('Rubro por CUI'!$H$5:$H$454,MATCH("001|2692840",'Rubro por CUI'!$N$5:$N$454,0))</f>
        <v>0.0</v>
      </c>
      <c r="J166" s="8">
        <f>INDEX('Rubro por CUI'!$I$5:$I$454,MATCH("001|2692840",'Rubro por CUI'!$N$5:$N$454,0))</f>
        <v>0.0</v>
      </c>
      <c r="K166" s="8">
        <f>L166-SUM(F166:J166)</f>
        <v>0.0</v>
      </c>
      <c r="L166" s="8">
        <f>SUMIFS(Base!$N$5:$N$504,Base!$A$5:$A$504,"001",Base!$F$5:$F$504,"2692840")</f>
        <v>100785.0</v>
      </c>
      <c r="M166" s="8">
        <f>D166-E166-L166</f>
        <v>55114.0</v>
      </c>
      <c r="N166" s="7" t="s">
        <v>89</v>
      </c>
    </row>
    <row r="167" spans="1:14">
      <c r="A167" s="28">
        <v>160</v>
      </c>
      <c r="B167" s="28" t="s">
        <v>1955</v>
      </c>
      <c r="C167" s="7" t="s">
        <v>806</v>
      </c>
      <c r="D167" s="33">
        <v>42606902</v>
      </c>
      <c r="E167" s="33">
        <v>1707206</v>
      </c>
      <c r="F167" s="8">
        <f>INDEX('Rubro por CUI'!$E$5:$E$454,MATCH("001|2384978",'Rubro por CUI'!$N$5:$N$454,0))</f>
        <v>0.0</v>
      </c>
      <c r="G167" s="8">
        <f>INDEX('Rubro por CUI'!$F$5:$F$454,MATCH("001|2384978",'Rubro por CUI'!$N$5:$N$454,0))</f>
        <v>0.0</v>
      </c>
      <c r="H167" s="8">
        <f>INDEX('Rubro por CUI'!$G$5:$G$454,MATCH("001|2384978",'Rubro por CUI'!$N$5:$N$454,0))</f>
        <v>100000.0</v>
      </c>
      <c r="I167" s="8">
        <f>INDEX('Rubro por CUI'!$H$5:$H$454,MATCH("001|2384978",'Rubro por CUI'!$N$5:$N$454,0))</f>
        <v>0.0</v>
      </c>
      <c r="J167" s="8">
        <f>INDEX('Rubro por CUI'!$I$5:$I$454,MATCH("001|2384978",'Rubro por CUI'!$N$5:$N$454,0))</f>
        <v>0.0</v>
      </c>
      <c r="K167" s="8">
        <f>L167-SUM(F167:J167)</f>
        <v>0.0</v>
      </c>
      <c r="L167" s="8">
        <f>SUMIFS(Base!$N$5:$N$504,Base!$A$5:$A$504,"001",Base!$F$5:$F$504,"2384978")</f>
        <v>100000.0</v>
      </c>
      <c r="M167" s="8">
        <f>D167-E167-L167</f>
        <v>40799696.0</v>
      </c>
      <c r="N167" s="7" t="s">
        <v>89</v>
      </c>
    </row>
    <row r="168" spans="1:14">
      <c r="A168" s="28">
        <v>161</v>
      </c>
      <c r="B168" s="28" t="s">
        <v>1956</v>
      </c>
      <c r="C168" s="7" t="s">
        <v>816</v>
      </c>
      <c r="D168" s="33">
        <v>9766088</v>
      </c>
      <c r="E168" s="33">
        <v>285235</v>
      </c>
      <c r="F168" s="8">
        <f>INDEX('Rubro por CUI'!$E$5:$E$454,MATCH("001|2616445",'Rubro por CUI'!$N$5:$N$454,0))</f>
        <v>0.0</v>
      </c>
      <c r="G168" s="8">
        <f>INDEX('Rubro por CUI'!$F$5:$F$454,MATCH("001|2616445",'Rubro por CUI'!$N$5:$N$454,0))</f>
        <v>0.0</v>
      </c>
      <c r="H168" s="8">
        <f>INDEX('Rubro por CUI'!$G$5:$G$454,MATCH("001|2616445",'Rubro por CUI'!$N$5:$N$454,0))</f>
        <v>100000.0</v>
      </c>
      <c r="I168" s="8">
        <f>INDEX('Rubro por CUI'!$H$5:$H$454,MATCH("001|2616445",'Rubro por CUI'!$N$5:$N$454,0))</f>
        <v>0.0</v>
      </c>
      <c r="J168" s="8">
        <f>INDEX('Rubro por CUI'!$I$5:$I$454,MATCH("001|2616445",'Rubro por CUI'!$N$5:$N$454,0))</f>
        <v>0.0</v>
      </c>
      <c r="K168" s="8">
        <f>L168-SUM(F168:J168)</f>
        <v>0.0</v>
      </c>
      <c r="L168" s="8">
        <f>SUMIFS(Base!$N$5:$N$504,Base!$A$5:$A$504,"001",Base!$F$5:$F$504,"2616445")</f>
        <v>100000.0</v>
      </c>
      <c r="M168" s="8">
        <f>D168-E168-L168</f>
        <v>9380853.0</v>
      </c>
      <c r="N168" s="7" t="s">
        <v>89</v>
      </c>
    </row>
    <row r="169" spans="1:14">
      <c r="A169" s="28">
        <v>162</v>
      </c>
      <c r="B169" s="28" t="s">
        <v>1957</v>
      </c>
      <c r="C169" s="7" t="s">
        <v>819</v>
      </c>
      <c r="D169" s="33">
        <v>9761078</v>
      </c>
      <c r="E169" s="33">
        <v>301986</v>
      </c>
      <c r="F169" s="8">
        <f>INDEX('Rubro por CUI'!$E$5:$E$454,MATCH("001|2618450",'Rubro por CUI'!$N$5:$N$454,0))</f>
        <v>0.0</v>
      </c>
      <c r="G169" s="8">
        <f>INDEX('Rubro por CUI'!$F$5:$F$454,MATCH("001|2618450",'Rubro por CUI'!$N$5:$N$454,0))</f>
        <v>0.0</v>
      </c>
      <c r="H169" s="8">
        <f>INDEX('Rubro por CUI'!$G$5:$G$454,MATCH("001|2618450",'Rubro por CUI'!$N$5:$N$454,0))</f>
        <v>100000.0</v>
      </c>
      <c r="I169" s="8">
        <f>INDEX('Rubro por CUI'!$H$5:$H$454,MATCH("001|2618450",'Rubro por CUI'!$N$5:$N$454,0))</f>
        <v>0.0</v>
      </c>
      <c r="J169" s="8">
        <f>INDEX('Rubro por CUI'!$I$5:$I$454,MATCH("001|2618450",'Rubro por CUI'!$N$5:$N$454,0))</f>
        <v>0.0</v>
      </c>
      <c r="K169" s="8">
        <f>L169-SUM(F169:J169)</f>
        <v>0.0</v>
      </c>
      <c r="L169" s="8">
        <f>SUMIFS(Base!$N$5:$N$504,Base!$A$5:$A$504,"001",Base!$F$5:$F$504,"2618450")</f>
        <v>100000.0</v>
      </c>
      <c r="M169" s="8">
        <f>D169-E169-L169</f>
        <v>9359092.0</v>
      </c>
      <c r="N169" s="7" t="s">
        <v>89</v>
      </c>
    </row>
    <row r="170" spans="1:14">
      <c r="A170" s="28">
        <v>163</v>
      </c>
      <c r="B170" s="28" t="s">
        <v>1958</v>
      </c>
      <c r="C170" s="7" t="s">
        <v>828</v>
      </c>
      <c r="D170" s="33">
        <v>3592200</v>
      </c>
      <c r="E170" s="33">
        <v>154242</v>
      </c>
      <c r="F170" s="8">
        <f>INDEX('Rubro por CUI'!$E$5:$E$454,MATCH("001|2652119",'Rubro por CUI'!$N$5:$N$454,0))</f>
        <v>0.0</v>
      </c>
      <c r="G170" s="8">
        <f>INDEX('Rubro por CUI'!$F$5:$F$454,MATCH("001|2652119",'Rubro por CUI'!$N$5:$N$454,0))</f>
        <v>0.0</v>
      </c>
      <c r="H170" s="8">
        <f>INDEX('Rubro por CUI'!$G$5:$G$454,MATCH("001|2652119",'Rubro por CUI'!$N$5:$N$454,0))</f>
        <v>100000.0</v>
      </c>
      <c r="I170" s="8">
        <f>INDEX('Rubro por CUI'!$H$5:$H$454,MATCH("001|2652119",'Rubro por CUI'!$N$5:$N$454,0))</f>
        <v>0.0</v>
      </c>
      <c r="J170" s="8">
        <f>INDEX('Rubro por CUI'!$I$5:$I$454,MATCH("001|2652119",'Rubro por CUI'!$N$5:$N$454,0))</f>
        <v>0.0</v>
      </c>
      <c r="K170" s="8">
        <f>L170-SUM(F170:J170)</f>
        <v>0.0</v>
      </c>
      <c r="L170" s="8">
        <f>SUMIFS(Base!$N$5:$N$504,Base!$A$5:$A$504,"001",Base!$F$5:$F$504,"2652119")</f>
        <v>100000.0</v>
      </c>
      <c r="M170" s="8">
        <f>D170-E170-L170</f>
        <v>3337958.0</v>
      </c>
      <c r="N170" s="7" t="s">
        <v>89</v>
      </c>
    </row>
    <row r="171" spans="1:14">
      <c r="A171" s="28">
        <v>164</v>
      </c>
      <c r="B171" s="28" t="s">
        <v>1959</v>
      </c>
      <c r="C171" s="7" t="s">
        <v>858</v>
      </c>
      <c r="D171" s="33">
        <v>39964928</v>
      </c>
      <c r="E171" s="33">
        <v>577912</v>
      </c>
      <c r="F171" s="8">
        <f>INDEX('Rubro por CUI'!$E$5:$E$454,MATCH("001|2357337",'Rubro por CUI'!$N$5:$N$454,0))</f>
        <v>0.0</v>
      </c>
      <c r="G171" s="8">
        <f>INDEX('Rubro por CUI'!$F$5:$F$454,MATCH("001|2357337",'Rubro por CUI'!$N$5:$N$454,0))</f>
        <v>0.0</v>
      </c>
      <c r="H171" s="8">
        <f>INDEX('Rubro por CUI'!$G$5:$G$454,MATCH("001|2357337",'Rubro por CUI'!$N$5:$N$454,0))</f>
        <v>100000.0</v>
      </c>
      <c r="I171" s="8">
        <f>INDEX('Rubro por CUI'!$H$5:$H$454,MATCH("001|2357337",'Rubro por CUI'!$N$5:$N$454,0))</f>
        <v>0.0</v>
      </c>
      <c r="J171" s="8">
        <f>INDEX('Rubro por CUI'!$I$5:$I$454,MATCH("001|2357337",'Rubro por CUI'!$N$5:$N$454,0))</f>
        <v>0.0</v>
      </c>
      <c r="K171" s="8">
        <f>L171-SUM(F171:J171)</f>
        <v>0.0</v>
      </c>
      <c r="L171" s="8">
        <f>SUMIFS(Base!$N$5:$N$504,Base!$A$5:$A$504,"001",Base!$F$5:$F$504,"2357337")</f>
        <v>100000.0</v>
      </c>
      <c r="M171" s="8">
        <f>D171-E171-L171</f>
        <v>39287016.0</v>
      </c>
      <c r="N171" s="7" t="s">
        <v>89</v>
      </c>
    </row>
    <row r="172" spans="1:14">
      <c r="A172" s="28">
        <v>165</v>
      </c>
      <c r="B172" s="28" t="s">
        <v>1960</v>
      </c>
      <c r="C172" s="7" t="s">
        <v>849</v>
      </c>
      <c r="D172" s="33">
        <v>2938756</v>
      </c>
      <c r="E172" s="33">
        <v>176184</v>
      </c>
      <c r="F172" s="8">
        <f>INDEX('Rubro por CUI'!$E$5:$E$454,MATCH("001|2662786",'Rubro por CUI'!$N$5:$N$454,0))</f>
        <v>0.0</v>
      </c>
      <c r="G172" s="8">
        <f>INDEX('Rubro por CUI'!$F$5:$F$454,MATCH("001|2662786",'Rubro por CUI'!$N$5:$N$454,0))</f>
        <v>0.0</v>
      </c>
      <c r="H172" s="8">
        <f>INDEX('Rubro por CUI'!$G$5:$G$454,MATCH("001|2662786",'Rubro por CUI'!$N$5:$N$454,0))</f>
        <v>99897.0</v>
      </c>
      <c r="I172" s="8">
        <f>INDEX('Rubro por CUI'!$H$5:$H$454,MATCH("001|2662786",'Rubro por CUI'!$N$5:$N$454,0))</f>
        <v>0.0</v>
      </c>
      <c r="J172" s="8">
        <f>INDEX('Rubro por CUI'!$I$5:$I$454,MATCH("001|2662786",'Rubro por CUI'!$N$5:$N$454,0))</f>
        <v>0.0</v>
      </c>
      <c r="K172" s="8">
        <f>L172-SUM(F172:J172)</f>
        <v>0.0</v>
      </c>
      <c r="L172" s="8">
        <f>SUMIFS(Base!$N$5:$N$504,Base!$A$5:$A$504,"001",Base!$F$5:$F$504,"2662786")</f>
        <v>99897.0</v>
      </c>
      <c r="M172" s="8">
        <f>D172-E172-L172</f>
        <v>2662675.0</v>
      </c>
      <c r="N172" s="7" t="s">
        <v>89</v>
      </c>
    </row>
    <row r="173" spans="1:14">
      <c r="A173" s="28">
        <v>166</v>
      </c>
      <c r="B173" s="28" t="s">
        <v>1961</v>
      </c>
      <c r="C173" s="7" t="s">
        <v>615</v>
      </c>
      <c r="D173" s="7" t="s">
        <v>99</v>
      </c>
      <c r="E173" s="7" t="s">
        <v>99</v>
      </c>
      <c r="F173" s="8">
        <f>INDEX('Rubro por CUI'!$E$5:$E$454,MATCH("001|2659573",'Rubro por CUI'!$N$5:$N$454,0))</f>
        <v>0.0</v>
      </c>
      <c r="G173" s="8">
        <f>INDEX('Rubro por CUI'!$F$5:$F$454,MATCH("001|2659573",'Rubro por CUI'!$N$5:$N$454,0))</f>
        <v>0.0</v>
      </c>
      <c r="H173" s="8">
        <f>INDEX('Rubro por CUI'!$G$5:$G$454,MATCH("001|2659573",'Rubro por CUI'!$N$5:$N$454,0))</f>
        <v>81646.0</v>
      </c>
      <c r="I173" s="8">
        <f>INDEX('Rubro por CUI'!$H$5:$H$454,MATCH("001|2659573",'Rubro por CUI'!$N$5:$N$454,0))</f>
        <v>0.0</v>
      </c>
      <c r="J173" s="8">
        <f>INDEX('Rubro por CUI'!$I$5:$I$454,MATCH("001|2659573",'Rubro por CUI'!$N$5:$N$454,0))</f>
        <v>0.0</v>
      </c>
      <c r="K173" s="8">
        <f>L173-SUM(F173:J173)</f>
        <v>0.0</v>
      </c>
      <c r="L173" s="8">
        <f>SUMIFS(Base!$N$5:$N$504,Base!$A$5:$A$504,"001",Base!$F$5:$F$504,"2659573")</f>
        <v>81646.0</v>
      </c>
      <c r="M173" s="7" t="s">
        <v>99</v>
      </c>
      <c r="N173" s="7" t="s">
        <v>1796</v>
      </c>
    </row>
    <row r="174" spans="1:14">
      <c r="A174" s="28">
        <v>167</v>
      </c>
      <c r="B174" s="28" t="s">
        <v>1962</v>
      </c>
      <c r="C174" s="7" t="s">
        <v>893</v>
      </c>
      <c r="D174" s="33">
        <v>1128542</v>
      </c>
      <c r="E174" s="33">
        <v>50001</v>
      </c>
      <c r="F174" s="8">
        <f>INDEX('Rubro por CUI'!$E$5:$E$454,MATCH("001|2649798",'Rubro por CUI'!$N$5:$N$454,0))</f>
        <v>0.0</v>
      </c>
      <c r="G174" s="8">
        <f>INDEX('Rubro por CUI'!$F$5:$F$454,MATCH("001|2649798",'Rubro por CUI'!$N$5:$N$454,0))</f>
        <v>0.0</v>
      </c>
      <c r="H174" s="8">
        <f>INDEX('Rubro por CUI'!$G$5:$G$454,MATCH("001|2649798",'Rubro por CUI'!$N$5:$N$454,0))</f>
        <v>80000.0</v>
      </c>
      <c r="I174" s="8">
        <f>INDEX('Rubro por CUI'!$H$5:$H$454,MATCH("001|2649798",'Rubro por CUI'!$N$5:$N$454,0))</f>
        <v>0.0</v>
      </c>
      <c r="J174" s="8">
        <f>INDEX('Rubro por CUI'!$I$5:$I$454,MATCH("001|2649798",'Rubro por CUI'!$N$5:$N$454,0))</f>
        <v>0.0</v>
      </c>
      <c r="K174" s="8">
        <f>L174-SUM(F174:J174)</f>
        <v>0.0</v>
      </c>
      <c r="L174" s="8">
        <f>SUMIFS(Base!$N$5:$N$504,Base!$A$5:$A$504,"001",Base!$F$5:$F$504,"2649798")</f>
        <v>80000.0</v>
      </c>
      <c r="M174" s="8">
        <f>D174-E174-L174</f>
        <v>998541.0</v>
      </c>
      <c r="N174" s="7" t="s">
        <v>89</v>
      </c>
    </row>
    <row r="175" spans="1:14">
      <c r="A175" s="28">
        <v>168</v>
      </c>
      <c r="B175" s="28" t="s">
        <v>1963</v>
      </c>
      <c r="C175" s="7" t="s">
        <v>217</v>
      </c>
      <c r="D175" s="33">
        <v>14922517</v>
      </c>
      <c r="E175" s="33">
        <v>14410128</v>
      </c>
      <c r="F175" s="8">
        <f>INDEX('Rubro por CUI'!$E$5:$E$454,MATCH("001|2194462",'Rubro por CUI'!$N$5:$N$454,0))</f>
        <v>0.0</v>
      </c>
      <c r="G175" s="8">
        <f>INDEX('Rubro por CUI'!$F$5:$F$454,MATCH("001|2194462",'Rubro por CUI'!$N$5:$N$454,0))</f>
        <v>0.0</v>
      </c>
      <c r="H175" s="8">
        <f>INDEX('Rubro por CUI'!$G$5:$G$454,MATCH("001|2194462",'Rubro por CUI'!$N$5:$N$454,0))</f>
        <v>77590.0</v>
      </c>
      <c r="I175" s="8">
        <f>INDEX('Rubro por CUI'!$H$5:$H$454,MATCH("001|2194462",'Rubro por CUI'!$N$5:$N$454,0))</f>
        <v>0.0</v>
      </c>
      <c r="J175" s="8">
        <f>INDEX('Rubro por CUI'!$I$5:$I$454,MATCH("001|2194462",'Rubro por CUI'!$N$5:$N$454,0))</f>
        <v>0.0</v>
      </c>
      <c r="K175" s="8">
        <f>L175-SUM(F175:J175)</f>
        <v>0.0</v>
      </c>
      <c r="L175" s="8">
        <f>SUMIFS(Base!$N$5:$N$504,Base!$A$5:$A$504,"001",Base!$F$5:$F$504,"2194462")</f>
        <v>77590.0</v>
      </c>
      <c r="M175" s="8">
        <f>D175-E175-L175</f>
        <v>434799.0</v>
      </c>
      <c r="N175" s="7" t="s">
        <v>89</v>
      </c>
    </row>
    <row r="176" spans="1:14">
      <c r="A176" s="28">
        <v>169</v>
      </c>
      <c r="B176" s="28" t="s">
        <v>1964</v>
      </c>
      <c r="C176" s="7" t="s">
        <v>1549</v>
      </c>
      <c r="D176" s="33">
        <v>747818</v>
      </c>
      <c r="E176" s="33">
        <v>641830</v>
      </c>
      <c r="F176" s="8">
        <f>INDEX('Rubro por CUI'!$E$5:$E$454,MATCH("001|2693441",'Rubro por CUI'!$N$5:$N$454,0))</f>
        <v>0.0</v>
      </c>
      <c r="G176" s="8">
        <f>INDEX('Rubro por CUI'!$F$5:$F$454,MATCH("001|2693441",'Rubro por CUI'!$N$5:$N$454,0))</f>
        <v>0.0</v>
      </c>
      <c r="H176" s="8">
        <f>INDEX('Rubro por CUI'!$G$5:$G$454,MATCH("001|2693441",'Rubro por CUI'!$N$5:$N$454,0))</f>
        <v>70059.0</v>
      </c>
      <c r="I176" s="8">
        <f>INDEX('Rubro por CUI'!$H$5:$H$454,MATCH("001|2693441",'Rubro por CUI'!$N$5:$N$454,0))</f>
        <v>0.0</v>
      </c>
      <c r="J176" s="8">
        <f>INDEX('Rubro por CUI'!$I$5:$I$454,MATCH("001|2693441",'Rubro por CUI'!$N$5:$N$454,0))</f>
        <v>0.0</v>
      </c>
      <c r="K176" s="8">
        <f>L176-SUM(F176:J176)</f>
        <v>0.0</v>
      </c>
      <c r="L176" s="8">
        <f>SUMIFS(Base!$N$5:$N$504,Base!$A$5:$A$504,"001",Base!$F$5:$F$504,"2693441")</f>
        <v>70059.0</v>
      </c>
      <c r="M176" s="8">
        <f>D176-E176-L176</f>
        <v>35929.0</v>
      </c>
      <c r="N176" s="7" t="s">
        <v>89</v>
      </c>
    </row>
    <row r="177" spans="1:14">
      <c r="A177" s="28">
        <v>170</v>
      </c>
      <c r="B177" s="28" t="s">
        <v>1965</v>
      </c>
      <c r="C177" s="7" t="s">
        <v>459</v>
      </c>
      <c r="D177" s="33">
        <v>5642297</v>
      </c>
      <c r="E177" s="33">
        <v>5451157</v>
      </c>
      <c r="F177" s="8">
        <f>INDEX('Rubro por CUI'!$E$5:$E$454,MATCH("001|2627406",'Rubro por CUI'!$N$5:$N$454,0))</f>
        <v>0.0</v>
      </c>
      <c r="G177" s="8">
        <f>INDEX('Rubro por CUI'!$F$5:$F$454,MATCH("001|2627406",'Rubro por CUI'!$N$5:$N$454,0))</f>
        <v>0.0</v>
      </c>
      <c r="H177" s="8">
        <f>INDEX('Rubro por CUI'!$G$5:$G$454,MATCH("001|2627406",'Rubro por CUI'!$N$5:$N$454,0))</f>
        <v>61203.0</v>
      </c>
      <c r="I177" s="8">
        <f>INDEX('Rubro por CUI'!$H$5:$H$454,MATCH("001|2627406",'Rubro por CUI'!$N$5:$N$454,0))</f>
        <v>0.0</v>
      </c>
      <c r="J177" s="8">
        <f>INDEX('Rubro por CUI'!$I$5:$I$454,MATCH("001|2627406",'Rubro por CUI'!$N$5:$N$454,0))</f>
        <v>0.0</v>
      </c>
      <c r="K177" s="8">
        <f>L177-SUM(F177:J177)</f>
        <v>0.0</v>
      </c>
      <c r="L177" s="8">
        <f>SUMIFS(Base!$N$5:$N$504,Base!$A$5:$A$504,"001",Base!$F$5:$F$504,"2627406")</f>
        <v>61203.0</v>
      </c>
      <c r="M177" s="8">
        <f>D177-E177-L177</f>
        <v>129937.0</v>
      </c>
      <c r="N177" s="7" t="s">
        <v>89</v>
      </c>
    </row>
    <row r="178" spans="1:14">
      <c r="A178" s="28">
        <v>171</v>
      </c>
      <c r="B178" s="28" t="s">
        <v>1966</v>
      </c>
      <c r="C178" s="7" t="s">
        <v>629</v>
      </c>
      <c r="D178" s="7" t="s">
        <v>99</v>
      </c>
      <c r="E178" s="7" t="s">
        <v>99</v>
      </c>
      <c r="F178" s="8">
        <f>INDEX('Rubro por CUI'!$E$5:$E$454,MATCH("001|2624292",'Rubro por CUI'!$N$5:$N$454,0))</f>
        <v>0.0</v>
      </c>
      <c r="G178" s="8">
        <f>INDEX('Rubro por CUI'!$F$5:$F$454,MATCH("001|2624292",'Rubro por CUI'!$N$5:$N$454,0))</f>
        <v>0.0</v>
      </c>
      <c r="H178" s="8">
        <f>INDEX('Rubro por CUI'!$G$5:$G$454,MATCH("001|2624292",'Rubro por CUI'!$N$5:$N$454,0))</f>
        <v>58627.0</v>
      </c>
      <c r="I178" s="8">
        <f>INDEX('Rubro por CUI'!$H$5:$H$454,MATCH("001|2624292",'Rubro por CUI'!$N$5:$N$454,0))</f>
        <v>0.0</v>
      </c>
      <c r="J178" s="8">
        <f>INDEX('Rubro por CUI'!$I$5:$I$454,MATCH("001|2624292",'Rubro por CUI'!$N$5:$N$454,0))</f>
        <v>0.0</v>
      </c>
      <c r="K178" s="8">
        <f>L178-SUM(F178:J178)</f>
        <v>0.0</v>
      </c>
      <c r="L178" s="8">
        <f>SUMIFS(Base!$N$5:$N$504,Base!$A$5:$A$504,"001",Base!$F$5:$F$504,"2624292")</f>
        <v>58627.0</v>
      </c>
      <c r="M178" s="7" t="s">
        <v>99</v>
      </c>
      <c r="N178" s="7" t="s">
        <v>1796</v>
      </c>
    </row>
    <row r="179" spans="1:14">
      <c r="A179" s="28">
        <v>172</v>
      </c>
      <c r="B179" s="28" t="s">
        <v>1967</v>
      </c>
      <c r="C179" s="7" t="s">
        <v>813</v>
      </c>
      <c r="D179" s="33">
        <v>22390702</v>
      </c>
      <c r="E179" s="33">
        <v>499737</v>
      </c>
      <c r="F179" s="8">
        <f>INDEX('Rubro por CUI'!$E$5:$E$454,MATCH("001|2585923",'Rubro por CUI'!$N$5:$N$454,0))</f>
        <v>0.0</v>
      </c>
      <c r="G179" s="8">
        <f>INDEX('Rubro por CUI'!$F$5:$F$454,MATCH("001|2585923",'Rubro por CUI'!$N$5:$N$454,0))</f>
        <v>0.0</v>
      </c>
      <c r="H179" s="8">
        <f>INDEX('Rubro por CUI'!$G$5:$G$454,MATCH("001|2585923",'Rubro por CUI'!$N$5:$N$454,0))</f>
        <v>58259.0</v>
      </c>
      <c r="I179" s="8">
        <f>INDEX('Rubro por CUI'!$H$5:$H$454,MATCH("001|2585923",'Rubro por CUI'!$N$5:$N$454,0))</f>
        <v>0.0</v>
      </c>
      <c r="J179" s="8">
        <f>INDEX('Rubro por CUI'!$I$5:$I$454,MATCH("001|2585923",'Rubro por CUI'!$N$5:$N$454,0))</f>
        <v>0.0</v>
      </c>
      <c r="K179" s="8">
        <f>L179-SUM(F179:J179)</f>
        <v>0.0</v>
      </c>
      <c r="L179" s="8">
        <f>SUMIFS(Base!$N$5:$N$504,Base!$A$5:$A$504,"001",Base!$F$5:$F$504,"2585923")</f>
        <v>58259.0</v>
      </c>
      <c r="M179" s="8">
        <f>D179-E179-L179</f>
        <v>21832706.0</v>
      </c>
      <c r="N179" s="7" t="s">
        <v>89</v>
      </c>
    </row>
    <row r="180" spans="1:14">
      <c r="A180" s="28">
        <v>173</v>
      </c>
      <c r="B180" s="28" t="s">
        <v>1968</v>
      </c>
      <c r="C180" s="7" t="s">
        <v>603</v>
      </c>
      <c r="D180" s="33">
        <v>7705851</v>
      </c>
      <c r="E180" s="33">
        <v>243879</v>
      </c>
      <c r="F180" s="8">
        <f>INDEX('Rubro por CUI'!$E$5:$E$454,MATCH("001|2662467",'Rubro por CUI'!$N$5:$N$454,0))</f>
        <v>0.0</v>
      </c>
      <c r="G180" s="8">
        <f>INDEX('Rubro por CUI'!$F$5:$F$454,MATCH("001|2662467",'Rubro por CUI'!$N$5:$N$454,0))</f>
        <v>0.0</v>
      </c>
      <c r="H180" s="8">
        <f>INDEX('Rubro por CUI'!$G$5:$G$454,MATCH("001|2662467",'Rubro por CUI'!$N$5:$N$454,0))</f>
        <v>57442.0</v>
      </c>
      <c r="I180" s="8">
        <f>INDEX('Rubro por CUI'!$H$5:$H$454,MATCH("001|2662467",'Rubro por CUI'!$N$5:$N$454,0))</f>
        <v>0.0</v>
      </c>
      <c r="J180" s="8">
        <f>INDEX('Rubro por CUI'!$I$5:$I$454,MATCH("001|2662467",'Rubro por CUI'!$N$5:$N$454,0))</f>
        <v>0.0</v>
      </c>
      <c r="K180" s="8">
        <f>L180-SUM(F180:J180)</f>
        <v>0.0</v>
      </c>
      <c r="L180" s="8">
        <f>SUMIFS(Base!$N$5:$N$504,Base!$A$5:$A$504,"001",Base!$F$5:$F$504,"2662467")</f>
        <v>57442.0</v>
      </c>
      <c r="M180" s="8">
        <f>D180-E180-L180</f>
        <v>7404530.0</v>
      </c>
      <c r="N180" s="7" t="s">
        <v>89</v>
      </c>
    </row>
    <row r="181" spans="1:14">
      <c r="A181" s="28">
        <v>174</v>
      </c>
      <c r="B181" s="28" t="s">
        <v>1969</v>
      </c>
      <c r="C181" s="7" t="s">
        <v>606</v>
      </c>
      <c r="D181" s="33">
        <v>2193335</v>
      </c>
      <c r="E181" s="33">
        <v>111830</v>
      </c>
      <c r="F181" s="8">
        <f>INDEX('Rubro por CUI'!$E$5:$E$454,MATCH("001|2650268",'Rubro por CUI'!$N$5:$N$454,0))</f>
        <v>0.0</v>
      </c>
      <c r="G181" s="8">
        <f>INDEX('Rubro por CUI'!$F$5:$F$454,MATCH("001|2650268",'Rubro por CUI'!$N$5:$N$454,0))</f>
        <v>0.0</v>
      </c>
      <c r="H181" s="8">
        <f>INDEX('Rubro por CUI'!$G$5:$G$454,MATCH("001|2650268",'Rubro por CUI'!$N$5:$N$454,0))</f>
        <v>53010.0</v>
      </c>
      <c r="I181" s="8">
        <f>INDEX('Rubro por CUI'!$H$5:$H$454,MATCH("001|2650268",'Rubro por CUI'!$N$5:$N$454,0))</f>
        <v>0.0</v>
      </c>
      <c r="J181" s="8">
        <f>INDEX('Rubro por CUI'!$I$5:$I$454,MATCH("001|2650268",'Rubro por CUI'!$N$5:$N$454,0))</f>
        <v>0.0</v>
      </c>
      <c r="K181" s="8">
        <f>L181-SUM(F181:J181)</f>
        <v>0.0</v>
      </c>
      <c r="L181" s="8">
        <f>SUMIFS(Base!$N$5:$N$504,Base!$A$5:$A$504,"001",Base!$F$5:$F$504,"2650268")</f>
        <v>53010.0</v>
      </c>
      <c r="M181" s="8">
        <f>D181-E181-L181</f>
        <v>2028495.0</v>
      </c>
      <c r="N181" s="7" t="s">
        <v>89</v>
      </c>
    </row>
    <row r="182" spans="1:14">
      <c r="A182" s="28">
        <v>175</v>
      </c>
      <c r="B182" s="28" t="s">
        <v>1970</v>
      </c>
      <c r="C182" s="7" t="s">
        <v>929</v>
      </c>
      <c r="D182" s="33">
        <v>2430090</v>
      </c>
      <c r="E182" s="33">
        <v>200895</v>
      </c>
      <c r="F182" s="8">
        <f>INDEX('Rubro por CUI'!$E$5:$E$454,MATCH("001|2673614",'Rubro por CUI'!$N$5:$N$454,0))</f>
        <v>0.0</v>
      </c>
      <c r="G182" s="8">
        <f>INDEX('Rubro por CUI'!$F$5:$F$454,MATCH("001|2673614",'Rubro por CUI'!$N$5:$N$454,0))</f>
        <v>0.0</v>
      </c>
      <c r="H182" s="8">
        <f>INDEX('Rubro por CUI'!$G$5:$G$454,MATCH("001|2673614",'Rubro por CUI'!$N$5:$N$454,0))</f>
        <v>50467.0</v>
      </c>
      <c r="I182" s="8">
        <f>INDEX('Rubro por CUI'!$H$5:$H$454,MATCH("001|2673614",'Rubro por CUI'!$N$5:$N$454,0))</f>
        <v>0.0</v>
      </c>
      <c r="J182" s="8">
        <f>INDEX('Rubro por CUI'!$I$5:$I$454,MATCH("001|2673614",'Rubro por CUI'!$N$5:$N$454,0))</f>
        <v>0.0</v>
      </c>
      <c r="K182" s="8">
        <f>L182-SUM(F182:J182)</f>
        <v>0.0</v>
      </c>
      <c r="L182" s="8">
        <f>SUMIFS(Base!$N$5:$N$504,Base!$A$5:$A$504,"001",Base!$F$5:$F$504,"2673614")</f>
        <v>50467.0</v>
      </c>
      <c r="M182" s="8">
        <f>D182-E182-L182</f>
        <v>2178728.0</v>
      </c>
      <c r="N182" s="7" t="s">
        <v>89</v>
      </c>
    </row>
    <row r="183" spans="1:14">
      <c r="A183" s="28">
        <v>176</v>
      </c>
      <c r="B183" s="28" t="s">
        <v>1971</v>
      </c>
      <c r="C183" s="7" t="s">
        <v>220</v>
      </c>
      <c r="D183" s="33">
        <v>19221362</v>
      </c>
      <c r="E183" s="33">
        <v>18508467</v>
      </c>
      <c r="F183" s="8">
        <f>INDEX('Rubro por CUI'!$E$5:$E$454,MATCH("001|2467893",'Rubro por CUI'!$N$5:$N$454,0))</f>
        <v>0.0</v>
      </c>
      <c r="G183" s="8">
        <f>INDEX('Rubro por CUI'!$F$5:$F$454,MATCH("001|2467893",'Rubro por CUI'!$N$5:$N$454,0))</f>
        <v>0.0</v>
      </c>
      <c r="H183" s="8">
        <f>INDEX('Rubro por CUI'!$G$5:$G$454,MATCH("001|2467893",'Rubro por CUI'!$N$5:$N$454,0))</f>
        <v>50132.0</v>
      </c>
      <c r="I183" s="8">
        <f>INDEX('Rubro por CUI'!$H$5:$H$454,MATCH("001|2467893",'Rubro por CUI'!$N$5:$N$454,0))</f>
        <v>0.0</v>
      </c>
      <c r="J183" s="8">
        <f>INDEX('Rubro por CUI'!$I$5:$I$454,MATCH("001|2467893",'Rubro por CUI'!$N$5:$N$454,0))</f>
        <v>0.0</v>
      </c>
      <c r="K183" s="8">
        <f>L183-SUM(F183:J183)</f>
        <v>0.0</v>
      </c>
      <c r="L183" s="8">
        <f>SUMIFS(Base!$N$5:$N$504,Base!$A$5:$A$504,"001",Base!$F$5:$F$504,"2467893")</f>
        <v>50132.0</v>
      </c>
      <c r="M183" s="8">
        <f>D183-E183-L183</f>
        <v>662763.0</v>
      </c>
      <c r="N183" s="7" t="s">
        <v>89</v>
      </c>
    </row>
    <row r="184" spans="1:14">
      <c r="A184" s="28">
        <v>177</v>
      </c>
      <c r="B184" s="28" t="s">
        <v>1972</v>
      </c>
      <c r="C184" s="7" t="s">
        <v>626</v>
      </c>
      <c r="D184" s="33">
        <v>596399</v>
      </c>
      <c r="E184" s="33">
        <v>28449</v>
      </c>
      <c r="F184" s="8">
        <f>INDEX('Rubro por CUI'!$E$5:$E$454,MATCH("001|2690009",'Rubro por CUI'!$N$5:$N$454,0))</f>
        <v>0.0</v>
      </c>
      <c r="G184" s="8">
        <f>INDEX('Rubro por CUI'!$F$5:$F$454,MATCH("001|2690009",'Rubro por CUI'!$N$5:$N$454,0))</f>
        <v>0.0</v>
      </c>
      <c r="H184" s="8">
        <f>INDEX('Rubro por CUI'!$G$5:$G$454,MATCH("001|2690009",'Rubro por CUI'!$N$5:$N$454,0))</f>
        <v>45161.0</v>
      </c>
      <c r="I184" s="8">
        <f>INDEX('Rubro por CUI'!$H$5:$H$454,MATCH("001|2690009",'Rubro por CUI'!$N$5:$N$454,0))</f>
        <v>0.0</v>
      </c>
      <c r="J184" s="8">
        <f>INDEX('Rubro por CUI'!$I$5:$I$454,MATCH("001|2690009",'Rubro por CUI'!$N$5:$N$454,0))</f>
        <v>0.0</v>
      </c>
      <c r="K184" s="8">
        <f>L184-SUM(F184:J184)</f>
        <v>0.0</v>
      </c>
      <c r="L184" s="8">
        <f>SUMIFS(Base!$N$5:$N$504,Base!$A$5:$A$504,"001",Base!$F$5:$F$504,"2690009")</f>
        <v>45161.0</v>
      </c>
      <c r="M184" s="8">
        <f>D184-E184-L184</f>
        <v>522789.0</v>
      </c>
      <c r="N184" s="7" t="s">
        <v>89</v>
      </c>
    </row>
    <row r="185" spans="1:14">
      <c r="A185" s="28">
        <v>178</v>
      </c>
      <c r="B185" s="28" t="s">
        <v>1973</v>
      </c>
      <c r="C185" s="7" t="s">
        <v>453</v>
      </c>
      <c r="D185" s="33">
        <v>3541167</v>
      </c>
      <c r="E185" s="33">
        <v>3374023</v>
      </c>
      <c r="F185" s="8">
        <f>INDEX('Rubro por CUI'!$E$5:$E$454,MATCH("001|2250396",'Rubro por CUI'!$N$5:$N$454,0))</f>
        <v>0.0</v>
      </c>
      <c r="G185" s="8">
        <f>INDEX('Rubro por CUI'!$F$5:$F$454,MATCH("001|2250396",'Rubro por CUI'!$N$5:$N$454,0))</f>
        <v>0.0</v>
      </c>
      <c r="H185" s="8">
        <f>INDEX('Rubro por CUI'!$G$5:$G$454,MATCH("001|2250396",'Rubro por CUI'!$N$5:$N$454,0))</f>
        <v>41720.0</v>
      </c>
      <c r="I185" s="8">
        <f>INDEX('Rubro por CUI'!$H$5:$H$454,MATCH("001|2250396",'Rubro por CUI'!$N$5:$N$454,0))</f>
        <v>0.0</v>
      </c>
      <c r="J185" s="8">
        <f>INDEX('Rubro por CUI'!$I$5:$I$454,MATCH("001|2250396",'Rubro por CUI'!$N$5:$N$454,0))</f>
        <v>0.0</v>
      </c>
      <c r="K185" s="8">
        <f>L185-SUM(F185:J185)</f>
        <v>0.0</v>
      </c>
      <c r="L185" s="8">
        <f>SUMIFS(Base!$N$5:$N$504,Base!$A$5:$A$504,"001",Base!$F$5:$F$504,"2250396")</f>
        <v>41720.0</v>
      </c>
      <c r="M185" s="8">
        <f>D185-E185-L185</f>
        <v>125424.0</v>
      </c>
      <c r="N185" s="7" t="s">
        <v>89</v>
      </c>
    </row>
    <row r="186" spans="1:14">
      <c r="A186" s="28">
        <v>179</v>
      </c>
      <c r="B186" s="28" t="s">
        <v>1974</v>
      </c>
      <c r="C186" s="7" t="s">
        <v>207</v>
      </c>
      <c r="D186" s="33">
        <v>12822948</v>
      </c>
      <c r="E186" s="33">
        <v>12252813</v>
      </c>
      <c r="F186" s="8">
        <f>INDEX('Rubro por CUI'!$E$5:$E$454,MATCH("001|2490131",'Rubro por CUI'!$N$5:$N$454,0))</f>
        <v>0.0</v>
      </c>
      <c r="G186" s="8">
        <f>INDEX('Rubro por CUI'!$F$5:$F$454,MATCH("001|2490131",'Rubro por CUI'!$N$5:$N$454,0))</f>
        <v>0.0</v>
      </c>
      <c r="H186" s="8">
        <f>INDEX('Rubro por CUI'!$G$5:$G$454,MATCH("001|2490131",'Rubro por CUI'!$N$5:$N$454,0))</f>
        <v>40621.0</v>
      </c>
      <c r="I186" s="8">
        <f>INDEX('Rubro por CUI'!$H$5:$H$454,MATCH("001|2490131",'Rubro por CUI'!$N$5:$N$454,0))</f>
        <v>0.0</v>
      </c>
      <c r="J186" s="8">
        <f>INDEX('Rubro por CUI'!$I$5:$I$454,MATCH("001|2490131",'Rubro por CUI'!$N$5:$N$454,0))</f>
        <v>0.0</v>
      </c>
      <c r="K186" s="8">
        <f>L186-SUM(F186:J186)</f>
        <v>0.0</v>
      </c>
      <c r="L186" s="8">
        <f>SUMIFS(Base!$N$5:$N$504,Base!$A$5:$A$504,"001",Base!$F$5:$F$504,"2490131")</f>
        <v>40621.0</v>
      </c>
      <c r="M186" s="8">
        <f>D186-E186-L186</f>
        <v>529514.0</v>
      </c>
      <c r="N186" s="7" t="s">
        <v>89</v>
      </c>
    </row>
    <row r="187" spans="1:14">
      <c r="A187" s="28">
        <v>180</v>
      </c>
      <c r="B187" s="28" t="s">
        <v>1975</v>
      </c>
      <c r="C187" s="7" t="s">
        <v>609</v>
      </c>
      <c r="D187" s="33">
        <v>1645486</v>
      </c>
      <c r="E187" s="33">
        <v>157391</v>
      </c>
      <c r="F187" s="8">
        <f>INDEX('Rubro por CUI'!$E$5:$E$454,MATCH("001|2652473",'Rubro por CUI'!$N$5:$N$454,0))</f>
        <v>0.0</v>
      </c>
      <c r="G187" s="8">
        <f>INDEX('Rubro por CUI'!$F$5:$F$454,MATCH("001|2652473",'Rubro por CUI'!$N$5:$N$454,0))</f>
        <v>0.0</v>
      </c>
      <c r="H187" s="8">
        <f>INDEX('Rubro por CUI'!$G$5:$G$454,MATCH("001|2652473",'Rubro por CUI'!$N$5:$N$454,0))</f>
        <v>40486.0</v>
      </c>
      <c r="I187" s="8">
        <f>INDEX('Rubro por CUI'!$H$5:$H$454,MATCH("001|2652473",'Rubro por CUI'!$N$5:$N$454,0))</f>
        <v>0.0</v>
      </c>
      <c r="J187" s="8">
        <f>INDEX('Rubro por CUI'!$I$5:$I$454,MATCH("001|2652473",'Rubro por CUI'!$N$5:$N$454,0))</f>
        <v>0.0</v>
      </c>
      <c r="K187" s="8">
        <f>L187-SUM(F187:J187)</f>
        <v>0.0</v>
      </c>
      <c r="L187" s="8">
        <f>SUMIFS(Base!$N$5:$N$504,Base!$A$5:$A$504,"001",Base!$F$5:$F$504,"2652473")</f>
        <v>40486.0</v>
      </c>
      <c r="M187" s="8">
        <f>D187-E187-L187</f>
        <v>1447609.0</v>
      </c>
      <c r="N187" s="7" t="s">
        <v>89</v>
      </c>
    </row>
    <row r="188" spans="1:14">
      <c r="A188" s="28">
        <v>181</v>
      </c>
      <c r="B188" s="28" t="s">
        <v>1976</v>
      </c>
      <c r="C188" s="7" t="s">
        <v>911</v>
      </c>
      <c r="D188" s="33">
        <v>963183</v>
      </c>
      <c r="E188" s="33">
        <v>80271</v>
      </c>
      <c r="F188" s="8">
        <f>INDEX('Rubro por CUI'!$E$5:$E$454,MATCH("001|2649855",'Rubro por CUI'!$N$5:$N$454,0))</f>
        <v>0.0</v>
      </c>
      <c r="G188" s="8">
        <f>INDEX('Rubro por CUI'!$F$5:$F$454,MATCH("001|2649855",'Rubro por CUI'!$N$5:$N$454,0))</f>
        <v>0.0</v>
      </c>
      <c r="H188" s="8">
        <f>INDEX('Rubro por CUI'!$G$5:$G$454,MATCH("001|2649855",'Rubro por CUI'!$N$5:$N$454,0))</f>
        <v>33556.0</v>
      </c>
      <c r="I188" s="8">
        <f>INDEX('Rubro por CUI'!$H$5:$H$454,MATCH("001|2649855",'Rubro por CUI'!$N$5:$N$454,0))</f>
        <v>0.0</v>
      </c>
      <c r="J188" s="8">
        <f>INDEX('Rubro por CUI'!$I$5:$I$454,MATCH("001|2649855",'Rubro por CUI'!$N$5:$N$454,0))</f>
        <v>0.0</v>
      </c>
      <c r="K188" s="8">
        <f>L188-SUM(F188:J188)</f>
        <v>0.0</v>
      </c>
      <c r="L188" s="8">
        <f>SUMIFS(Base!$N$5:$N$504,Base!$A$5:$A$504,"001",Base!$F$5:$F$504,"2649855")</f>
        <v>33556.0</v>
      </c>
      <c r="M188" s="8">
        <f>D188-E188-L188</f>
        <v>849356.0</v>
      </c>
      <c r="N188" s="7" t="s">
        <v>89</v>
      </c>
    </row>
    <row r="189" spans="1:14">
      <c r="A189" s="28">
        <v>182</v>
      </c>
      <c r="B189" s="28" t="s">
        <v>1977</v>
      </c>
      <c r="C189" s="7" t="s">
        <v>890</v>
      </c>
      <c r="D189" s="33">
        <v>2600018</v>
      </c>
      <c r="E189" s="33">
        <v>86775</v>
      </c>
      <c r="F189" s="8">
        <f>INDEX('Rubro por CUI'!$E$5:$E$454,MATCH("001|2649797",'Rubro por CUI'!$N$5:$N$454,0))</f>
        <v>0.0</v>
      </c>
      <c r="G189" s="8">
        <f>INDEX('Rubro por CUI'!$F$5:$F$454,MATCH("001|2649797",'Rubro por CUI'!$N$5:$N$454,0))</f>
        <v>0.0</v>
      </c>
      <c r="H189" s="8">
        <f>INDEX('Rubro por CUI'!$G$5:$G$454,MATCH("001|2649797",'Rubro por CUI'!$N$5:$N$454,0))</f>
        <v>29298.0</v>
      </c>
      <c r="I189" s="8">
        <f>INDEX('Rubro por CUI'!$H$5:$H$454,MATCH("001|2649797",'Rubro por CUI'!$N$5:$N$454,0))</f>
        <v>0.0</v>
      </c>
      <c r="J189" s="8">
        <f>INDEX('Rubro por CUI'!$I$5:$I$454,MATCH("001|2649797",'Rubro por CUI'!$N$5:$N$454,0))</f>
        <v>0.0</v>
      </c>
      <c r="K189" s="8">
        <f>L189-SUM(F189:J189)</f>
        <v>0.0</v>
      </c>
      <c r="L189" s="8">
        <f>SUMIFS(Base!$N$5:$N$504,Base!$A$5:$A$504,"001",Base!$F$5:$F$504,"2649797")</f>
        <v>29298.0</v>
      </c>
      <c r="M189" s="8">
        <f>D189-E189-L189</f>
        <v>2483945.0</v>
      </c>
      <c r="N189" s="7" t="s">
        <v>89</v>
      </c>
    </row>
    <row r="190" spans="1:14">
      <c r="A190" s="28">
        <v>183</v>
      </c>
      <c r="B190" s="28" t="s">
        <v>1978</v>
      </c>
      <c r="C190" s="7" t="s">
        <v>639</v>
      </c>
      <c r="D190" s="33">
        <v>2737437</v>
      </c>
      <c r="E190" s="33">
        <v>112541</v>
      </c>
      <c r="F190" s="8">
        <f>INDEX('Rubro por CUI'!$E$5:$E$454,MATCH("001|2651636",'Rubro por CUI'!$N$5:$N$454,0))</f>
        <v>0.0</v>
      </c>
      <c r="G190" s="8">
        <f>INDEX('Rubro por CUI'!$F$5:$F$454,MATCH("001|2651636",'Rubro por CUI'!$N$5:$N$454,0))</f>
        <v>0.0</v>
      </c>
      <c r="H190" s="8">
        <f>INDEX('Rubro por CUI'!$G$5:$G$454,MATCH("001|2651636",'Rubro por CUI'!$N$5:$N$454,0))</f>
        <v>24413.0</v>
      </c>
      <c r="I190" s="8">
        <f>INDEX('Rubro por CUI'!$H$5:$H$454,MATCH("001|2651636",'Rubro por CUI'!$N$5:$N$454,0))</f>
        <v>0.0</v>
      </c>
      <c r="J190" s="8">
        <f>INDEX('Rubro por CUI'!$I$5:$I$454,MATCH("001|2651636",'Rubro por CUI'!$N$5:$N$454,0))</f>
        <v>0.0</v>
      </c>
      <c r="K190" s="8">
        <f>L190-SUM(F190:J190)</f>
        <v>0.0</v>
      </c>
      <c r="L190" s="8">
        <f>SUMIFS(Base!$N$5:$N$504,Base!$A$5:$A$504,"001",Base!$F$5:$F$504,"2651636")</f>
        <v>24413.0</v>
      </c>
      <c r="M190" s="8">
        <f>D190-E190-L190</f>
        <v>2600483.0</v>
      </c>
      <c r="N190" s="7" t="s">
        <v>89</v>
      </c>
    </row>
    <row r="191" spans="1:14">
      <c r="A191" s="28">
        <v>184</v>
      </c>
      <c r="B191" s="28" t="s">
        <v>1979</v>
      </c>
      <c r="C191" s="7" t="s">
        <v>187</v>
      </c>
      <c r="D191" s="33">
        <v>4094770</v>
      </c>
      <c r="E191" s="33">
        <v>4040220</v>
      </c>
      <c r="F191" s="8">
        <f>INDEX('Rubro por CUI'!$E$5:$E$454,MATCH("001|2623682",'Rubro por CUI'!$N$5:$N$454,0))</f>
        <v>0.0</v>
      </c>
      <c r="G191" s="8">
        <f>INDEX('Rubro por CUI'!$F$5:$F$454,MATCH("001|2623682",'Rubro por CUI'!$N$5:$N$454,0))</f>
        <v>0.0</v>
      </c>
      <c r="H191" s="8">
        <f>INDEX('Rubro por CUI'!$G$5:$G$454,MATCH("001|2623682",'Rubro por CUI'!$N$5:$N$454,0))</f>
        <v>23560.0</v>
      </c>
      <c r="I191" s="8">
        <f>INDEX('Rubro por CUI'!$H$5:$H$454,MATCH("001|2623682",'Rubro por CUI'!$N$5:$N$454,0))</f>
        <v>0.0</v>
      </c>
      <c r="J191" s="8">
        <f>INDEX('Rubro por CUI'!$I$5:$I$454,MATCH("001|2623682",'Rubro por CUI'!$N$5:$N$454,0))</f>
        <v>0.0</v>
      </c>
      <c r="K191" s="8">
        <f>L191-SUM(F191:J191)</f>
        <v>0.0</v>
      </c>
      <c r="L191" s="8">
        <f>SUMIFS(Base!$N$5:$N$504,Base!$A$5:$A$504,"001",Base!$F$5:$F$504,"2623682")</f>
        <v>23560.0</v>
      </c>
      <c r="M191" s="8">
        <f>D191-E191-L191</f>
        <v>30990.0</v>
      </c>
      <c r="N191" s="7" t="s">
        <v>89</v>
      </c>
    </row>
    <row r="192" spans="1:14">
      <c r="A192" s="28">
        <v>185</v>
      </c>
      <c r="B192" s="28" t="s">
        <v>1980</v>
      </c>
      <c r="C192" s="7" t="s">
        <v>1605</v>
      </c>
      <c r="D192" s="33">
        <v>2424297</v>
      </c>
      <c r="E192" s="33">
        <v>2219435</v>
      </c>
      <c r="F192" s="8">
        <f>INDEX('Rubro por CUI'!$E$5:$E$454,MATCH("001|2231037",'Rubro por CUI'!$N$5:$N$454,0))</f>
        <v>0.0</v>
      </c>
      <c r="G192" s="8">
        <f>INDEX('Rubro por CUI'!$F$5:$F$454,MATCH("001|2231037",'Rubro por CUI'!$N$5:$N$454,0))</f>
        <v>0.0</v>
      </c>
      <c r="H192" s="8">
        <f>INDEX('Rubro por CUI'!$G$5:$G$454,MATCH("001|2231037",'Rubro por CUI'!$N$5:$N$454,0))</f>
        <v>20166.0</v>
      </c>
      <c r="I192" s="8">
        <f>INDEX('Rubro por CUI'!$H$5:$H$454,MATCH("001|2231037",'Rubro por CUI'!$N$5:$N$454,0))</f>
        <v>0.0</v>
      </c>
      <c r="J192" s="8">
        <f>INDEX('Rubro por CUI'!$I$5:$I$454,MATCH("001|2231037",'Rubro por CUI'!$N$5:$N$454,0))</f>
        <v>0.0</v>
      </c>
      <c r="K192" s="8">
        <f>L192-SUM(F192:J192)</f>
        <v>0.0</v>
      </c>
      <c r="L192" s="8">
        <f>SUMIFS(Base!$N$5:$N$504,Base!$A$5:$A$504,"001",Base!$F$5:$F$504,"2231037")</f>
        <v>20166.0</v>
      </c>
      <c r="M192" s="8">
        <f>D192-E192-L192</f>
        <v>184696.0</v>
      </c>
      <c r="N192" s="7" t="s">
        <v>89</v>
      </c>
    </row>
    <row r="193" spans="1:14">
      <c r="A193" s="28">
        <v>186</v>
      </c>
      <c r="B193" s="28" t="s">
        <v>1981</v>
      </c>
      <c r="C193" s="7" t="s">
        <v>193</v>
      </c>
      <c r="D193" s="33">
        <v>2550760</v>
      </c>
      <c r="E193" s="33">
        <v>2515868</v>
      </c>
      <c r="F193" s="8">
        <f>INDEX('Rubro por CUI'!$E$5:$E$454,MATCH("001|2196822",'Rubro por CUI'!$N$5:$N$454,0))</f>
        <v>0.0</v>
      </c>
      <c r="G193" s="8">
        <f>INDEX('Rubro por CUI'!$F$5:$F$454,MATCH("001|2196822",'Rubro por CUI'!$N$5:$N$454,0))</f>
        <v>0.0</v>
      </c>
      <c r="H193" s="8">
        <f>INDEX('Rubro por CUI'!$G$5:$G$454,MATCH("001|2196822",'Rubro por CUI'!$N$5:$N$454,0))</f>
        <v>17714.0</v>
      </c>
      <c r="I193" s="8">
        <f>INDEX('Rubro por CUI'!$H$5:$H$454,MATCH("001|2196822",'Rubro por CUI'!$N$5:$N$454,0))</f>
        <v>0.0</v>
      </c>
      <c r="J193" s="8">
        <f>INDEX('Rubro por CUI'!$I$5:$I$454,MATCH("001|2196822",'Rubro por CUI'!$N$5:$N$454,0))</f>
        <v>0.0</v>
      </c>
      <c r="K193" s="8">
        <f>L193-SUM(F193:J193)</f>
        <v>0.0</v>
      </c>
      <c r="L193" s="8">
        <f>SUMIFS(Base!$N$5:$N$504,Base!$A$5:$A$504,"001",Base!$F$5:$F$504,"2196822")</f>
        <v>17714.0</v>
      </c>
      <c r="M193" s="8">
        <f>D193-E193-L193</f>
        <v>17178.0</v>
      </c>
      <c r="N193" s="7" t="s">
        <v>89</v>
      </c>
    </row>
    <row r="194" spans="1:14">
      <c r="A194" s="28">
        <v>187</v>
      </c>
      <c r="B194" s="28" t="s">
        <v>1982</v>
      </c>
      <c r="C194" s="7" t="s">
        <v>870</v>
      </c>
      <c r="D194" s="33">
        <v>21942518</v>
      </c>
      <c r="E194" s="33">
        <v>593936</v>
      </c>
      <c r="F194" s="8">
        <f>INDEX('Rubro por CUI'!$E$5:$E$454,MATCH("001|2570365",'Rubro por CUI'!$N$5:$N$454,0))</f>
        <v>0.0</v>
      </c>
      <c r="G194" s="8">
        <f>INDEX('Rubro por CUI'!$F$5:$F$454,MATCH("001|2570365",'Rubro por CUI'!$N$5:$N$454,0))</f>
        <v>0.0</v>
      </c>
      <c r="H194" s="8">
        <f>INDEX('Rubro por CUI'!$G$5:$G$454,MATCH("001|2570365",'Rubro por CUI'!$N$5:$N$454,0))</f>
        <v>4863.0</v>
      </c>
      <c r="I194" s="8">
        <f>INDEX('Rubro por CUI'!$H$5:$H$454,MATCH("001|2570365",'Rubro por CUI'!$N$5:$N$454,0))</f>
        <v>0.0</v>
      </c>
      <c r="J194" s="8">
        <f>INDEX('Rubro por CUI'!$I$5:$I$454,MATCH("001|2570365",'Rubro por CUI'!$N$5:$N$454,0))</f>
        <v>0.0</v>
      </c>
      <c r="K194" s="8">
        <f>L194-SUM(F194:J194)</f>
        <v>0.0</v>
      </c>
      <c r="L194" s="8">
        <f>SUMIFS(Base!$N$5:$N$504,Base!$A$5:$A$504,"001",Base!$F$5:$F$504,"2570365")</f>
        <v>4863.0</v>
      </c>
      <c r="M194" s="8">
        <f>D194-E194-L194</f>
        <v>21343719.0</v>
      </c>
      <c r="N194" s="7" t="s">
        <v>89</v>
      </c>
    </row>
    <row r="195" spans="1:14">
      <c r="A195" s="28">
        <v>188</v>
      </c>
      <c r="B195" s="28" t="s">
        <v>1983</v>
      </c>
      <c r="C195" s="7" t="s">
        <v>148</v>
      </c>
      <c r="D195" s="33">
        <v>4775313</v>
      </c>
      <c r="E195" s="33">
        <v>205204</v>
      </c>
      <c r="F195" s="8">
        <f>INDEX('Rubro por CUI'!$E$5:$E$454,MATCH("001|2637985",'Rubro por CUI'!$N$5:$N$454,0))</f>
        <v>0.0</v>
      </c>
      <c r="G195" s="8">
        <f>INDEX('Rubro por CUI'!$F$5:$F$454,MATCH("001|2637985",'Rubro por CUI'!$N$5:$N$454,0))</f>
        <v>0.0</v>
      </c>
      <c r="H195" s="8">
        <f>INDEX('Rubro por CUI'!$G$5:$G$454,MATCH("001|2637985",'Rubro por CUI'!$N$5:$N$454,0))</f>
        <v>0.0</v>
      </c>
      <c r="I195" s="8">
        <f>INDEX('Rubro por CUI'!$H$5:$H$454,MATCH("001|2637985",'Rubro por CUI'!$N$5:$N$454,0))</f>
        <v>0.0</v>
      </c>
      <c r="J195" s="8">
        <f>INDEX('Rubro por CUI'!$I$5:$I$454,MATCH("001|2637985",'Rubro por CUI'!$N$5:$N$454,0))</f>
        <v>0.0</v>
      </c>
      <c r="K195" s="8">
        <f>L195-SUM(F195:J195)</f>
        <v>0.0</v>
      </c>
      <c r="L195" s="8">
        <f>SUMIFS(Base!$N$5:$N$504,Base!$A$5:$A$504,"001",Base!$F$5:$F$504,"2637985")</f>
        <v>0.0</v>
      </c>
      <c r="M195" s="8">
        <f>D195-E195-L195</f>
        <v>4570109.0</v>
      </c>
      <c r="N195" s="7" t="s">
        <v>89</v>
      </c>
    </row>
    <row r="196" spans="1:14">
      <c r="A196" s="28">
        <v>189</v>
      </c>
      <c r="B196" s="28" t="s">
        <v>1984</v>
      </c>
      <c r="C196" s="7" t="s">
        <v>197</v>
      </c>
      <c r="D196" s="7" t="s">
        <v>99</v>
      </c>
      <c r="E196" s="7" t="s">
        <v>99</v>
      </c>
      <c r="F196" s="8">
        <f>INDEX('Rubro por CUI'!$E$5:$E$454,MATCH("001|2194504",'Rubro por CUI'!$N$5:$N$454,0))</f>
        <v>0.0</v>
      </c>
      <c r="G196" s="8">
        <f>INDEX('Rubro por CUI'!$F$5:$F$454,MATCH("001|2194504",'Rubro por CUI'!$N$5:$N$454,0))</f>
        <v>0.0</v>
      </c>
      <c r="H196" s="8">
        <f>INDEX('Rubro por CUI'!$G$5:$G$454,MATCH("001|2194504",'Rubro por CUI'!$N$5:$N$454,0))</f>
        <v>0.0</v>
      </c>
      <c r="I196" s="8">
        <f>INDEX('Rubro por CUI'!$H$5:$H$454,MATCH("001|2194504",'Rubro por CUI'!$N$5:$N$454,0))</f>
        <v>0.0</v>
      </c>
      <c r="J196" s="8">
        <f>INDEX('Rubro por CUI'!$I$5:$I$454,MATCH("001|2194504",'Rubro por CUI'!$N$5:$N$454,0))</f>
        <v>0.0</v>
      </c>
      <c r="K196" s="8">
        <f>L196-SUM(F196:J196)</f>
        <v>0.0</v>
      </c>
      <c r="L196" s="8">
        <f>SUMIFS(Base!$N$5:$N$504,Base!$A$5:$A$504,"001",Base!$F$5:$F$504,"2194504")</f>
        <v>0.0</v>
      </c>
      <c r="M196" s="7" t="s">
        <v>99</v>
      </c>
      <c r="N196" s="7" t="s">
        <v>1796</v>
      </c>
    </row>
    <row r="197" spans="1:14">
      <c r="A197" s="28">
        <v>190</v>
      </c>
      <c r="B197" s="28" t="s">
        <v>1985</v>
      </c>
      <c r="C197" s="7" t="s">
        <v>212</v>
      </c>
      <c r="D197" s="33">
        <v>3367193</v>
      </c>
      <c r="E197" s="33">
        <v>191928</v>
      </c>
      <c r="F197" s="8">
        <f>INDEX('Rubro por CUI'!$E$5:$E$454,MATCH("001|2196857",'Rubro por CUI'!$N$5:$N$454,0))</f>
        <v>0.0</v>
      </c>
      <c r="G197" s="8">
        <f>INDEX('Rubro por CUI'!$F$5:$F$454,MATCH("001|2196857",'Rubro por CUI'!$N$5:$N$454,0))</f>
        <v>0.0</v>
      </c>
      <c r="H197" s="8">
        <f>INDEX('Rubro por CUI'!$G$5:$G$454,MATCH("001|2196857",'Rubro por CUI'!$N$5:$N$454,0))</f>
        <v>0.0</v>
      </c>
      <c r="I197" s="8">
        <f>INDEX('Rubro por CUI'!$H$5:$H$454,MATCH("001|2196857",'Rubro por CUI'!$N$5:$N$454,0))</f>
        <v>0.0</v>
      </c>
      <c r="J197" s="8">
        <f>INDEX('Rubro por CUI'!$I$5:$I$454,MATCH("001|2196857",'Rubro por CUI'!$N$5:$N$454,0))</f>
        <v>0.0</v>
      </c>
      <c r="K197" s="8">
        <f>L197-SUM(F197:J197)</f>
        <v>0.0</v>
      </c>
      <c r="L197" s="8">
        <f>SUMIFS(Base!$N$5:$N$504,Base!$A$5:$A$504,"001",Base!$F$5:$F$504,"2196857")</f>
        <v>0.0</v>
      </c>
      <c r="M197" s="8">
        <f>D197-E197-L197</f>
        <v>3175265.0</v>
      </c>
      <c r="N197" s="7" t="s">
        <v>89</v>
      </c>
    </row>
    <row r="198" spans="1:14">
      <c r="A198" s="28">
        <v>191</v>
      </c>
      <c r="B198" s="28" t="s">
        <v>1986</v>
      </c>
      <c r="C198" s="7" t="s">
        <v>541</v>
      </c>
      <c r="D198" s="33">
        <v>8247868</v>
      </c>
      <c r="E198" s="33">
        <v>8018867</v>
      </c>
      <c r="F198" s="8">
        <f>INDEX('Rubro por CUI'!$E$5:$E$454,MATCH("001|2194501",'Rubro por CUI'!$N$5:$N$454,0))</f>
        <v>0.0</v>
      </c>
      <c r="G198" s="8">
        <f>INDEX('Rubro por CUI'!$F$5:$F$454,MATCH("001|2194501",'Rubro por CUI'!$N$5:$N$454,0))</f>
        <v>0.0</v>
      </c>
      <c r="H198" s="8">
        <f>INDEX('Rubro por CUI'!$G$5:$G$454,MATCH("001|2194501",'Rubro por CUI'!$N$5:$N$454,0))</f>
        <v>0.0</v>
      </c>
      <c r="I198" s="8">
        <f>INDEX('Rubro por CUI'!$H$5:$H$454,MATCH("001|2194501",'Rubro por CUI'!$N$5:$N$454,0))</f>
        <v>0.0</v>
      </c>
      <c r="J198" s="8">
        <f>INDEX('Rubro por CUI'!$I$5:$I$454,MATCH("001|2194501",'Rubro por CUI'!$N$5:$N$454,0))</f>
        <v>0.0</v>
      </c>
      <c r="K198" s="8">
        <f>L198-SUM(F198:J198)</f>
        <v>0.0</v>
      </c>
      <c r="L198" s="8">
        <f>SUMIFS(Base!$N$5:$N$504,Base!$A$5:$A$504,"001",Base!$F$5:$F$504,"2194501")</f>
        <v>0.0</v>
      </c>
      <c r="M198" s="8">
        <f>D198-E198-L198</f>
        <v>229001.0</v>
      </c>
      <c r="N198" s="7" t="s">
        <v>89</v>
      </c>
    </row>
    <row r="199" spans="1:14">
      <c r="A199" s="28">
        <v>192</v>
      </c>
      <c r="B199" s="28" t="s">
        <v>1987</v>
      </c>
      <c r="C199" s="7" t="s">
        <v>802</v>
      </c>
      <c r="D199" s="33">
        <v>15694424</v>
      </c>
      <c r="E199" s="33">
        <v>955560</v>
      </c>
      <c r="F199" s="8">
        <f>INDEX('Rubro por CUI'!$E$5:$E$454,MATCH("001|2188379",'Rubro por CUI'!$N$5:$N$454,0))</f>
        <v>0.0</v>
      </c>
      <c r="G199" s="8">
        <f>INDEX('Rubro por CUI'!$F$5:$F$454,MATCH("001|2188379",'Rubro por CUI'!$N$5:$N$454,0))</f>
        <v>0.0</v>
      </c>
      <c r="H199" s="8">
        <f>INDEX('Rubro por CUI'!$G$5:$G$454,MATCH("001|2188379",'Rubro por CUI'!$N$5:$N$454,0))</f>
        <v>0.0</v>
      </c>
      <c r="I199" s="8">
        <f>INDEX('Rubro por CUI'!$H$5:$H$454,MATCH("001|2188379",'Rubro por CUI'!$N$5:$N$454,0))</f>
        <v>0.0</v>
      </c>
      <c r="J199" s="8">
        <f>INDEX('Rubro por CUI'!$I$5:$I$454,MATCH("001|2188379",'Rubro por CUI'!$N$5:$N$454,0))</f>
        <v>0.0</v>
      </c>
      <c r="K199" s="8">
        <f>L199-SUM(F199:J199)</f>
        <v>0.0</v>
      </c>
      <c r="L199" s="8">
        <f>SUMIFS(Base!$N$5:$N$504,Base!$A$5:$A$504,"001",Base!$F$5:$F$504,"2188379")</f>
        <v>0.0</v>
      </c>
      <c r="M199" s="8">
        <f>D199-E199-L199</f>
        <v>14738864.0</v>
      </c>
      <c r="N199" s="7" t="s">
        <v>89</v>
      </c>
    </row>
    <row r="200" spans="1:14">
      <c r="A200" s="28">
        <v>193</v>
      </c>
      <c r="B200" s="28" t="s">
        <v>1988</v>
      </c>
      <c r="C200" s="7" t="s">
        <v>809</v>
      </c>
      <c r="D200" s="33">
        <v>19833820</v>
      </c>
      <c r="E200" s="33">
        <v>662932</v>
      </c>
      <c r="F200" s="8">
        <f>INDEX('Rubro por CUI'!$E$5:$E$454,MATCH("001|2525250",'Rubro por CUI'!$N$5:$N$454,0))</f>
        <v>0.0</v>
      </c>
      <c r="G200" s="8">
        <f>INDEX('Rubro por CUI'!$F$5:$F$454,MATCH("001|2525250",'Rubro por CUI'!$N$5:$N$454,0))</f>
        <v>0.0</v>
      </c>
      <c r="H200" s="8">
        <f>INDEX('Rubro por CUI'!$G$5:$G$454,MATCH("001|2525250",'Rubro por CUI'!$N$5:$N$454,0))</f>
        <v>0.0</v>
      </c>
      <c r="I200" s="8">
        <f>INDEX('Rubro por CUI'!$H$5:$H$454,MATCH("001|2525250",'Rubro por CUI'!$N$5:$N$454,0))</f>
        <v>0.0</v>
      </c>
      <c r="J200" s="8">
        <f>INDEX('Rubro por CUI'!$I$5:$I$454,MATCH("001|2525250",'Rubro por CUI'!$N$5:$N$454,0))</f>
        <v>0.0</v>
      </c>
      <c r="K200" s="8">
        <f>L200-SUM(F200:J200)</f>
        <v>0.0</v>
      </c>
      <c r="L200" s="8">
        <f>SUMIFS(Base!$N$5:$N$504,Base!$A$5:$A$504,"001",Base!$F$5:$F$504,"2525250")</f>
        <v>0.0</v>
      </c>
      <c r="M200" s="8">
        <f>D200-E200-L200</f>
        <v>19170888.0</v>
      </c>
      <c r="N200" s="7" t="s">
        <v>89</v>
      </c>
    </row>
    <row r="201" spans="1:14">
      <c r="A201" s="28">
        <v>194</v>
      </c>
      <c r="B201" s="28" t="s">
        <v>1989</v>
      </c>
      <c r="C201" s="7" t="s">
        <v>834</v>
      </c>
      <c r="D201" s="33">
        <v>4916766</v>
      </c>
      <c r="E201" s="33">
        <v>0</v>
      </c>
      <c r="F201" s="8">
        <f>INDEX('Rubro por CUI'!$E$5:$E$454,MATCH("001|2655774",'Rubro por CUI'!$N$5:$N$454,0))</f>
        <v>0.0</v>
      </c>
      <c r="G201" s="8">
        <f>INDEX('Rubro por CUI'!$F$5:$F$454,MATCH("001|2655774",'Rubro por CUI'!$N$5:$N$454,0))</f>
        <v>0.0</v>
      </c>
      <c r="H201" s="8">
        <f>INDEX('Rubro por CUI'!$G$5:$G$454,MATCH("001|2655774",'Rubro por CUI'!$N$5:$N$454,0))</f>
        <v>0.0</v>
      </c>
      <c r="I201" s="8">
        <f>INDEX('Rubro por CUI'!$H$5:$H$454,MATCH("001|2655774",'Rubro por CUI'!$N$5:$N$454,0))</f>
        <v>0.0</v>
      </c>
      <c r="J201" s="8">
        <f>INDEX('Rubro por CUI'!$I$5:$I$454,MATCH("001|2655774",'Rubro por CUI'!$N$5:$N$454,0))</f>
        <v>0.0</v>
      </c>
      <c r="K201" s="8">
        <f>L201-SUM(F201:J201)</f>
        <v>0.0</v>
      </c>
      <c r="L201" s="8">
        <f>SUMIFS(Base!$N$5:$N$504,Base!$A$5:$A$504,"001",Base!$F$5:$F$504,"2655774")</f>
        <v>0.0</v>
      </c>
      <c r="M201" s="8">
        <f>D201-E201-L201</f>
        <v>4916766.0</v>
      </c>
      <c r="N201" s="7" t="s">
        <v>89</v>
      </c>
    </row>
    <row r="202" spans="1:14">
      <c r="A202" s="28">
        <v>195</v>
      </c>
      <c r="B202" s="28" t="s">
        <v>1990</v>
      </c>
      <c r="C202" s="7" t="s">
        <v>840</v>
      </c>
      <c r="D202" s="33">
        <v>4322827</v>
      </c>
      <c r="E202" s="33">
        <v>0</v>
      </c>
      <c r="F202" s="8">
        <f>INDEX('Rubro por CUI'!$E$5:$E$454,MATCH("001|2659574",'Rubro por CUI'!$N$5:$N$454,0))</f>
        <v>0.0</v>
      </c>
      <c r="G202" s="8">
        <f>INDEX('Rubro por CUI'!$F$5:$F$454,MATCH("001|2659574",'Rubro por CUI'!$N$5:$N$454,0))</f>
        <v>0.0</v>
      </c>
      <c r="H202" s="8">
        <f>INDEX('Rubro por CUI'!$G$5:$G$454,MATCH("001|2659574",'Rubro por CUI'!$N$5:$N$454,0))</f>
        <v>0.0</v>
      </c>
      <c r="I202" s="8">
        <f>INDEX('Rubro por CUI'!$H$5:$H$454,MATCH("001|2659574",'Rubro por CUI'!$N$5:$N$454,0))</f>
        <v>0.0</v>
      </c>
      <c r="J202" s="8">
        <f>INDEX('Rubro por CUI'!$I$5:$I$454,MATCH("001|2659574",'Rubro por CUI'!$N$5:$N$454,0))</f>
        <v>0.0</v>
      </c>
      <c r="K202" s="8">
        <f>L202-SUM(F202:J202)</f>
        <v>0.0</v>
      </c>
      <c r="L202" s="8">
        <f>SUMIFS(Base!$N$5:$N$504,Base!$A$5:$A$504,"001",Base!$F$5:$F$504,"2659574")</f>
        <v>0.0</v>
      </c>
      <c r="M202" s="8">
        <f>D202-E202-L202</f>
        <v>4322827.0</v>
      </c>
      <c r="N202" s="7" t="s">
        <v>89</v>
      </c>
    </row>
    <row r="203" spans="1:14">
      <c r="A203" s="28">
        <v>196</v>
      </c>
      <c r="B203" s="28" t="s">
        <v>1991</v>
      </c>
      <c r="C203" s="7" t="s">
        <v>855</v>
      </c>
      <c r="D203" s="33">
        <v>6387037</v>
      </c>
      <c r="E203" s="33">
        <v>0</v>
      </c>
      <c r="F203" s="8">
        <f>INDEX('Rubro por CUI'!$E$5:$E$454,MATCH("001|2673628",'Rubro por CUI'!$N$5:$N$454,0))</f>
        <v>0.0</v>
      </c>
      <c r="G203" s="8">
        <f>INDEX('Rubro por CUI'!$F$5:$F$454,MATCH("001|2673628",'Rubro por CUI'!$N$5:$N$454,0))</f>
        <v>0.0</v>
      </c>
      <c r="H203" s="8">
        <f>INDEX('Rubro por CUI'!$G$5:$G$454,MATCH("001|2673628",'Rubro por CUI'!$N$5:$N$454,0))</f>
        <v>0.0</v>
      </c>
      <c r="I203" s="8">
        <f>INDEX('Rubro por CUI'!$H$5:$H$454,MATCH("001|2673628",'Rubro por CUI'!$N$5:$N$454,0))</f>
        <v>0.0</v>
      </c>
      <c r="J203" s="8">
        <f>INDEX('Rubro por CUI'!$I$5:$I$454,MATCH("001|2673628",'Rubro por CUI'!$N$5:$N$454,0))</f>
        <v>0.0</v>
      </c>
      <c r="K203" s="8">
        <f>L203-SUM(F203:J203)</f>
        <v>0.0</v>
      </c>
      <c r="L203" s="8">
        <f>SUMIFS(Base!$N$5:$N$504,Base!$A$5:$A$504,"001",Base!$F$5:$F$504,"2673628")</f>
        <v>0.0</v>
      </c>
      <c r="M203" s="8">
        <f>D203-E203-L203</f>
        <v>6387037.0</v>
      </c>
      <c r="N203" s="7" t="s">
        <v>89</v>
      </c>
    </row>
    <row r="204" spans="1:14">
      <c r="A204" s="28">
        <v>197</v>
      </c>
      <c r="B204" s="28" t="s">
        <v>1992</v>
      </c>
      <c r="C204" s="7" t="s">
        <v>883</v>
      </c>
      <c r="D204" s="33">
        <v>839388</v>
      </c>
      <c r="E204" s="33">
        <v>158141</v>
      </c>
      <c r="F204" s="8">
        <f>INDEX('Rubro por CUI'!$E$5:$E$454,MATCH("001|2250307",'Rubro por CUI'!$N$5:$N$454,0))</f>
        <v>0.0</v>
      </c>
      <c r="G204" s="8">
        <f>INDEX('Rubro por CUI'!$F$5:$F$454,MATCH("001|2250307",'Rubro por CUI'!$N$5:$N$454,0))</f>
        <v>0.0</v>
      </c>
      <c r="H204" s="8">
        <f>INDEX('Rubro por CUI'!$G$5:$G$454,MATCH("001|2250307",'Rubro por CUI'!$N$5:$N$454,0))</f>
        <v>0.0</v>
      </c>
      <c r="I204" s="8">
        <f>INDEX('Rubro por CUI'!$H$5:$H$454,MATCH("001|2250307",'Rubro por CUI'!$N$5:$N$454,0))</f>
        <v>0.0</v>
      </c>
      <c r="J204" s="8">
        <f>INDEX('Rubro por CUI'!$I$5:$I$454,MATCH("001|2250307",'Rubro por CUI'!$N$5:$N$454,0))</f>
        <v>0.0</v>
      </c>
      <c r="K204" s="8">
        <f>L204-SUM(F204:J204)</f>
        <v>0.0</v>
      </c>
      <c r="L204" s="8">
        <f>SUMIFS(Base!$N$5:$N$504,Base!$A$5:$A$504,"001",Base!$F$5:$F$504,"2250307")</f>
        <v>0.0</v>
      </c>
      <c r="M204" s="8">
        <f>D204-E204-L204</f>
        <v>681247.0</v>
      </c>
      <c r="N204" s="7" t="s">
        <v>89</v>
      </c>
    </row>
    <row r="205" spans="1:14">
      <c r="A205" s="28">
        <v>198</v>
      </c>
      <c r="B205" s="28" t="s">
        <v>1993</v>
      </c>
      <c r="C205" s="7" t="s">
        <v>887</v>
      </c>
      <c r="D205" s="33">
        <v>700545</v>
      </c>
      <c r="E205" s="33">
        <v>104921</v>
      </c>
      <c r="F205" s="8">
        <f>INDEX('Rubro por CUI'!$E$5:$E$454,MATCH("001|2250460",'Rubro por CUI'!$N$5:$N$454,0))</f>
        <v>0.0</v>
      </c>
      <c r="G205" s="8">
        <f>INDEX('Rubro por CUI'!$F$5:$F$454,MATCH("001|2250460",'Rubro por CUI'!$N$5:$N$454,0))</f>
        <v>0.0</v>
      </c>
      <c r="H205" s="8">
        <f>INDEX('Rubro por CUI'!$G$5:$G$454,MATCH("001|2250460",'Rubro por CUI'!$N$5:$N$454,0))</f>
        <v>0.0</v>
      </c>
      <c r="I205" s="8">
        <f>INDEX('Rubro por CUI'!$H$5:$H$454,MATCH("001|2250460",'Rubro por CUI'!$N$5:$N$454,0))</f>
        <v>0.0</v>
      </c>
      <c r="J205" s="8">
        <f>INDEX('Rubro por CUI'!$I$5:$I$454,MATCH("001|2250460",'Rubro por CUI'!$N$5:$N$454,0))</f>
        <v>0.0</v>
      </c>
      <c r="K205" s="8">
        <f>L205-SUM(F205:J205)</f>
        <v>0.0</v>
      </c>
      <c r="L205" s="8">
        <f>SUMIFS(Base!$N$5:$N$504,Base!$A$5:$A$504,"001",Base!$F$5:$F$504,"2250460")</f>
        <v>0.0</v>
      </c>
      <c r="M205" s="8">
        <f>D205-E205-L205</f>
        <v>595624.0</v>
      </c>
      <c r="N205" s="7" t="s">
        <v>89</v>
      </c>
    </row>
    <row r="206" spans="1:14">
      <c r="A206" s="28">
        <v>199</v>
      </c>
      <c r="B206" s="28" t="s">
        <v>1994</v>
      </c>
      <c r="C206" s="7" t="s">
        <v>896</v>
      </c>
      <c r="D206" s="33">
        <v>1243367</v>
      </c>
      <c r="E206" s="33">
        <v>0</v>
      </c>
      <c r="F206" s="8">
        <f>INDEX('Rubro por CUI'!$E$5:$E$454,MATCH("001|2649800",'Rubro por CUI'!$N$5:$N$454,0))</f>
        <v>0.0</v>
      </c>
      <c r="G206" s="8">
        <f>INDEX('Rubro por CUI'!$F$5:$F$454,MATCH("001|2649800",'Rubro por CUI'!$N$5:$N$454,0))</f>
        <v>0.0</v>
      </c>
      <c r="H206" s="8">
        <f>INDEX('Rubro por CUI'!$G$5:$G$454,MATCH("001|2649800",'Rubro por CUI'!$N$5:$N$454,0))</f>
        <v>0.0</v>
      </c>
      <c r="I206" s="8">
        <f>INDEX('Rubro por CUI'!$H$5:$H$454,MATCH("001|2649800",'Rubro por CUI'!$N$5:$N$454,0))</f>
        <v>0.0</v>
      </c>
      <c r="J206" s="8">
        <f>INDEX('Rubro por CUI'!$I$5:$I$454,MATCH("001|2649800",'Rubro por CUI'!$N$5:$N$454,0))</f>
        <v>0.0</v>
      </c>
      <c r="K206" s="8">
        <f>L206-SUM(F206:J206)</f>
        <v>0.0</v>
      </c>
      <c r="L206" s="8">
        <f>SUMIFS(Base!$N$5:$N$504,Base!$A$5:$A$504,"001",Base!$F$5:$F$504,"2649800")</f>
        <v>0.0</v>
      </c>
      <c r="M206" s="8">
        <f>D206-E206-L206</f>
        <v>1243367.0</v>
      </c>
      <c r="N206" s="7" t="s">
        <v>89</v>
      </c>
    </row>
    <row r="207" spans="1:14">
      <c r="A207" s="28">
        <v>200</v>
      </c>
      <c r="B207" s="28" t="s">
        <v>1995</v>
      </c>
      <c r="C207" s="7" t="s">
        <v>908</v>
      </c>
      <c r="D207" s="33">
        <v>1940664</v>
      </c>
      <c r="E207" s="33">
        <v>121759</v>
      </c>
      <c r="F207" s="8">
        <f>INDEX('Rubro por CUI'!$E$5:$E$454,MATCH("001|2649854",'Rubro por CUI'!$N$5:$N$454,0))</f>
        <v>0.0</v>
      </c>
      <c r="G207" s="8">
        <f>INDEX('Rubro por CUI'!$F$5:$F$454,MATCH("001|2649854",'Rubro por CUI'!$N$5:$N$454,0))</f>
        <v>0.0</v>
      </c>
      <c r="H207" s="8">
        <f>INDEX('Rubro por CUI'!$G$5:$G$454,MATCH("001|2649854",'Rubro por CUI'!$N$5:$N$454,0))</f>
        <v>0.0</v>
      </c>
      <c r="I207" s="8">
        <f>INDEX('Rubro por CUI'!$H$5:$H$454,MATCH("001|2649854",'Rubro por CUI'!$N$5:$N$454,0))</f>
        <v>0.0</v>
      </c>
      <c r="J207" s="8">
        <f>INDEX('Rubro por CUI'!$I$5:$I$454,MATCH("001|2649854",'Rubro por CUI'!$N$5:$N$454,0))</f>
        <v>0.0</v>
      </c>
      <c r="K207" s="8">
        <f>L207-SUM(F207:J207)</f>
        <v>0.0</v>
      </c>
      <c r="L207" s="8">
        <f>SUMIFS(Base!$N$5:$N$504,Base!$A$5:$A$504,"001",Base!$F$5:$F$504,"2649854")</f>
        <v>0.0</v>
      </c>
      <c r="M207" s="8">
        <f>D207-E207-L207</f>
        <v>1818905.0</v>
      </c>
      <c r="N207" s="7" t="s">
        <v>89</v>
      </c>
    </row>
    <row r="208" spans="1:14">
      <c r="A208" s="28">
        <v>201</v>
      </c>
      <c r="B208" s="28" t="s">
        <v>1996</v>
      </c>
      <c r="C208" s="7" t="s">
        <v>914</v>
      </c>
      <c r="D208" s="33">
        <v>1898018</v>
      </c>
      <c r="E208" s="33">
        <v>112566</v>
      </c>
      <c r="F208" s="8">
        <f>INDEX('Rubro por CUI'!$E$5:$E$454,MATCH("001|2649856",'Rubro por CUI'!$N$5:$N$454,0))</f>
        <v>0.0</v>
      </c>
      <c r="G208" s="8">
        <f>INDEX('Rubro por CUI'!$F$5:$F$454,MATCH("001|2649856",'Rubro por CUI'!$N$5:$N$454,0))</f>
        <v>0.0</v>
      </c>
      <c r="H208" s="8">
        <f>INDEX('Rubro por CUI'!$G$5:$G$454,MATCH("001|2649856",'Rubro por CUI'!$N$5:$N$454,0))</f>
        <v>0.0</v>
      </c>
      <c r="I208" s="8">
        <f>INDEX('Rubro por CUI'!$H$5:$H$454,MATCH("001|2649856",'Rubro por CUI'!$N$5:$N$454,0))</f>
        <v>0.0</v>
      </c>
      <c r="J208" s="8">
        <f>INDEX('Rubro por CUI'!$I$5:$I$454,MATCH("001|2649856",'Rubro por CUI'!$N$5:$N$454,0))</f>
        <v>0.0</v>
      </c>
      <c r="K208" s="8">
        <f>L208-SUM(F208:J208)</f>
        <v>0.0</v>
      </c>
      <c r="L208" s="8">
        <f>SUMIFS(Base!$N$5:$N$504,Base!$A$5:$A$504,"001",Base!$F$5:$F$504,"2649856")</f>
        <v>0.0</v>
      </c>
      <c r="M208" s="8">
        <f>D208-E208-L208</f>
        <v>1785452.0</v>
      </c>
      <c r="N208" s="7" t="s">
        <v>89</v>
      </c>
    </row>
    <row r="209" spans="1:14">
      <c r="A209" s="28">
        <v>202</v>
      </c>
      <c r="B209" s="28" t="s">
        <v>1997</v>
      </c>
      <c r="C209" s="7" t="s">
        <v>917</v>
      </c>
      <c r="D209" s="33">
        <v>1127897</v>
      </c>
      <c r="E209" s="33">
        <v>0</v>
      </c>
      <c r="F209" s="8">
        <f>INDEX('Rubro por CUI'!$E$5:$E$454,MATCH("001|2649857",'Rubro por CUI'!$N$5:$N$454,0))</f>
        <v>0.0</v>
      </c>
      <c r="G209" s="8">
        <f>INDEX('Rubro por CUI'!$F$5:$F$454,MATCH("001|2649857",'Rubro por CUI'!$N$5:$N$454,0))</f>
        <v>0.0</v>
      </c>
      <c r="H209" s="8">
        <f>INDEX('Rubro por CUI'!$G$5:$G$454,MATCH("001|2649857",'Rubro por CUI'!$N$5:$N$454,0))</f>
        <v>0.0</v>
      </c>
      <c r="I209" s="8">
        <f>INDEX('Rubro por CUI'!$H$5:$H$454,MATCH("001|2649857",'Rubro por CUI'!$N$5:$N$454,0))</f>
        <v>0.0</v>
      </c>
      <c r="J209" s="8">
        <f>INDEX('Rubro por CUI'!$I$5:$I$454,MATCH("001|2649857",'Rubro por CUI'!$N$5:$N$454,0))</f>
        <v>0.0</v>
      </c>
      <c r="K209" s="8">
        <f>L209-SUM(F209:J209)</f>
        <v>0.0</v>
      </c>
      <c r="L209" s="8">
        <f>SUMIFS(Base!$N$5:$N$504,Base!$A$5:$A$504,"001",Base!$F$5:$F$504,"2649857")</f>
        <v>0.0</v>
      </c>
      <c r="M209" s="8">
        <f>D209-E209-L209</f>
        <v>1127897.0</v>
      </c>
      <c r="N209" s="7" t="s">
        <v>89</v>
      </c>
    </row>
    <row r="210" spans="1:14">
      <c r="A210" s="28">
        <v>203</v>
      </c>
      <c r="B210" s="28" t="s">
        <v>1998</v>
      </c>
      <c r="C210" s="7" t="s">
        <v>932</v>
      </c>
      <c r="D210" s="33">
        <v>195352525</v>
      </c>
      <c r="E210" s="33">
        <v>307268</v>
      </c>
      <c r="F210" s="8">
        <f>INDEX('Rubro por CUI'!$E$5:$E$454,MATCH("001|2506927",'Rubro por CUI'!$N$5:$N$454,0))</f>
        <v>0.0</v>
      </c>
      <c r="G210" s="8">
        <f>INDEX('Rubro por CUI'!$F$5:$F$454,MATCH("001|2506927",'Rubro por CUI'!$N$5:$N$454,0))</f>
        <v>0.0</v>
      </c>
      <c r="H210" s="8">
        <f>INDEX('Rubro por CUI'!$G$5:$G$454,MATCH("001|2506927",'Rubro por CUI'!$N$5:$N$454,0))</f>
        <v>0.0</v>
      </c>
      <c r="I210" s="8">
        <f>INDEX('Rubro por CUI'!$H$5:$H$454,MATCH("001|2506927",'Rubro por CUI'!$N$5:$N$454,0))</f>
        <v>0.0</v>
      </c>
      <c r="J210" s="8">
        <f>INDEX('Rubro por CUI'!$I$5:$I$454,MATCH("001|2506927",'Rubro por CUI'!$N$5:$N$454,0))</f>
        <v>0.0</v>
      </c>
      <c r="K210" s="8">
        <f>L210-SUM(F210:J210)</f>
        <v>0.0</v>
      </c>
      <c r="L210" s="8">
        <f>SUMIFS(Base!$N$5:$N$504,Base!$A$5:$A$504,"001",Base!$F$5:$F$504,"2506927")</f>
        <v>0.0</v>
      </c>
      <c r="M210" s="8">
        <f>D210-E210-L210</f>
        <v>195045257.0</v>
      </c>
      <c r="N210" s="7" t="s">
        <v>89</v>
      </c>
    </row>
    <row r="211" spans="1:14">
      <c r="A211" s="25" t="s">
        <v>221</v>
      </c>
      <c r="B211" s="25"/>
      <c r="C211" s="25"/>
      <c r="D211" s="26">
        <f>SUM(D212:D293)</f>
        <v>3031349324.0</v>
      </c>
      <c r="E211" s="26">
        <f>SUM(E212:E293)</f>
        <v>959190779.0</v>
      </c>
      <c r="F211" s="26">
        <f>SUM(F212:F293)</f>
        <v>1058194.0</v>
      </c>
      <c r="G211" s="26">
        <f>SUM(G212:G293)</f>
        <v>4165194.0</v>
      </c>
      <c r="H211" s="26">
        <f>SUM(H212:H293)</f>
        <v>138587876.0</v>
      </c>
      <c r="I211" s="26">
        <f>SUM(I212:I293)</f>
        <v>30937364.0</v>
      </c>
      <c r="J211" s="26">
        <f>SUM(J212:J293)</f>
        <v>0.0</v>
      </c>
      <c r="K211" s="26">
        <f>SUM(K212:K293)</f>
        <v>0.0</v>
      </c>
      <c r="L211" s="26">
        <f>SUM(L212:L293)</f>
        <v>174748628.0</v>
      </c>
      <c r="M211" s="26">
        <f>SUM(M212:M293)</f>
        <v>1947636627.0</v>
      </c>
      <c r="N211" s="25"/>
    </row>
    <row r="212" spans="1:14">
      <c r="A212" s="28">
        <v>204</v>
      </c>
      <c r="B212" s="28" t="s">
        <v>1999</v>
      </c>
      <c r="C212" s="7" t="s">
        <v>462</v>
      </c>
      <c r="D212" s="33">
        <v>65191395</v>
      </c>
      <c r="E212" s="33">
        <v>37139320</v>
      </c>
      <c r="F212" s="8">
        <f>INDEX('Rubro por CUI'!$E$5:$E$454,MATCH("001|2456529",'Rubro por CUI'!$N$5:$N$454,0))</f>
        <v>0.0</v>
      </c>
      <c r="G212" s="8">
        <f>INDEX('Rubro por CUI'!$F$5:$F$454,MATCH("001|2456529",'Rubro por CUI'!$N$5:$N$454,0))</f>
        <v>0.0</v>
      </c>
      <c r="H212" s="8">
        <f>INDEX('Rubro por CUI'!$G$5:$G$454,MATCH("001|2456529",'Rubro por CUI'!$N$5:$N$454,0))</f>
        <v>6917643.0</v>
      </c>
      <c r="I212" s="8">
        <f>INDEX('Rubro por CUI'!$H$5:$H$454,MATCH("001|2456529",'Rubro por CUI'!$N$5:$N$454,0))</f>
        <v>16225932.0</v>
      </c>
      <c r="J212" s="8">
        <f>INDEX('Rubro por CUI'!$I$5:$I$454,MATCH("001|2456529",'Rubro por CUI'!$N$5:$N$454,0))</f>
        <v>0.0</v>
      </c>
      <c r="K212" s="8">
        <f>L212-SUM(F212:J212)</f>
        <v>0.0</v>
      </c>
      <c r="L212" s="8">
        <f>SUMIFS(Base!$N$5:$N$504,Base!$A$5:$A$504,"001",Base!$F$5:$F$504,"2456529")</f>
        <v>23143575.0</v>
      </c>
      <c r="M212" s="8">
        <f>D212-E212-L212</f>
        <v>4908500.0</v>
      </c>
      <c r="N212" s="7" t="s">
        <v>89</v>
      </c>
    </row>
    <row r="213" spans="1:14">
      <c r="A213" s="28">
        <v>205</v>
      </c>
      <c r="B213" s="28" t="s">
        <v>2000</v>
      </c>
      <c r="C213" s="7" t="s">
        <v>271</v>
      </c>
      <c r="D213" s="7" t="s">
        <v>99</v>
      </c>
      <c r="E213" s="7" t="s">
        <v>99</v>
      </c>
      <c r="F213" s="8">
        <f>INDEX('Rubro por CUI'!$E$5:$E$454,MATCH("001|2436247",'Rubro por CUI'!$N$5:$N$454,0))</f>
        <v>0.0</v>
      </c>
      <c r="G213" s="8">
        <f>INDEX('Rubro por CUI'!$F$5:$F$454,MATCH("001|2436247",'Rubro por CUI'!$N$5:$N$454,0))</f>
        <v>0.0</v>
      </c>
      <c r="H213" s="8">
        <f>INDEX('Rubro por CUI'!$G$5:$G$454,MATCH("001|2436247",'Rubro por CUI'!$N$5:$N$454,0))</f>
        <v>22224878.0</v>
      </c>
      <c r="I213" s="8">
        <f>INDEX('Rubro por CUI'!$H$5:$H$454,MATCH("001|2436247",'Rubro por CUI'!$N$5:$N$454,0))</f>
        <v>0.0</v>
      </c>
      <c r="J213" s="8">
        <f>INDEX('Rubro por CUI'!$I$5:$I$454,MATCH("001|2436247",'Rubro por CUI'!$N$5:$N$454,0))</f>
        <v>0.0</v>
      </c>
      <c r="K213" s="8">
        <f>L213-SUM(F213:J213)</f>
        <v>0.0</v>
      </c>
      <c r="L213" s="8">
        <f>SUMIFS(Base!$N$5:$N$504,Base!$A$5:$A$504,"001",Base!$F$5:$F$504,"2436247")</f>
        <v>22224878.0</v>
      </c>
      <c r="M213" s="7" t="s">
        <v>99</v>
      </c>
      <c r="N213" s="7" t="s">
        <v>1796</v>
      </c>
    </row>
    <row r="214" spans="1:14">
      <c r="A214" s="28">
        <v>206</v>
      </c>
      <c r="B214" s="28" t="s">
        <v>2001</v>
      </c>
      <c r="C214" s="7" t="s">
        <v>224</v>
      </c>
      <c r="D214" s="33">
        <v>89821218</v>
      </c>
      <c r="E214" s="33">
        <v>71127622</v>
      </c>
      <c r="F214" s="8">
        <f>INDEX('Rubro por CUI'!$E$5:$E$454,MATCH("001|2194702",'Rubro por CUI'!$N$5:$N$454,0))</f>
        <v>0.0</v>
      </c>
      <c r="G214" s="8">
        <f>INDEX('Rubro por CUI'!$F$5:$F$454,MATCH("001|2194702",'Rubro por CUI'!$N$5:$N$454,0))</f>
        <v>0.0</v>
      </c>
      <c r="H214" s="8">
        <f>INDEX('Rubro por CUI'!$G$5:$G$454,MATCH("001|2194702",'Rubro por CUI'!$N$5:$N$454,0))</f>
        <v>18401182.0</v>
      </c>
      <c r="I214" s="8">
        <f>INDEX('Rubro por CUI'!$H$5:$H$454,MATCH("001|2194702",'Rubro por CUI'!$N$5:$N$454,0))</f>
        <v>0.0</v>
      </c>
      <c r="J214" s="8">
        <f>INDEX('Rubro por CUI'!$I$5:$I$454,MATCH("001|2194702",'Rubro por CUI'!$N$5:$N$454,0))</f>
        <v>0.0</v>
      </c>
      <c r="K214" s="8">
        <f>L214-SUM(F214:J214)</f>
        <v>0.0</v>
      </c>
      <c r="L214" s="8">
        <f>SUMIFS(Base!$N$5:$N$504,Base!$A$5:$A$504,"001",Base!$F$5:$F$504,"2194702")</f>
        <v>18401182.0</v>
      </c>
      <c r="M214" s="8">
        <f>D214-E214-L214</f>
        <v>292414.0</v>
      </c>
      <c r="N214" s="7" t="s">
        <v>89</v>
      </c>
    </row>
    <row r="215" spans="1:14">
      <c r="A215" s="28">
        <v>207</v>
      </c>
      <c r="B215" s="28" t="s">
        <v>2002</v>
      </c>
      <c r="C215" s="7" t="s">
        <v>466</v>
      </c>
      <c r="D215" s="33">
        <v>53039299</v>
      </c>
      <c r="E215" s="33">
        <v>37373543</v>
      </c>
      <c r="F215" s="8">
        <f>INDEX('Rubro por CUI'!$E$5:$E$454,MATCH("001|2343199",'Rubro por CUI'!$N$5:$N$454,0))</f>
        <v>0.0</v>
      </c>
      <c r="G215" s="8">
        <f>INDEX('Rubro por CUI'!$F$5:$F$454,MATCH("001|2343199",'Rubro por CUI'!$N$5:$N$454,0))</f>
        <v>0.0</v>
      </c>
      <c r="H215" s="8">
        <f>INDEX('Rubro por CUI'!$G$5:$G$454,MATCH("001|2343199",'Rubro por CUI'!$N$5:$N$454,0))</f>
        <v>2500000.0</v>
      </c>
      <c r="I215" s="8">
        <f>INDEX('Rubro por CUI'!$H$5:$H$454,MATCH("001|2343199",'Rubro por CUI'!$N$5:$N$454,0))</f>
        <v>12491498.0</v>
      </c>
      <c r="J215" s="8">
        <f>INDEX('Rubro por CUI'!$I$5:$I$454,MATCH("001|2343199",'Rubro por CUI'!$N$5:$N$454,0))</f>
        <v>0.0</v>
      </c>
      <c r="K215" s="8">
        <f>L215-SUM(F215:J215)</f>
        <v>0.0</v>
      </c>
      <c r="L215" s="8">
        <f>SUMIFS(Base!$N$5:$N$504,Base!$A$5:$A$504,"001",Base!$F$5:$F$504,"2343199")</f>
        <v>14991498.0</v>
      </c>
      <c r="M215" s="8">
        <f>D215-E215-L215</f>
        <v>674258.0</v>
      </c>
      <c r="N215" s="7" t="s">
        <v>89</v>
      </c>
    </row>
    <row r="216" spans="1:14">
      <c r="A216" s="28">
        <v>208</v>
      </c>
      <c r="B216" s="28" t="s">
        <v>2003</v>
      </c>
      <c r="C216" s="7" t="s">
        <v>278</v>
      </c>
      <c r="D216" s="33">
        <v>38380943</v>
      </c>
      <c r="E216" s="33">
        <v>1680774</v>
      </c>
      <c r="F216" s="8">
        <f>INDEX('Rubro por CUI'!$E$5:$E$454,MATCH("001|2603167",'Rubro por CUI'!$N$5:$N$454,0))</f>
        <v>0.0</v>
      </c>
      <c r="G216" s="8">
        <f>INDEX('Rubro por CUI'!$F$5:$F$454,MATCH("001|2603167",'Rubro por CUI'!$N$5:$N$454,0))</f>
        <v>2240194.0</v>
      </c>
      <c r="H216" s="8">
        <f>INDEX('Rubro por CUI'!$G$5:$G$454,MATCH("001|2603167",'Rubro por CUI'!$N$5:$N$454,0))</f>
        <v>9172172.0</v>
      </c>
      <c r="I216" s="8">
        <f>INDEX('Rubro por CUI'!$H$5:$H$454,MATCH("001|2603167",'Rubro por CUI'!$N$5:$N$454,0))</f>
        <v>0.0</v>
      </c>
      <c r="J216" s="8">
        <f>INDEX('Rubro por CUI'!$I$5:$I$454,MATCH("001|2603167",'Rubro por CUI'!$N$5:$N$454,0))</f>
        <v>0.0</v>
      </c>
      <c r="K216" s="8">
        <f>L216-SUM(F216:J216)</f>
        <v>0.0</v>
      </c>
      <c r="L216" s="8">
        <f>SUMIFS(Base!$N$5:$N$504,Base!$A$5:$A$504,"001",Base!$F$5:$F$504,"2603167")</f>
        <v>11412366.0</v>
      </c>
      <c r="M216" s="8">
        <f>D216-E216-L216</f>
        <v>25287803.0</v>
      </c>
      <c r="N216" s="7" t="s">
        <v>89</v>
      </c>
    </row>
    <row r="217" spans="1:14">
      <c r="A217" s="28">
        <v>209</v>
      </c>
      <c r="B217" s="28" t="s">
        <v>2004</v>
      </c>
      <c r="C217" s="7" t="s">
        <v>228</v>
      </c>
      <c r="D217" s="33">
        <v>68271717</v>
      </c>
      <c r="E217" s="33">
        <v>57660095</v>
      </c>
      <c r="F217" s="8">
        <f>INDEX('Rubro por CUI'!$E$5:$E$454,MATCH("001|2287700",'Rubro por CUI'!$N$5:$N$454,0))</f>
        <v>0.0</v>
      </c>
      <c r="G217" s="8">
        <f>INDEX('Rubro por CUI'!$F$5:$F$454,MATCH("001|2287700",'Rubro por CUI'!$N$5:$N$454,0))</f>
        <v>0.0</v>
      </c>
      <c r="H217" s="8">
        <f>INDEX('Rubro por CUI'!$G$5:$G$454,MATCH("001|2287700",'Rubro por CUI'!$N$5:$N$454,0))</f>
        <v>10002053.0</v>
      </c>
      <c r="I217" s="8">
        <f>INDEX('Rubro por CUI'!$H$5:$H$454,MATCH("001|2287700",'Rubro por CUI'!$N$5:$N$454,0))</f>
        <v>0.0</v>
      </c>
      <c r="J217" s="8">
        <f>INDEX('Rubro por CUI'!$I$5:$I$454,MATCH("001|2287700",'Rubro por CUI'!$N$5:$N$454,0))</f>
        <v>0.0</v>
      </c>
      <c r="K217" s="8">
        <f>L217-SUM(F217:J217)</f>
        <v>0.0</v>
      </c>
      <c r="L217" s="8">
        <f>SUMIFS(Base!$N$5:$N$504,Base!$A$5:$A$504,"001",Base!$F$5:$F$504,"2287700")</f>
        <v>10002053.0</v>
      </c>
      <c r="M217" s="8">
        <f>D217-E217-L217</f>
        <v>609569.0</v>
      </c>
      <c r="N217" s="7" t="s">
        <v>89</v>
      </c>
    </row>
    <row r="218" spans="1:14">
      <c r="A218" s="28">
        <v>210</v>
      </c>
      <c r="B218" s="28" t="s">
        <v>2005</v>
      </c>
      <c r="C218" s="7" t="s">
        <v>288</v>
      </c>
      <c r="D218" s="33">
        <v>24589373</v>
      </c>
      <c r="E218" s="33">
        <v>395459</v>
      </c>
      <c r="F218" s="8">
        <f>INDEX('Rubro por CUI'!$E$5:$E$454,MATCH("001|2603165",'Rubro por CUI'!$N$5:$N$454,0))</f>
        <v>0.0</v>
      </c>
      <c r="G218" s="8">
        <f>INDEX('Rubro por CUI'!$F$5:$F$454,MATCH("001|2603165",'Rubro por CUI'!$N$5:$N$454,0))</f>
        <v>1925000.0</v>
      </c>
      <c r="H218" s="8">
        <f>INDEX('Rubro por CUI'!$G$5:$G$454,MATCH("001|2603165",'Rubro por CUI'!$N$5:$N$454,0))</f>
        <v>7112622.0</v>
      </c>
      <c r="I218" s="8">
        <f>INDEX('Rubro por CUI'!$H$5:$H$454,MATCH("001|2603165",'Rubro por CUI'!$N$5:$N$454,0))</f>
        <v>0.0</v>
      </c>
      <c r="J218" s="8">
        <f>INDEX('Rubro por CUI'!$I$5:$I$454,MATCH("001|2603165",'Rubro por CUI'!$N$5:$N$454,0))</f>
        <v>0.0</v>
      </c>
      <c r="K218" s="8">
        <f>L218-SUM(F218:J218)</f>
        <v>0.0</v>
      </c>
      <c r="L218" s="8">
        <f>SUMIFS(Base!$N$5:$N$504,Base!$A$5:$A$504,"001",Base!$F$5:$F$504,"2603165")</f>
        <v>9037622.0</v>
      </c>
      <c r="M218" s="8">
        <f>D218-E218-L218</f>
        <v>15156292.0</v>
      </c>
      <c r="N218" s="7" t="s">
        <v>89</v>
      </c>
    </row>
    <row r="219" spans="1:14">
      <c r="A219" s="28">
        <v>211</v>
      </c>
      <c r="B219" s="28" t="s">
        <v>2006</v>
      </c>
      <c r="C219" s="7" t="s">
        <v>489</v>
      </c>
      <c r="D219" s="7" t="s">
        <v>99</v>
      </c>
      <c r="E219" s="7" t="s">
        <v>99</v>
      </c>
      <c r="F219" s="8">
        <f>INDEX('Rubro por CUI'!$E$5:$E$454,MATCH("001|2387422",'Rubro por CUI'!$N$5:$N$454,0))</f>
        <v>0.0</v>
      </c>
      <c r="G219" s="8">
        <f>INDEX('Rubro por CUI'!$F$5:$F$454,MATCH("001|2387422",'Rubro por CUI'!$N$5:$N$454,0))</f>
        <v>0.0</v>
      </c>
      <c r="H219" s="8">
        <f>INDEX('Rubro por CUI'!$G$5:$G$454,MATCH("001|2387422",'Rubro por CUI'!$N$5:$N$454,0))</f>
        <v>6734873.0</v>
      </c>
      <c r="I219" s="8">
        <f>INDEX('Rubro por CUI'!$H$5:$H$454,MATCH("001|2387422",'Rubro por CUI'!$N$5:$N$454,0))</f>
        <v>1017000.0</v>
      </c>
      <c r="J219" s="8">
        <f>INDEX('Rubro por CUI'!$I$5:$I$454,MATCH("001|2387422",'Rubro por CUI'!$N$5:$N$454,0))</f>
        <v>0.0</v>
      </c>
      <c r="K219" s="8">
        <f>L219-SUM(F219:J219)</f>
        <v>0.0</v>
      </c>
      <c r="L219" s="8">
        <f>SUMIFS(Base!$N$5:$N$504,Base!$A$5:$A$504,"001",Base!$F$5:$F$504,"2387422")</f>
        <v>7751873.0</v>
      </c>
      <c r="M219" s="7" t="s">
        <v>99</v>
      </c>
      <c r="N219" s="7" t="s">
        <v>1796</v>
      </c>
    </row>
    <row r="220" spans="1:14">
      <c r="A220" s="28">
        <v>212</v>
      </c>
      <c r="B220" s="28" t="s">
        <v>2007</v>
      </c>
      <c r="C220" s="7" t="s">
        <v>283</v>
      </c>
      <c r="D220" s="33">
        <v>83926737</v>
      </c>
      <c r="E220" s="33">
        <v>1030299</v>
      </c>
      <c r="F220" s="8">
        <f>INDEX('Rubro por CUI'!$E$5:$E$454,MATCH("001|2585540",'Rubro por CUI'!$N$5:$N$454,0))</f>
        <v>0.0</v>
      </c>
      <c r="G220" s="8">
        <f>INDEX('Rubro por CUI'!$F$5:$F$454,MATCH("001|2585540",'Rubro por CUI'!$N$5:$N$454,0))</f>
        <v>0.0</v>
      </c>
      <c r="H220" s="8">
        <f>INDEX('Rubro por CUI'!$G$5:$G$454,MATCH("001|2585540",'Rubro por CUI'!$N$5:$N$454,0))</f>
        <v>6830102.0</v>
      </c>
      <c r="I220" s="8">
        <f>INDEX('Rubro por CUI'!$H$5:$H$454,MATCH("001|2585540",'Rubro por CUI'!$N$5:$N$454,0))</f>
        <v>0.0</v>
      </c>
      <c r="J220" s="8">
        <f>INDEX('Rubro por CUI'!$I$5:$I$454,MATCH("001|2585540",'Rubro por CUI'!$N$5:$N$454,0))</f>
        <v>0.0</v>
      </c>
      <c r="K220" s="8">
        <f>L220-SUM(F220:J220)</f>
        <v>0.0</v>
      </c>
      <c r="L220" s="8">
        <f>SUMIFS(Base!$N$5:$N$504,Base!$A$5:$A$504,"001",Base!$F$5:$F$504,"2585540")</f>
        <v>6830102.0</v>
      </c>
      <c r="M220" s="8">
        <f>D220-E220-L220</f>
        <v>76066336.0</v>
      </c>
      <c r="N220" s="7" t="s">
        <v>89</v>
      </c>
    </row>
    <row r="221" spans="1:14">
      <c r="A221" s="28">
        <v>213</v>
      </c>
      <c r="B221" s="28" t="s">
        <v>2008</v>
      </c>
      <c r="C221" s="7" t="s">
        <v>474</v>
      </c>
      <c r="D221" s="7" t="s">
        <v>99</v>
      </c>
      <c r="E221" s="7" t="s">
        <v>99</v>
      </c>
      <c r="F221" s="8">
        <f>INDEX('Rubro por CUI'!$E$5:$E$454,MATCH("001|2591951",'Rubro por CUI'!$N$5:$N$454,0))</f>
        <v>0.0</v>
      </c>
      <c r="G221" s="8">
        <f>INDEX('Rubro por CUI'!$F$5:$F$454,MATCH("001|2591951",'Rubro por CUI'!$N$5:$N$454,0))</f>
        <v>0.0</v>
      </c>
      <c r="H221" s="8">
        <f>INDEX('Rubro por CUI'!$G$5:$G$454,MATCH("001|2591951",'Rubro por CUI'!$N$5:$N$454,0))</f>
        <v>6770858.0</v>
      </c>
      <c r="I221" s="8">
        <f>INDEX('Rubro por CUI'!$H$5:$H$454,MATCH("001|2591951",'Rubro por CUI'!$N$5:$N$454,0))</f>
        <v>0.0</v>
      </c>
      <c r="J221" s="8">
        <f>INDEX('Rubro por CUI'!$I$5:$I$454,MATCH("001|2591951",'Rubro por CUI'!$N$5:$N$454,0))</f>
        <v>0.0</v>
      </c>
      <c r="K221" s="8">
        <f>L221-SUM(F221:J221)</f>
        <v>0.0</v>
      </c>
      <c r="L221" s="8">
        <f>SUMIFS(Base!$N$5:$N$504,Base!$A$5:$A$504,"001",Base!$F$5:$F$504,"2591951")</f>
        <v>6770858.0</v>
      </c>
      <c r="M221" s="7" t="s">
        <v>99</v>
      </c>
      <c r="N221" s="7" t="s">
        <v>1796</v>
      </c>
    </row>
    <row r="222" spans="1:14">
      <c r="A222" s="28">
        <v>214</v>
      </c>
      <c r="B222" s="28" t="s">
        <v>2009</v>
      </c>
      <c r="C222" s="7" t="s">
        <v>470</v>
      </c>
      <c r="D222" s="7" t="s">
        <v>99</v>
      </c>
      <c r="E222" s="7" t="s">
        <v>99</v>
      </c>
      <c r="F222" s="8">
        <f>INDEX('Rubro por CUI'!$E$5:$E$454,MATCH("001|2399543",'Rubro por CUI'!$N$5:$N$454,0))</f>
        <v>0.0</v>
      </c>
      <c r="G222" s="8">
        <f>INDEX('Rubro por CUI'!$F$5:$F$454,MATCH("001|2399543",'Rubro por CUI'!$N$5:$N$454,0))</f>
        <v>0.0</v>
      </c>
      <c r="H222" s="8">
        <f>INDEX('Rubro por CUI'!$G$5:$G$454,MATCH("001|2399543",'Rubro por CUI'!$N$5:$N$454,0))</f>
        <v>5270087.0</v>
      </c>
      <c r="I222" s="8">
        <f>INDEX('Rubro por CUI'!$H$5:$H$454,MATCH("001|2399543",'Rubro por CUI'!$N$5:$N$454,0))</f>
        <v>0.0</v>
      </c>
      <c r="J222" s="8">
        <f>INDEX('Rubro por CUI'!$I$5:$I$454,MATCH("001|2399543",'Rubro por CUI'!$N$5:$N$454,0))</f>
        <v>0.0</v>
      </c>
      <c r="K222" s="8">
        <f>L222-SUM(F222:J222)</f>
        <v>0.0</v>
      </c>
      <c r="L222" s="8">
        <f>SUMIFS(Base!$N$5:$N$504,Base!$A$5:$A$504,"001",Base!$F$5:$F$504,"2399543")</f>
        <v>5270087.0</v>
      </c>
      <c r="M222" s="7" t="s">
        <v>99</v>
      </c>
      <c r="N222" s="7" t="s">
        <v>1796</v>
      </c>
    </row>
    <row r="223" spans="1:14">
      <c r="A223" s="28">
        <v>215</v>
      </c>
      <c r="B223" s="28" t="s">
        <v>2010</v>
      </c>
      <c r="C223" s="7" t="s">
        <v>485</v>
      </c>
      <c r="D223" s="7" t="s">
        <v>99</v>
      </c>
      <c r="E223" s="7" t="s">
        <v>99</v>
      </c>
      <c r="F223" s="8">
        <f>INDEX('Rubro por CUI'!$E$5:$E$454,MATCH("001|2634040",'Rubro por CUI'!$N$5:$N$454,0))</f>
        <v>0.0</v>
      </c>
      <c r="G223" s="8">
        <f>INDEX('Rubro por CUI'!$F$5:$F$454,MATCH("001|2634040",'Rubro por CUI'!$N$5:$N$454,0))</f>
        <v>0.0</v>
      </c>
      <c r="H223" s="8">
        <f>INDEX('Rubro por CUI'!$G$5:$G$454,MATCH("001|2634040",'Rubro por CUI'!$N$5:$N$454,0))</f>
        <v>4106961.0</v>
      </c>
      <c r="I223" s="8">
        <f>INDEX('Rubro por CUI'!$H$5:$H$454,MATCH("001|2634040",'Rubro por CUI'!$N$5:$N$454,0))</f>
        <v>0.0</v>
      </c>
      <c r="J223" s="8">
        <f>INDEX('Rubro por CUI'!$I$5:$I$454,MATCH("001|2634040",'Rubro por CUI'!$N$5:$N$454,0))</f>
        <v>0.0</v>
      </c>
      <c r="K223" s="8">
        <f>L223-SUM(F223:J223)</f>
        <v>0.0</v>
      </c>
      <c r="L223" s="8">
        <f>SUMIFS(Base!$N$5:$N$504,Base!$A$5:$A$504,"001",Base!$F$5:$F$504,"2634040")</f>
        <v>4106961.0</v>
      </c>
      <c r="M223" s="7" t="s">
        <v>99</v>
      </c>
      <c r="N223" s="7" t="s">
        <v>1796</v>
      </c>
    </row>
    <row r="224" spans="1:14">
      <c r="A224" s="28">
        <v>216</v>
      </c>
      <c r="B224" s="28" t="s">
        <v>2011</v>
      </c>
      <c r="C224" s="7" t="s">
        <v>582</v>
      </c>
      <c r="D224" s="33">
        <v>16984104</v>
      </c>
      <c r="E224" s="33">
        <v>445656</v>
      </c>
      <c r="F224" s="8">
        <f>INDEX('Rubro por CUI'!$E$5:$E$454,MATCH("001|2447465",'Rubro por CUI'!$N$5:$N$454,0))</f>
        <v>0.0</v>
      </c>
      <c r="G224" s="8">
        <f>INDEX('Rubro por CUI'!$F$5:$F$454,MATCH("001|2447465",'Rubro por CUI'!$N$5:$N$454,0))</f>
        <v>0.0</v>
      </c>
      <c r="H224" s="8">
        <f>INDEX('Rubro por CUI'!$G$5:$G$454,MATCH("001|2447465",'Rubro por CUI'!$N$5:$N$454,0))</f>
        <v>3978899.0</v>
      </c>
      <c r="I224" s="8">
        <f>INDEX('Rubro por CUI'!$H$5:$H$454,MATCH("001|2447465",'Rubro por CUI'!$N$5:$N$454,0))</f>
        <v>0.0</v>
      </c>
      <c r="J224" s="8">
        <f>INDEX('Rubro por CUI'!$I$5:$I$454,MATCH("001|2447465",'Rubro por CUI'!$N$5:$N$454,0))</f>
        <v>0.0</v>
      </c>
      <c r="K224" s="8">
        <f>L224-SUM(F224:J224)</f>
        <v>0.0</v>
      </c>
      <c r="L224" s="8">
        <f>SUMIFS(Base!$N$5:$N$504,Base!$A$5:$A$504,"001",Base!$F$5:$F$504,"2447465")</f>
        <v>3978899.0</v>
      </c>
      <c r="M224" s="8">
        <f>D224-E224-L224</f>
        <v>12559549.0</v>
      </c>
      <c r="N224" s="7" t="s">
        <v>89</v>
      </c>
    </row>
    <row r="225" spans="1:14">
      <c r="A225" s="28">
        <v>217</v>
      </c>
      <c r="B225" s="28" t="s">
        <v>2012</v>
      </c>
      <c r="C225" s="7" t="s">
        <v>231</v>
      </c>
      <c r="D225" s="33">
        <v>39402850</v>
      </c>
      <c r="E225" s="33">
        <v>35800078</v>
      </c>
      <c r="F225" s="8">
        <f>INDEX('Rubro por CUI'!$E$5:$E$454,MATCH("001|2480499",'Rubro por CUI'!$N$5:$N$454,0))</f>
        <v>0.0</v>
      </c>
      <c r="G225" s="8">
        <f>INDEX('Rubro por CUI'!$F$5:$F$454,MATCH("001|2480499",'Rubro por CUI'!$N$5:$N$454,0))</f>
        <v>0.0</v>
      </c>
      <c r="H225" s="8">
        <f>INDEX('Rubro por CUI'!$G$5:$G$454,MATCH("001|2480499",'Rubro por CUI'!$N$5:$N$454,0))</f>
        <v>3297813.0</v>
      </c>
      <c r="I225" s="8">
        <f>INDEX('Rubro por CUI'!$H$5:$H$454,MATCH("001|2480499",'Rubro por CUI'!$N$5:$N$454,0))</f>
        <v>0.0</v>
      </c>
      <c r="J225" s="8">
        <f>INDEX('Rubro por CUI'!$I$5:$I$454,MATCH("001|2480499",'Rubro por CUI'!$N$5:$N$454,0))</f>
        <v>0.0</v>
      </c>
      <c r="K225" s="8">
        <f>L225-SUM(F225:J225)</f>
        <v>0.0</v>
      </c>
      <c r="L225" s="8">
        <f>SUMIFS(Base!$N$5:$N$504,Base!$A$5:$A$504,"001",Base!$F$5:$F$504,"2480499")</f>
        <v>3297813.0</v>
      </c>
      <c r="M225" s="8">
        <f>D225-E225-L225</f>
        <v>304959.0</v>
      </c>
      <c r="N225" s="7" t="s">
        <v>89</v>
      </c>
    </row>
    <row r="226" spans="1:14">
      <c r="A226" s="28">
        <v>218</v>
      </c>
      <c r="B226" s="28" t="s">
        <v>2013</v>
      </c>
      <c r="C226" s="7" t="s">
        <v>235</v>
      </c>
      <c r="D226" s="33">
        <v>44582342</v>
      </c>
      <c r="E226" s="33">
        <v>30760656</v>
      </c>
      <c r="F226" s="8">
        <f>INDEX('Rubro por CUI'!$E$5:$E$454,MATCH("001|2300575",'Rubro por CUI'!$N$5:$N$454,0))</f>
        <v>0.0</v>
      </c>
      <c r="G226" s="8">
        <f>INDEX('Rubro por CUI'!$F$5:$F$454,MATCH("001|2300575",'Rubro por CUI'!$N$5:$N$454,0))</f>
        <v>0.0</v>
      </c>
      <c r="H226" s="8">
        <f>INDEX('Rubro por CUI'!$G$5:$G$454,MATCH("001|2300575",'Rubro por CUI'!$N$5:$N$454,0))</f>
        <v>2394023.0</v>
      </c>
      <c r="I226" s="8">
        <f>INDEX('Rubro por CUI'!$H$5:$H$454,MATCH("001|2300575",'Rubro por CUI'!$N$5:$N$454,0))</f>
        <v>0.0</v>
      </c>
      <c r="J226" s="8">
        <f>INDEX('Rubro por CUI'!$I$5:$I$454,MATCH("001|2300575",'Rubro por CUI'!$N$5:$N$454,0))</f>
        <v>0.0</v>
      </c>
      <c r="K226" s="8">
        <f>L226-SUM(F226:J226)</f>
        <v>0.0</v>
      </c>
      <c r="L226" s="8">
        <f>SUMIFS(Base!$N$5:$N$504,Base!$A$5:$A$504,"001",Base!$F$5:$F$504,"2300575")</f>
        <v>2394023.0</v>
      </c>
      <c r="M226" s="8">
        <f>D226-E226-L226</f>
        <v>11427663.0</v>
      </c>
      <c r="N226" s="7" t="s">
        <v>89</v>
      </c>
    </row>
    <row r="227" spans="1:14">
      <c r="A227" s="28">
        <v>219</v>
      </c>
      <c r="B227" s="28" t="s">
        <v>2014</v>
      </c>
      <c r="C227" s="7" t="s">
        <v>478</v>
      </c>
      <c r="D227" s="33">
        <v>53702810</v>
      </c>
      <c r="E227" s="33">
        <v>820620</v>
      </c>
      <c r="F227" s="8">
        <f>INDEX('Rubro por CUI'!$E$5:$E$454,MATCH("001|2602163",'Rubro por CUI'!$N$5:$N$454,0))</f>
        <v>0.0</v>
      </c>
      <c r="G227" s="8">
        <f>INDEX('Rubro por CUI'!$F$5:$F$454,MATCH("001|2602163",'Rubro por CUI'!$N$5:$N$454,0))</f>
        <v>0.0</v>
      </c>
      <c r="H227" s="8">
        <f>INDEX('Rubro por CUI'!$G$5:$G$454,MATCH("001|2602163",'Rubro por CUI'!$N$5:$N$454,0))</f>
        <v>2308286.0</v>
      </c>
      <c r="I227" s="8">
        <f>INDEX('Rubro por CUI'!$H$5:$H$454,MATCH("001|2602163",'Rubro por CUI'!$N$5:$N$454,0))</f>
        <v>0.0</v>
      </c>
      <c r="J227" s="8">
        <f>INDEX('Rubro por CUI'!$I$5:$I$454,MATCH("001|2602163",'Rubro por CUI'!$N$5:$N$454,0))</f>
        <v>0.0</v>
      </c>
      <c r="K227" s="8">
        <f>L227-SUM(F227:J227)</f>
        <v>0.0</v>
      </c>
      <c r="L227" s="8">
        <f>SUMIFS(Base!$N$5:$N$504,Base!$A$5:$A$504,"001",Base!$F$5:$F$504,"2602163")</f>
        <v>2308286.0</v>
      </c>
      <c r="M227" s="8">
        <f>D227-E227-L227</f>
        <v>50573904.0</v>
      </c>
      <c r="N227" s="7" t="s">
        <v>89</v>
      </c>
    </row>
    <row r="228" spans="1:14">
      <c r="A228" s="28">
        <v>220</v>
      </c>
      <c r="B228" s="28" t="s">
        <v>2015</v>
      </c>
      <c r="C228" s="7" t="s">
        <v>258</v>
      </c>
      <c r="D228" s="33">
        <v>161084884</v>
      </c>
      <c r="E228" s="33">
        <v>121294302</v>
      </c>
      <c r="F228" s="8">
        <f>INDEX('Rubro por CUI'!$E$5:$E$454,MATCH("001|2131661",'Rubro por CUI'!$N$5:$N$454,0))</f>
        <v>0.0</v>
      </c>
      <c r="G228" s="8">
        <f>INDEX('Rubro por CUI'!$F$5:$F$454,MATCH("001|2131661",'Rubro por CUI'!$N$5:$N$454,0))</f>
        <v>0.0</v>
      </c>
      <c r="H228" s="8">
        <f>INDEX('Rubro por CUI'!$G$5:$G$454,MATCH("001|2131661",'Rubro por CUI'!$N$5:$N$454,0))</f>
        <v>1868752.0</v>
      </c>
      <c r="I228" s="8">
        <f>INDEX('Rubro por CUI'!$H$5:$H$454,MATCH("001|2131661",'Rubro por CUI'!$N$5:$N$454,0))</f>
        <v>0.0</v>
      </c>
      <c r="J228" s="8">
        <f>INDEX('Rubro por CUI'!$I$5:$I$454,MATCH("001|2131661",'Rubro por CUI'!$N$5:$N$454,0))</f>
        <v>0.0</v>
      </c>
      <c r="K228" s="8">
        <f>L228-SUM(F228:J228)</f>
        <v>0.0</v>
      </c>
      <c r="L228" s="8">
        <f>SUMIFS(Base!$N$5:$N$504,Base!$A$5:$A$504,"001",Base!$F$5:$F$504,"2131661")</f>
        <v>1868752.0</v>
      </c>
      <c r="M228" s="8">
        <f>D228-E228-L228</f>
        <v>37921830.0</v>
      </c>
      <c r="N228" s="7" t="s">
        <v>89</v>
      </c>
    </row>
    <row r="229" spans="1:14">
      <c r="A229" s="28">
        <v>221</v>
      </c>
      <c r="B229" s="28" t="s">
        <v>2016</v>
      </c>
      <c r="C229" s="7" t="s">
        <v>481</v>
      </c>
      <c r="D229" s="7" t="s">
        <v>99</v>
      </c>
      <c r="E229" s="7" t="s">
        <v>99</v>
      </c>
      <c r="F229" s="8">
        <f>INDEX('Rubro por CUI'!$E$5:$E$454,MATCH("001|2511009",'Rubro por CUI'!$N$5:$N$454,0))</f>
        <v>0.0</v>
      </c>
      <c r="G229" s="8">
        <f>INDEX('Rubro por CUI'!$F$5:$F$454,MATCH("001|2511009",'Rubro por CUI'!$N$5:$N$454,0))</f>
        <v>0.0</v>
      </c>
      <c r="H229" s="8">
        <f>INDEX('Rubro por CUI'!$G$5:$G$454,MATCH("001|2511009",'Rubro por CUI'!$N$5:$N$454,0))</f>
        <v>1827737.0</v>
      </c>
      <c r="I229" s="8">
        <f>INDEX('Rubro por CUI'!$H$5:$H$454,MATCH("001|2511009",'Rubro por CUI'!$N$5:$N$454,0))</f>
        <v>0.0</v>
      </c>
      <c r="J229" s="8">
        <f>INDEX('Rubro por CUI'!$I$5:$I$454,MATCH("001|2511009",'Rubro por CUI'!$N$5:$N$454,0))</f>
        <v>0.0</v>
      </c>
      <c r="K229" s="8">
        <f>L229-SUM(F229:J229)</f>
        <v>0.0</v>
      </c>
      <c r="L229" s="8">
        <f>SUMIFS(Base!$N$5:$N$504,Base!$A$5:$A$504,"001",Base!$F$5:$F$504,"2511009")</f>
        <v>1827737.0</v>
      </c>
      <c r="M229" s="7" t="s">
        <v>99</v>
      </c>
      <c r="N229" s="7" t="s">
        <v>1796</v>
      </c>
    </row>
    <row r="230" spans="1:14">
      <c r="A230" s="28">
        <v>222</v>
      </c>
      <c r="B230" s="28" t="s">
        <v>2017</v>
      </c>
      <c r="C230" s="7" t="s">
        <v>242</v>
      </c>
      <c r="D230" s="33">
        <v>61126335</v>
      </c>
      <c r="E230" s="33">
        <v>53855028</v>
      </c>
      <c r="F230" s="8">
        <f>INDEX('Rubro por CUI'!$E$5:$E$454,MATCH("001|2163760",'Rubro por CUI'!$N$5:$N$454,0))</f>
        <v>0.0</v>
      </c>
      <c r="G230" s="8">
        <f>INDEX('Rubro por CUI'!$F$5:$F$454,MATCH("001|2163760",'Rubro por CUI'!$N$5:$N$454,0))</f>
        <v>0.0</v>
      </c>
      <c r="H230" s="8">
        <f>INDEX('Rubro por CUI'!$G$5:$G$454,MATCH("001|2163760",'Rubro por CUI'!$N$5:$N$454,0))</f>
        <v>0.0</v>
      </c>
      <c r="I230" s="8">
        <f>INDEX('Rubro por CUI'!$H$5:$H$454,MATCH("001|2163760",'Rubro por CUI'!$N$5:$N$454,0))</f>
        <v>1202934.0</v>
      </c>
      <c r="J230" s="8">
        <f>INDEX('Rubro por CUI'!$I$5:$I$454,MATCH("001|2163760",'Rubro por CUI'!$N$5:$N$454,0))</f>
        <v>0.0</v>
      </c>
      <c r="K230" s="8">
        <f>L230-SUM(F230:J230)</f>
        <v>0.0</v>
      </c>
      <c r="L230" s="8">
        <f>SUMIFS(Base!$N$5:$N$504,Base!$A$5:$A$504,"001",Base!$F$5:$F$504,"2163760")</f>
        <v>1202934.0</v>
      </c>
      <c r="M230" s="8">
        <f>D230-E230-L230</f>
        <v>6068373.0</v>
      </c>
      <c r="N230" s="7" t="s">
        <v>89</v>
      </c>
    </row>
    <row r="231" spans="1:14">
      <c r="A231" s="28">
        <v>223</v>
      </c>
      <c r="B231" s="28" t="s">
        <v>2018</v>
      </c>
      <c r="C231" s="7" t="s">
        <v>239</v>
      </c>
      <c r="D231" s="33">
        <v>22930377</v>
      </c>
      <c r="E231" s="33">
        <v>19411412</v>
      </c>
      <c r="F231" s="8">
        <f>INDEX('Rubro por CUI'!$E$5:$E$454,MATCH("001|2031310",'Rubro por CUI'!$N$5:$N$454,0))</f>
        <v>0.0</v>
      </c>
      <c r="G231" s="8">
        <f>INDEX('Rubro por CUI'!$F$5:$F$454,MATCH("001|2031310",'Rubro por CUI'!$N$5:$N$454,0))</f>
        <v>0.0</v>
      </c>
      <c r="H231" s="8">
        <f>INDEX('Rubro por CUI'!$G$5:$G$454,MATCH("001|2031310",'Rubro por CUI'!$N$5:$N$454,0))</f>
        <v>1122559.0</v>
      </c>
      <c r="I231" s="8">
        <f>INDEX('Rubro por CUI'!$H$5:$H$454,MATCH("001|2031310",'Rubro por CUI'!$N$5:$N$454,0))</f>
        <v>0.0</v>
      </c>
      <c r="J231" s="8">
        <f>INDEX('Rubro por CUI'!$I$5:$I$454,MATCH("001|2031310",'Rubro por CUI'!$N$5:$N$454,0))</f>
        <v>0.0</v>
      </c>
      <c r="K231" s="8">
        <f>L231-SUM(F231:J231)</f>
        <v>0.0</v>
      </c>
      <c r="L231" s="8">
        <f>SUMIFS(Base!$N$5:$N$504,Base!$A$5:$A$504,"001",Base!$F$5:$F$504,"2031310")</f>
        <v>1122559.0</v>
      </c>
      <c r="M231" s="8">
        <f>D231-E231-L231</f>
        <v>2396406.0</v>
      </c>
      <c r="N231" s="7" t="s">
        <v>89</v>
      </c>
    </row>
    <row r="232" spans="1:14">
      <c r="A232" s="28">
        <v>224</v>
      </c>
      <c r="B232" s="28" t="s">
        <v>2019</v>
      </c>
      <c r="C232" s="7" t="s">
        <v>492</v>
      </c>
      <c r="D232" s="7" t="s">
        <v>99</v>
      </c>
      <c r="E232" s="7" t="s">
        <v>99</v>
      </c>
      <c r="F232" s="8">
        <f>INDEX('Rubro por CUI'!$E$5:$E$454,MATCH("001|2527184",'Rubro por CUI'!$N$5:$N$454,0))</f>
        <v>0.0</v>
      </c>
      <c r="G232" s="8">
        <f>INDEX('Rubro por CUI'!$F$5:$F$454,MATCH("001|2527184",'Rubro por CUI'!$N$5:$N$454,0))</f>
        <v>0.0</v>
      </c>
      <c r="H232" s="8">
        <f>INDEX('Rubro por CUI'!$G$5:$G$454,MATCH("001|2527184",'Rubro por CUI'!$N$5:$N$454,0))</f>
        <v>936343.0</v>
      </c>
      <c r="I232" s="8">
        <f>INDEX('Rubro por CUI'!$H$5:$H$454,MATCH("001|2527184",'Rubro por CUI'!$N$5:$N$454,0))</f>
        <v>0.0</v>
      </c>
      <c r="J232" s="8">
        <f>INDEX('Rubro por CUI'!$I$5:$I$454,MATCH("001|2527184",'Rubro por CUI'!$N$5:$N$454,0))</f>
        <v>0.0</v>
      </c>
      <c r="K232" s="8">
        <f>L232-SUM(F232:J232)</f>
        <v>0.0</v>
      </c>
      <c r="L232" s="8">
        <f>SUMIFS(Base!$N$5:$N$504,Base!$A$5:$A$504,"001",Base!$F$5:$F$504,"2527184")</f>
        <v>936343.0</v>
      </c>
      <c r="M232" s="7" t="s">
        <v>99</v>
      </c>
      <c r="N232" s="7" t="s">
        <v>1796</v>
      </c>
    </row>
    <row r="233" spans="1:14">
      <c r="A233" s="28">
        <v>225</v>
      </c>
      <c r="B233" s="28" t="s">
        <v>2020</v>
      </c>
      <c r="C233" s="7" t="s">
        <v>1013</v>
      </c>
      <c r="D233" s="33">
        <v>37869062</v>
      </c>
      <c r="E233" s="33">
        <v>0</v>
      </c>
      <c r="F233" s="8">
        <f>INDEX('Rubro por CUI'!$E$5:$E$454,MATCH("001|2654549",'Rubro por CUI'!$N$5:$N$454,0))</f>
        <v>0.0</v>
      </c>
      <c r="G233" s="8">
        <f>INDEX('Rubro por CUI'!$F$5:$F$454,MATCH("001|2654549",'Rubro por CUI'!$N$5:$N$454,0))</f>
        <v>0.0</v>
      </c>
      <c r="H233" s="8">
        <f>INDEX('Rubro por CUI'!$G$5:$G$454,MATCH("001|2654549",'Rubro por CUI'!$N$5:$N$454,0))</f>
        <v>870779.0</v>
      </c>
      <c r="I233" s="8">
        <f>INDEX('Rubro por CUI'!$H$5:$H$454,MATCH("001|2654549",'Rubro por CUI'!$N$5:$N$454,0))</f>
        <v>0.0</v>
      </c>
      <c r="J233" s="8">
        <f>INDEX('Rubro por CUI'!$I$5:$I$454,MATCH("001|2654549",'Rubro por CUI'!$N$5:$N$454,0))</f>
        <v>0.0</v>
      </c>
      <c r="K233" s="8">
        <f>L233-SUM(F233:J233)</f>
        <v>0.0</v>
      </c>
      <c r="L233" s="8">
        <f>SUMIFS(Base!$N$5:$N$504,Base!$A$5:$A$504,"001",Base!$F$5:$F$504,"2654549")</f>
        <v>870779.0</v>
      </c>
      <c r="M233" s="8">
        <f>D233-E233-L233</f>
        <v>36998283.0</v>
      </c>
      <c r="N233" s="7" t="s">
        <v>89</v>
      </c>
    </row>
    <row r="234" spans="1:14">
      <c r="A234" s="28">
        <v>226</v>
      </c>
      <c r="B234" s="28" t="s">
        <v>2021</v>
      </c>
      <c r="C234" s="7" t="s">
        <v>250</v>
      </c>
      <c r="D234" s="33">
        <v>32252438</v>
      </c>
      <c r="E234" s="33">
        <v>24702814</v>
      </c>
      <c r="F234" s="8">
        <f>INDEX('Rubro por CUI'!$E$5:$E$454,MATCH("001|2321290",'Rubro por CUI'!$N$5:$N$454,0))</f>
        <v>844818.0</v>
      </c>
      <c r="G234" s="8">
        <f>INDEX('Rubro por CUI'!$F$5:$F$454,MATCH("001|2321290",'Rubro por CUI'!$N$5:$N$454,0))</f>
        <v>0.0</v>
      </c>
      <c r="H234" s="8">
        <f>INDEX('Rubro por CUI'!$G$5:$G$454,MATCH("001|2321290",'Rubro por CUI'!$N$5:$N$454,0))</f>
        <v>0.0</v>
      </c>
      <c r="I234" s="8">
        <f>INDEX('Rubro por CUI'!$H$5:$H$454,MATCH("001|2321290",'Rubro por CUI'!$N$5:$N$454,0))</f>
        <v>0.0</v>
      </c>
      <c r="J234" s="8">
        <f>INDEX('Rubro por CUI'!$I$5:$I$454,MATCH("001|2321290",'Rubro por CUI'!$N$5:$N$454,0))</f>
        <v>0.0</v>
      </c>
      <c r="K234" s="8">
        <f>L234-SUM(F234:J234)</f>
        <v>0.0</v>
      </c>
      <c r="L234" s="8">
        <f>SUMIFS(Base!$N$5:$N$504,Base!$A$5:$A$504,"001",Base!$F$5:$F$504,"2321290")</f>
        <v>844818.0</v>
      </c>
      <c r="M234" s="8">
        <f>D234-E234-L234</f>
        <v>6704806.0</v>
      </c>
      <c r="N234" s="7" t="s">
        <v>89</v>
      </c>
    </row>
    <row r="235" spans="1:14">
      <c r="A235" s="28">
        <v>227</v>
      </c>
      <c r="B235" s="28" t="s">
        <v>2022</v>
      </c>
      <c r="C235" s="7" t="s">
        <v>973</v>
      </c>
      <c r="D235" s="33">
        <v>139319662</v>
      </c>
      <c r="E235" s="33">
        <v>535910</v>
      </c>
      <c r="F235" s="8">
        <f>INDEX('Rubro por CUI'!$E$5:$E$454,MATCH("001|2603164",'Rubro por CUI'!$N$5:$N$454,0))</f>
        <v>0.0</v>
      </c>
      <c r="G235" s="8">
        <f>INDEX('Rubro por CUI'!$F$5:$F$454,MATCH("001|2603164",'Rubro por CUI'!$N$5:$N$454,0))</f>
        <v>0.0</v>
      </c>
      <c r="H235" s="8">
        <f>INDEX('Rubro por CUI'!$G$5:$G$454,MATCH("001|2603164",'Rubro por CUI'!$N$5:$N$454,0))</f>
        <v>840279.0</v>
      </c>
      <c r="I235" s="8">
        <f>INDEX('Rubro por CUI'!$H$5:$H$454,MATCH("001|2603164",'Rubro por CUI'!$N$5:$N$454,0))</f>
        <v>0.0</v>
      </c>
      <c r="J235" s="8">
        <f>INDEX('Rubro por CUI'!$I$5:$I$454,MATCH("001|2603164",'Rubro por CUI'!$N$5:$N$454,0))</f>
        <v>0.0</v>
      </c>
      <c r="K235" s="8">
        <f>L235-SUM(F235:J235)</f>
        <v>0.0</v>
      </c>
      <c r="L235" s="8">
        <f>SUMIFS(Base!$N$5:$N$504,Base!$A$5:$A$504,"001",Base!$F$5:$F$504,"2603164")</f>
        <v>840279.0</v>
      </c>
      <c r="M235" s="8">
        <f>D235-E235-L235</f>
        <v>137943473.0</v>
      </c>
      <c r="N235" s="7" t="s">
        <v>89</v>
      </c>
    </row>
    <row r="236" spans="1:14">
      <c r="A236" s="28">
        <v>228</v>
      </c>
      <c r="B236" s="28" t="s">
        <v>2023</v>
      </c>
      <c r="C236" s="7" t="s">
        <v>1040</v>
      </c>
      <c r="D236" s="33">
        <v>34924298</v>
      </c>
      <c r="E236" s="33">
        <v>79568</v>
      </c>
      <c r="F236" s="8">
        <f>INDEX('Rubro por CUI'!$E$5:$E$454,MATCH("001|2661660",'Rubro por CUI'!$N$5:$N$454,0))</f>
        <v>0.0</v>
      </c>
      <c r="G236" s="8">
        <f>INDEX('Rubro por CUI'!$F$5:$F$454,MATCH("001|2661660",'Rubro por CUI'!$N$5:$N$454,0))</f>
        <v>0.0</v>
      </c>
      <c r="H236" s="8">
        <f>INDEX('Rubro por CUI'!$G$5:$G$454,MATCH("001|2661660",'Rubro por CUI'!$N$5:$N$454,0))</f>
        <v>703231.0</v>
      </c>
      <c r="I236" s="8">
        <f>INDEX('Rubro por CUI'!$H$5:$H$454,MATCH("001|2661660",'Rubro por CUI'!$N$5:$N$454,0))</f>
        <v>0.0</v>
      </c>
      <c r="J236" s="8">
        <f>INDEX('Rubro por CUI'!$I$5:$I$454,MATCH("001|2661660",'Rubro por CUI'!$N$5:$N$454,0))</f>
        <v>0.0</v>
      </c>
      <c r="K236" s="8">
        <f>L236-SUM(F236:J236)</f>
        <v>0.0</v>
      </c>
      <c r="L236" s="8">
        <f>SUMIFS(Base!$N$5:$N$504,Base!$A$5:$A$504,"001",Base!$F$5:$F$504,"2661660")</f>
        <v>703231.0</v>
      </c>
      <c r="M236" s="8">
        <f>D236-E236-L236</f>
        <v>34141499.0</v>
      </c>
      <c r="N236" s="7" t="s">
        <v>89</v>
      </c>
    </row>
    <row r="237" spans="1:14">
      <c r="A237" s="28">
        <v>229</v>
      </c>
      <c r="B237" s="28" t="s">
        <v>2024</v>
      </c>
      <c r="C237" s="7" t="s">
        <v>691</v>
      </c>
      <c r="D237" s="33">
        <v>36504822</v>
      </c>
      <c r="E237" s="33">
        <v>267638</v>
      </c>
      <c r="F237" s="8">
        <f>INDEX('Rubro por CUI'!$E$5:$E$454,MATCH("001|2669470",'Rubro por CUI'!$N$5:$N$454,0))</f>
        <v>0.0</v>
      </c>
      <c r="G237" s="8">
        <f>INDEX('Rubro por CUI'!$F$5:$F$454,MATCH("001|2669470",'Rubro por CUI'!$N$5:$N$454,0))</f>
        <v>0.0</v>
      </c>
      <c r="H237" s="8">
        <f>INDEX('Rubro por CUI'!$G$5:$G$454,MATCH("001|2669470",'Rubro por CUI'!$N$5:$N$454,0))</f>
        <v>680000.0</v>
      </c>
      <c r="I237" s="8">
        <f>INDEX('Rubro por CUI'!$H$5:$H$454,MATCH("001|2669470",'Rubro por CUI'!$N$5:$N$454,0))</f>
        <v>0.0</v>
      </c>
      <c r="J237" s="8">
        <f>INDEX('Rubro por CUI'!$I$5:$I$454,MATCH("001|2669470",'Rubro por CUI'!$N$5:$N$454,0))</f>
        <v>0.0</v>
      </c>
      <c r="K237" s="8">
        <f>L237-SUM(F237:J237)</f>
        <v>0.0</v>
      </c>
      <c r="L237" s="8">
        <f>SUMIFS(Base!$N$5:$N$504,Base!$A$5:$A$504,"001",Base!$F$5:$F$504,"2669470")</f>
        <v>680000.0</v>
      </c>
      <c r="M237" s="8">
        <f>D237-E237-L237</f>
        <v>35557184.0</v>
      </c>
      <c r="N237" s="7" t="s">
        <v>89</v>
      </c>
    </row>
    <row r="238" spans="1:14">
      <c r="A238" s="28">
        <v>230</v>
      </c>
      <c r="B238" s="28" t="s">
        <v>2025</v>
      </c>
      <c r="C238" s="7" t="s">
        <v>976</v>
      </c>
      <c r="D238" s="33">
        <v>29067869</v>
      </c>
      <c r="E238" s="33">
        <v>746435</v>
      </c>
      <c r="F238" s="8">
        <f>INDEX('Rubro por CUI'!$E$5:$E$454,MATCH("001|2603281",'Rubro por CUI'!$N$5:$N$454,0))</f>
        <v>0.0</v>
      </c>
      <c r="G238" s="8">
        <f>INDEX('Rubro por CUI'!$F$5:$F$454,MATCH("001|2603281",'Rubro por CUI'!$N$5:$N$454,0))</f>
        <v>0.0</v>
      </c>
      <c r="H238" s="8">
        <f>INDEX('Rubro por CUI'!$G$5:$G$454,MATCH("001|2603281",'Rubro por CUI'!$N$5:$N$454,0))</f>
        <v>674368.0</v>
      </c>
      <c r="I238" s="8">
        <f>INDEX('Rubro por CUI'!$H$5:$H$454,MATCH("001|2603281",'Rubro por CUI'!$N$5:$N$454,0))</f>
        <v>0.0</v>
      </c>
      <c r="J238" s="8">
        <f>INDEX('Rubro por CUI'!$I$5:$I$454,MATCH("001|2603281",'Rubro por CUI'!$N$5:$N$454,0))</f>
        <v>0.0</v>
      </c>
      <c r="K238" s="8">
        <f>L238-SUM(F238:J238)</f>
        <v>0.0</v>
      </c>
      <c r="L238" s="8">
        <f>SUMIFS(Base!$N$5:$N$504,Base!$A$5:$A$504,"001",Base!$F$5:$F$504,"2603281")</f>
        <v>674368.0</v>
      </c>
      <c r="M238" s="8">
        <f>D238-E238-L238</f>
        <v>27647066.0</v>
      </c>
      <c r="N238" s="7" t="s">
        <v>89</v>
      </c>
    </row>
    <row r="239" spans="1:14">
      <c r="A239" s="28">
        <v>231</v>
      </c>
      <c r="B239" s="28" t="s">
        <v>2026</v>
      </c>
      <c r="C239" s="7" t="s">
        <v>700</v>
      </c>
      <c r="D239" s="33">
        <v>52972505</v>
      </c>
      <c r="E239" s="33">
        <v>74702</v>
      </c>
      <c r="F239" s="8">
        <f>INDEX('Rubro por CUI'!$E$5:$E$454,MATCH("001|2654204",'Rubro por CUI'!$N$5:$N$454,0))</f>
        <v>0.0</v>
      </c>
      <c r="G239" s="8">
        <f>INDEX('Rubro por CUI'!$F$5:$F$454,MATCH("001|2654204",'Rubro por CUI'!$N$5:$N$454,0))</f>
        <v>0.0</v>
      </c>
      <c r="H239" s="8">
        <f>INDEX('Rubro por CUI'!$G$5:$G$454,MATCH("001|2654204",'Rubro por CUI'!$N$5:$N$454,0))</f>
        <v>654463.0</v>
      </c>
      <c r="I239" s="8">
        <f>INDEX('Rubro por CUI'!$H$5:$H$454,MATCH("001|2654204",'Rubro por CUI'!$N$5:$N$454,0))</f>
        <v>0.0</v>
      </c>
      <c r="J239" s="8">
        <f>INDEX('Rubro por CUI'!$I$5:$I$454,MATCH("001|2654204",'Rubro por CUI'!$N$5:$N$454,0))</f>
        <v>0.0</v>
      </c>
      <c r="K239" s="8">
        <f>L239-SUM(F239:J239)</f>
        <v>0.0</v>
      </c>
      <c r="L239" s="8">
        <f>SUMIFS(Base!$N$5:$N$504,Base!$A$5:$A$504,"001",Base!$F$5:$F$504,"2654204")</f>
        <v>654463.0</v>
      </c>
      <c r="M239" s="8">
        <f>D239-E239-L239</f>
        <v>52243340.0</v>
      </c>
      <c r="N239" s="7" t="s">
        <v>89</v>
      </c>
    </row>
    <row r="240" spans="1:14">
      <c r="A240" s="28">
        <v>232</v>
      </c>
      <c r="B240" s="28" t="s">
        <v>2027</v>
      </c>
      <c r="C240" s="7" t="s">
        <v>1009</v>
      </c>
      <c r="D240" s="33">
        <v>24307396</v>
      </c>
      <c r="E240" s="33">
        <v>106164</v>
      </c>
      <c r="F240" s="8">
        <f>INDEX('Rubro por CUI'!$E$5:$E$454,MATCH("001|2654509",'Rubro por CUI'!$N$5:$N$454,0))</f>
        <v>0.0</v>
      </c>
      <c r="G240" s="8">
        <f>INDEX('Rubro por CUI'!$F$5:$F$454,MATCH("001|2654509",'Rubro por CUI'!$N$5:$N$454,0))</f>
        <v>0.0</v>
      </c>
      <c r="H240" s="8">
        <f>INDEX('Rubro por CUI'!$G$5:$G$454,MATCH("001|2654509",'Rubro por CUI'!$N$5:$N$454,0))</f>
        <v>601668.0</v>
      </c>
      <c r="I240" s="8">
        <f>INDEX('Rubro por CUI'!$H$5:$H$454,MATCH("001|2654509",'Rubro por CUI'!$N$5:$N$454,0))</f>
        <v>0.0</v>
      </c>
      <c r="J240" s="8">
        <f>INDEX('Rubro por CUI'!$I$5:$I$454,MATCH("001|2654509",'Rubro por CUI'!$N$5:$N$454,0))</f>
        <v>0.0</v>
      </c>
      <c r="K240" s="8">
        <f>L240-SUM(F240:J240)</f>
        <v>0.0</v>
      </c>
      <c r="L240" s="8">
        <f>SUMIFS(Base!$N$5:$N$504,Base!$A$5:$A$504,"001",Base!$F$5:$F$504,"2654509")</f>
        <v>601668.0</v>
      </c>
      <c r="M240" s="8">
        <f>D240-E240-L240</f>
        <v>23599564.0</v>
      </c>
      <c r="N240" s="7" t="s">
        <v>89</v>
      </c>
    </row>
    <row r="241" spans="1:14">
      <c r="A241" s="28">
        <v>233</v>
      </c>
      <c r="B241" s="28" t="s">
        <v>2028</v>
      </c>
      <c r="C241" s="7" t="s">
        <v>495</v>
      </c>
      <c r="D241" s="7" t="s">
        <v>99</v>
      </c>
      <c r="E241" s="7" t="s">
        <v>99</v>
      </c>
      <c r="F241" s="8">
        <f>INDEX('Rubro por CUI'!$E$5:$E$454,MATCH("001|2519621",'Rubro por CUI'!$N$5:$N$454,0))</f>
        <v>0.0</v>
      </c>
      <c r="G241" s="8">
        <f>INDEX('Rubro por CUI'!$F$5:$F$454,MATCH("001|2519621",'Rubro por CUI'!$N$5:$N$454,0))</f>
        <v>0.0</v>
      </c>
      <c r="H241" s="8">
        <f>INDEX('Rubro por CUI'!$G$5:$G$454,MATCH("001|2519621",'Rubro por CUI'!$N$5:$N$454,0))</f>
        <v>565870.0</v>
      </c>
      <c r="I241" s="8">
        <f>INDEX('Rubro por CUI'!$H$5:$H$454,MATCH("001|2519621",'Rubro por CUI'!$N$5:$N$454,0))</f>
        <v>0.0</v>
      </c>
      <c r="J241" s="8">
        <f>INDEX('Rubro por CUI'!$I$5:$I$454,MATCH("001|2519621",'Rubro por CUI'!$N$5:$N$454,0))</f>
        <v>0.0</v>
      </c>
      <c r="K241" s="8">
        <f>L241-SUM(F241:J241)</f>
        <v>0.0</v>
      </c>
      <c r="L241" s="8">
        <f>SUMIFS(Base!$N$5:$N$504,Base!$A$5:$A$504,"001",Base!$F$5:$F$504,"2519621")</f>
        <v>565870.0</v>
      </c>
      <c r="M241" s="7" t="s">
        <v>99</v>
      </c>
      <c r="N241" s="7" t="s">
        <v>1796</v>
      </c>
    </row>
    <row r="242" spans="1:14">
      <c r="A242" s="28">
        <v>234</v>
      </c>
      <c r="B242" s="28" t="s">
        <v>2029</v>
      </c>
      <c r="C242" s="7" t="s">
        <v>671</v>
      </c>
      <c r="D242" s="33">
        <v>31640258</v>
      </c>
      <c r="E242" s="33">
        <v>0</v>
      </c>
      <c r="F242" s="8">
        <f>INDEX('Rubro por CUI'!$E$5:$E$454,MATCH("001|2710291",'Rubro por CUI'!$N$5:$N$454,0))</f>
        <v>213376.0</v>
      </c>
      <c r="G242" s="8">
        <f>INDEX('Rubro por CUI'!$F$5:$F$454,MATCH("001|2710291",'Rubro por CUI'!$N$5:$N$454,0))</f>
        <v>0.0</v>
      </c>
      <c r="H242" s="8">
        <f>INDEX('Rubro por CUI'!$G$5:$G$454,MATCH("001|2710291",'Rubro por CUI'!$N$5:$N$454,0))</f>
        <v>350000.0</v>
      </c>
      <c r="I242" s="8">
        <f>INDEX('Rubro por CUI'!$H$5:$H$454,MATCH("001|2710291",'Rubro por CUI'!$N$5:$N$454,0))</f>
        <v>0.0</v>
      </c>
      <c r="J242" s="8">
        <f>INDEX('Rubro por CUI'!$I$5:$I$454,MATCH("001|2710291",'Rubro por CUI'!$N$5:$N$454,0))</f>
        <v>0.0</v>
      </c>
      <c r="K242" s="8">
        <f>L242-SUM(F242:J242)</f>
        <v>0.0</v>
      </c>
      <c r="L242" s="8">
        <f>SUMIFS(Base!$N$5:$N$504,Base!$A$5:$A$504,"001",Base!$F$5:$F$504,"2710291")</f>
        <v>563376.0</v>
      </c>
      <c r="M242" s="8">
        <f>D242-E242-L242</f>
        <v>31076882.0</v>
      </c>
      <c r="N242" s="7" t="s">
        <v>89</v>
      </c>
    </row>
    <row r="243" spans="1:14">
      <c r="A243" s="28">
        <v>235</v>
      </c>
      <c r="B243" s="28" t="s">
        <v>2030</v>
      </c>
      <c r="C243" s="7" t="s">
        <v>979</v>
      </c>
      <c r="D243" s="33">
        <v>94830406</v>
      </c>
      <c r="E243" s="33">
        <v>719754</v>
      </c>
      <c r="F243" s="8">
        <f>INDEX('Rubro por CUI'!$E$5:$E$454,MATCH("001|2607527",'Rubro por CUI'!$N$5:$N$454,0))</f>
        <v>0.0</v>
      </c>
      <c r="G243" s="8">
        <f>INDEX('Rubro por CUI'!$F$5:$F$454,MATCH("001|2607527",'Rubro por CUI'!$N$5:$N$454,0))</f>
        <v>0.0</v>
      </c>
      <c r="H243" s="8">
        <f>INDEX('Rubro por CUI'!$G$5:$G$454,MATCH("001|2607527",'Rubro por CUI'!$N$5:$N$454,0))</f>
        <v>520686.0</v>
      </c>
      <c r="I243" s="8">
        <f>INDEX('Rubro por CUI'!$H$5:$H$454,MATCH("001|2607527",'Rubro por CUI'!$N$5:$N$454,0))</f>
        <v>0.0</v>
      </c>
      <c r="J243" s="8">
        <f>INDEX('Rubro por CUI'!$I$5:$I$454,MATCH("001|2607527",'Rubro por CUI'!$N$5:$N$454,0))</f>
        <v>0.0</v>
      </c>
      <c r="K243" s="8">
        <f>L243-SUM(F243:J243)</f>
        <v>0.0</v>
      </c>
      <c r="L243" s="8">
        <f>SUMIFS(Base!$N$5:$N$504,Base!$A$5:$A$504,"001",Base!$F$5:$F$504,"2607527")</f>
        <v>520686.0</v>
      </c>
      <c r="M243" s="8">
        <f>D243-E243-L243</f>
        <v>93589966.0</v>
      </c>
      <c r="N243" s="7" t="s">
        <v>89</v>
      </c>
    </row>
    <row r="244" spans="1:14">
      <c r="A244" s="28">
        <v>236</v>
      </c>
      <c r="B244" s="28" t="s">
        <v>2031</v>
      </c>
      <c r="C244" s="7" t="s">
        <v>694</v>
      </c>
      <c r="D244" s="33">
        <v>16389780</v>
      </c>
      <c r="E244" s="33">
        <v>66355</v>
      </c>
      <c r="F244" s="8">
        <f>INDEX('Rubro por CUI'!$E$5:$E$454,MATCH("001|2681096",'Rubro por CUI'!$N$5:$N$454,0))</f>
        <v>0.0</v>
      </c>
      <c r="G244" s="8">
        <f>INDEX('Rubro por CUI'!$F$5:$F$454,MATCH("001|2681096",'Rubro por CUI'!$N$5:$N$454,0))</f>
        <v>0.0</v>
      </c>
      <c r="H244" s="8">
        <f>INDEX('Rubro por CUI'!$G$5:$G$454,MATCH("001|2681096",'Rubro por CUI'!$N$5:$N$454,0))</f>
        <v>519111.0</v>
      </c>
      <c r="I244" s="8">
        <f>INDEX('Rubro por CUI'!$H$5:$H$454,MATCH("001|2681096",'Rubro por CUI'!$N$5:$N$454,0))</f>
        <v>0.0</v>
      </c>
      <c r="J244" s="8">
        <f>INDEX('Rubro por CUI'!$I$5:$I$454,MATCH("001|2681096",'Rubro por CUI'!$N$5:$N$454,0))</f>
        <v>0.0</v>
      </c>
      <c r="K244" s="8">
        <f>L244-SUM(F244:J244)</f>
        <v>0.0</v>
      </c>
      <c r="L244" s="8">
        <f>SUMIFS(Base!$N$5:$N$504,Base!$A$5:$A$504,"001",Base!$F$5:$F$504,"2681096")</f>
        <v>519111.0</v>
      </c>
      <c r="M244" s="8">
        <f>D244-E244-L244</f>
        <v>15804314.0</v>
      </c>
      <c r="N244" s="7" t="s">
        <v>89</v>
      </c>
    </row>
    <row r="245" spans="1:14">
      <c r="A245" s="28">
        <v>237</v>
      </c>
      <c r="B245" s="28" t="s">
        <v>2032</v>
      </c>
      <c r="C245" s="7" t="s">
        <v>1003</v>
      </c>
      <c r="D245" s="33">
        <v>17986705</v>
      </c>
      <c r="E245" s="33">
        <v>335048</v>
      </c>
      <c r="F245" s="8">
        <f>INDEX('Rubro por CUI'!$E$5:$E$454,MATCH("001|2653737",'Rubro por CUI'!$N$5:$N$454,0))</f>
        <v>0.0</v>
      </c>
      <c r="G245" s="8">
        <f>INDEX('Rubro por CUI'!$F$5:$F$454,MATCH("001|2653737",'Rubro por CUI'!$N$5:$N$454,0))</f>
        <v>0.0</v>
      </c>
      <c r="H245" s="8">
        <f>INDEX('Rubro por CUI'!$G$5:$G$454,MATCH("001|2653737",'Rubro por CUI'!$N$5:$N$454,0))</f>
        <v>490000.0</v>
      </c>
      <c r="I245" s="8">
        <f>INDEX('Rubro por CUI'!$H$5:$H$454,MATCH("001|2653737",'Rubro por CUI'!$N$5:$N$454,0))</f>
        <v>0.0</v>
      </c>
      <c r="J245" s="8">
        <f>INDEX('Rubro por CUI'!$I$5:$I$454,MATCH("001|2653737",'Rubro por CUI'!$N$5:$N$454,0))</f>
        <v>0.0</v>
      </c>
      <c r="K245" s="8">
        <f>L245-SUM(F245:J245)</f>
        <v>0.0</v>
      </c>
      <c r="L245" s="8">
        <f>SUMIFS(Base!$N$5:$N$504,Base!$A$5:$A$504,"001",Base!$F$5:$F$504,"2653737")</f>
        <v>490000.0</v>
      </c>
      <c r="M245" s="8">
        <f>D245-E245-L245</f>
        <v>17161657.0</v>
      </c>
      <c r="N245" s="7" t="s">
        <v>89</v>
      </c>
    </row>
    <row r="246" spans="1:14">
      <c r="A246" s="28">
        <v>238</v>
      </c>
      <c r="B246" s="28" t="s">
        <v>2033</v>
      </c>
      <c r="C246" s="7" t="s">
        <v>668</v>
      </c>
      <c r="D246" s="7" t="s">
        <v>99</v>
      </c>
      <c r="E246" s="7" t="s">
        <v>99</v>
      </c>
      <c r="F246" s="8">
        <f>INDEX('Rubro por CUI'!$E$5:$E$454,MATCH("001|2539948",'Rubro por CUI'!$N$5:$N$454,0))</f>
        <v>0.0</v>
      </c>
      <c r="G246" s="8">
        <f>INDEX('Rubro por CUI'!$F$5:$F$454,MATCH("001|2539948",'Rubro por CUI'!$N$5:$N$454,0))</f>
        <v>0.0</v>
      </c>
      <c r="H246" s="8">
        <f>INDEX('Rubro por CUI'!$G$5:$G$454,MATCH("001|2539948",'Rubro por CUI'!$N$5:$N$454,0))</f>
        <v>412686.0</v>
      </c>
      <c r="I246" s="8">
        <f>INDEX('Rubro por CUI'!$H$5:$H$454,MATCH("001|2539948",'Rubro por CUI'!$N$5:$N$454,0))</f>
        <v>0.0</v>
      </c>
      <c r="J246" s="8">
        <f>INDEX('Rubro por CUI'!$I$5:$I$454,MATCH("001|2539948",'Rubro por CUI'!$N$5:$N$454,0))</f>
        <v>0.0</v>
      </c>
      <c r="K246" s="8">
        <f>L246-SUM(F246:J246)</f>
        <v>0.0</v>
      </c>
      <c r="L246" s="8">
        <f>SUMIFS(Base!$N$5:$N$504,Base!$A$5:$A$504,"001",Base!$F$5:$F$504,"2539948")</f>
        <v>412686.0</v>
      </c>
      <c r="M246" s="7" t="s">
        <v>99</v>
      </c>
      <c r="N246" s="7" t="s">
        <v>1796</v>
      </c>
    </row>
    <row r="247" spans="1:14">
      <c r="A247" s="28">
        <v>239</v>
      </c>
      <c r="B247" s="28" t="s">
        <v>2034</v>
      </c>
      <c r="C247" s="7" t="s">
        <v>676</v>
      </c>
      <c r="D247" s="33">
        <v>15848106</v>
      </c>
      <c r="E247" s="33">
        <v>0</v>
      </c>
      <c r="F247" s="8">
        <f>INDEX('Rubro por CUI'!$E$5:$E$454,MATCH("001|2682870",'Rubro por CUI'!$N$5:$N$454,0))</f>
        <v>0.0</v>
      </c>
      <c r="G247" s="8">
        <f>INDEX('Rubro por CUI'!$F$5:$F$454,MATCH("001|2682870",'Rubro por CUI'!$N$5:$N$454,0))</f>
        <v>0.0</v>
      </c>
      <c r="H247" s="8">
        <f>INDEX('Rubro por CUI'!$G$5:$G$454,MATCH("001|2682870",'Rubro por CUI'!$N$5:$N$454,0))</f>
        <v>400000.0</v>
      </c>
      <c r="I247" s="8">
        <f>INDEX('Rubro por CUI'!$H$5:$H$454,MATCH("001|2682870",'Rubro por CUI'!$N$5:$N$454,0))</f>
        <v>0.0</v>
      </c>
      <c r="J247" s="8">
        <f>INDEX('Rubro por CUI'!$I$5:$I$454,MATCH("001|2682870",'Rubro por CUI'!$N$5:$N$454,0))</f>
        <v>0.0</v>
      </c>
      <c r="K247" s="8">
        <f>L247-SUM(F247:J247)</f>
        <v>0.0</v>
      </c>
      <c r="L247" s="8">
        <f>SUMIFS(Base!$N$5:$N$504,Base!$A$5:$A$504,"001",Base!$F$5:$F$504,"2682870")</f>
        <v>400000.0</v>
      </c>
      <c r="M247" s="8">
        <f>D247-E247-L247</f>
        <v>15448106.0</v>
      </c>
      <c r="N247" s="7" t="s">
        <v>89</v>
      </c>
    </row>
    <row r="248" spans="1:14">
      <c r="A248" s="28">
        <v>240</v>
      </c>
      <c r="B248" s="28" t="s">
        <v>2035</v>
      </c>
      <c r="C248" s="7" t="s">
        <v>964</v>
      </c>
      <c r="D248" s="33">
        <v>28042507</v>
      </c>
      <c r="E248" s="33">
        <v>71753</v>
      </c>
      <c r="F248" s="8">
        <f>INDEX('Rubro por CUI'!$E$5:$E$454,MATCH("001|2585541",'Rubro por CUI'!$N$5:$N$454,0))</f>
        <v>0.0</v>
      </c>
      <c r="G248" s="8">
        <f>INDEX('Rubro por CUI'!$F$5:$F$454,MATCH("001|2585541",'Rubro por CUI'!$N$5:$N$454,0))</f>
        <v>0.0</v>
      </c>
      <c r="H248" s="8">
        <f>INDEX('Rubro por CUI'!$G$5:$G$454,MATCH("001|2585541",'Rubro por CUI'!$N$5:$N$454,0))</f>
        <v>391951.0</v>
      </c>
      <c r="I248" s="8">
        <f>INDEX('Rubro por CUI'!$H$5:$H$454,MATCH("001|2585541",'Rubro por CUI'!$N$5:$N$454,0))</f>
        <v>0.0</v>
      </c>
      <c r="J248" s="8">
        <f>INDEX('Rubro por CUI'!$I$5:$I$454,MATCH("001|2585541",'Rubro por CUI'!$N$5:$N$454,0))</f>
        <v>0.0</v>
      </c>
      <c r="K248" s="8">
        <f>L248-SUM(F248:J248)</f>
        <v>0.0</v>
      </c>
      <c r="L248" s="8">
        <f>SUMIFS(Base!$N$5:$N$504,Base!$A$5:$A$504,"001",Base!$F$5:$F$504,"2585541")</f>
        <v>391951.0</v>
      </c>
      <c r="M248" s="8">
        <f>D248-E248-L248</f>
        <v>27578803.0</v>
      </c>
      <c r="N248" s="7" t="s">
        <v>89</v>
      </c>
    </row>
    <row r="249" spans="1:14">
      <c r="A249" s="28">
        <v>241</v>
      </c>
      <c r="B249" s="28" t="s">
        <v>2036</v>
      </c>
      <c r="C249" s="7" t="s">
        <v>1034</v>
      </c>
      <c r="D249" s="33">
        <v>88508682</v>
      </c>
      <c r="E249" s="33">
        <v>0</v>
      </c>
      <c r="F249" s="8">
        <f>INDEX('Rubro por CUI'!$E$5:$E$454,MATCH("001|2657953",'Rubro por CUI'!$N$5:$N$454,0))</f>
        <v>0.0</v>
      </c>
      <c r="G249" s="8">
        <f>INDEX('Rubro por CUI'!$F$5:$F$454,MATCH("001|2657953",'Rubro por CUI'!$N$5:$N$454,0))</f>
        <v>0.0</v>
      </c>
      <c r="H249" s="8">
        <f>INDEX('Rubro por CUI'!$G$5:$G$454,MATCH("001|2657953",'Rubro por CUI'!$N$5:$N$454,0))</f>
        <v>390297.0</v>
      </c>
      <c r="I249" s="8">
        <f>INDEX('Rubro por CUI'!$H$5:$H$454,MATCH("001|2657953",'Rubro por CUI'!$N$5:$N$454,0))</f>
        <v>0.0</v>
      </c>
      <c r="J249" s="8">
        <f>INDEX('Rubro por CUI'!$I$5:$I$454,MATCH("001|2657953",'Rubro por CUI'!$N$5:$N$454,0))</f>
        <v>0.0</v>
      </c>
      <c r="K249" s="8">
        <f>L249-SUM(F249:J249)</f>
        <v>0.0</v>
      </c>
      <c r="L249" s="8">
        <f>SUMIFS(Base!$N$5:$N$504,Base!$A$5:$A$504,"001",Base!$F$5:$F$504,"2657953")</f>
        <v>390297.0</v>
      </c>
      <c r="M249" s="8">
        <f>D249-E249-L249</f>
        <v>88118385.0</v>
      </c>
      <c r="N249" s="7" t="s">
        <v>89</v>
      </c>
    </row>
    <row r="250" spans="1:14">
      <c r="A250" s="28">
        <v>242</v>
      </c>
      <c r="B250" s="28" t="s">
        <v>2037</v>
      </c>
      <c r="C250" s="7" t="s">
        <v>679</v>
      </c>
      <c r="D250" s="33">
        <v>11960804</v>
      </c>
      <c r="E250" s="33">
        <v>0</v>
      </c>
      <c r="F250" s="8">
        <f>INDEX('Rubro por CUI'!$E$5:$E$454,MATCH("001|2681092",'Rubro por CUI'!$N$5:$N$454,0))</f>
        <v>0.0</v>
      </c>
      <c r="G250" s="8">
        <f>INDEX('Rubro por CUI'!$F$5:$F$454,MATCH("001|2681092",'Rubro por CUI'!$N$5:$N$454,0))</f>
        <v>0.0</v>
      </c>
      <c r="H250" s="8">
        <f>INDEX('Rubro por CUI'!$G$5:$G$454,MATCH("001|2681092",'Rubro por CUI'!$N$5:$N$454,0))</f>
        <v>386035.0</v>
      </c>
      <c r="I250" s="8">
        <f>INDEX('Rubro por CUI'!$H$5:$H$454,MATCH("001|2681092",'Rubro por CUI'!$N$5:$N$454,0))</f>
        <v>0.0</v>
      </c>
      <c r="J250" s="8">
        <f>INDEX('Rubro por CUI'!$I$5:$I$454,MATCH("001|2681092",'Rubro por CUI'!$N$5:$N$454,0))</f>
        <v>0.0</v>
      </c>
      <c r="K250" s="8">
        <f>L250-SUM(F250:J250)</f>
        <v>0.0</v>
      </c>
      <c r="L250" s="8">
        <f>SUMIFS(Base!$N$5:$N$504,Base!$A$5:$A$504,"001",Base!$F$5:$F$504,"2681092")</f>
        <v>386035.0</v>
      </c>
      <c r="M250" s="8">
        <f>D250-E250-L250</f>
        <v>11574769.0</v>
      </c>
      <c r="N250" s="7" t="s">
        <v>89</v>
      </c>
    </row>
    <row r="251" spans="1:14">
      <c r="A251" s="28">
        <v>243</v>
      </c>
      <c r="B251" s="28" t="s">
        <v>2038</v>
      </c>
      <c r="C251" s="7" t="s">
        <v>941</v>
      </c>
      <c r="D251" s="33">
        <v>19875746</v>
      </c>
      <c r="E251" s="33">
        <v>1374454</v>
      </c>
      <c r="F251" s="8">
        <f>INDEX('Rubro por CUI'!$E$5:$E$454,MATCH("001|2159836",'Rubro por CUI'!$N$5:$N$454,0))</f>
        <v>0.0</v>
      </c>
      <c r="G251" s="8">
        <f>INDEX('Rubro por CUI'!$F$5:$F$454,MATCH("001|2159836",'Rubro por CUI'!$N$5:$N$454,0))</f>
        <v>0.0</v>
      </c>
      <c r="H251" s="8">
        <f>INDEX('Rubro por CUI'!$G$5:$G$454,MATCH("001|2159836",'Rubro por CUI'!$N$5:$N$454,0))</f>
        <v>350198.0</v>
      </c>
      <c r="I251" s="8">
        <f>INDEX('Rubro por CUI'!$H$5:$H$454,MATCH("001|2159836",'Rubro por CUI'!$N$5:$N$454,0))</f>
        <v>0.0</v>
      </c>
      <c r="J251" s="8">
        <f>INDEX('Rubro por CUI'!$I$5:$I$454,MATCH("001|2159836",'Rubro por CUI'!$N$5:$N$454,0))</f>
        <v>0.0</v>
      </c>
      <c r="K251" s="8">
        <f>L251-SUM(F251:J251)</f>
        <v>0.0</v>
      </c>
      <c r="L251" s="8">
        <f>SUMIFS(Base!$N$5:$N$504,Base!$A$5:$A$504,"001",Base!$F$5:$F$504,"2159836")</f>
        <v>350198.0</v>
      </c>
      <c r="M251" s="8">
        <f>D251-E251-L251</f>
        <v>18151094.0</v>
      </c>
      <c r="N251" s="7" t="s">
        <v>89</v>
      </c>
    </row>
    <row r="252" spans="1:14">
      <c r="A252" s="28">
        <v>244</v>
      </c>
      <c r="B252" s="28" t="s">
        <v>2039</v>
      </c>
      <c r="C252" s="7" t="s">
        <v>988</v>
      </c>
      <c r="D252" s="33">
        <v>12832745</v>
      </c>
      <c r="E252" s="33">
        <v>349566</v>
      </c>
      <c r="F252" s="8">
        <f>INDEX('Rubro por CUI'!$E$5:$E$454,MATCH("001|2646859",'Rubro por CUI'!$N$5:$N$454,0))</f>
        <v>0.0</v>
      </c>
      <c r="G252" s="8">
        <f>INDEX('Rubro por CUI'!$F$5:$F$454,MATCH("001|2646859",'Rubro por CUI'!$N$5:$N$454,0))</f>
        <v>0.0</v>
      </c>
      <c r="H252" s="8">
        <f>INDEX('Rubro por CUI'!$G$5:$G$454,MATCH("001|2646859",'Rubro por CUI'!$N$5:$N$454,0))</f>
        <v>349206.0</v>
      </c>
      <c r="I252" s="8">
        <f>INDEX('Rubro por CUI'!$H$5:$H$454,MATCH("001|2646859",'Rubro por CUI'!$N$5:$N$454,0))</f>
        <v>0.0</v>
      </c>
      <c r="J252" s="8">
        <f>INDEX('Rubro por CUI'!$I$5:$I$454,MATCH("001|2646859",'Rubro por CUI'!$N$5:$N$454,0))</f>
        <v>0.0</v>
      </c>
      <c r="K252" s="8">
        <f>L252-SUM(F252:J252)</f>
        <v>0.0</v>
      </c>
      <c r="L252" s="8">
        <f>SUMIFS(Base!$N$5:$N$504,Base!$A$5:$A$504,"001",Base!$F$5:$F$504,"2646859")</f>
        <v>349206.0</v>
      </c>
      <c r="M252" s="8">
        <f>D252-E252-L252</f>
        <v>12133973.0</v>
      </c>
      <c r="N252" s="7" t="s">
        <v>89</v>
      </c>
    </row>
    <row r="253" spans="1:14">
      <c r="A253" s="28">
        <v>245</v>
      </c>
      <c r="B253" s="28" t="s">
        <v>2040</v>
      </c>
      <c r="C253" s="7" t="s">
        <v>1025</v>
      </c>
      <c r="D253" s="33">
        <v>30472246</v>
      </c>
      <c r="E253" s="33">
        <v>280661</v>
      </c>
      <c r="F253" s="8">
        <f>INDEX('Rubro por CUI'!$E$5:$E$454,MATCH("001|2657159",'Rubro por CUI'!$N$5:$N$454,0))</f>
        <v>0.0</v>
      </c>
      <c r="G253" s="8">
        <f>INDEX('Rubro por CUI'!$F$5:$F$454,MATCH("001|2657159",'Rubro por CUI'!$N$5:$N$454,0))</f>
        <v>0.0</v>
      </c>
      <c r="H253" s="8">
        <f>INDEX('Rubro por CUI'!$G$5:$G$454,MATCH("001|2657159",'Rubro por CUI'!$N$5:$N$454,0))</f>
        <v>330710.0</v>
      </c>
      <c r="I253" s="8">
        <f>INDEX('Rubro por CUI'!$H$5:$H$454,MATCH("001|2657159",'Rubro por CUI'!$N$5:$N$454,0))</f>
        <v>0.0</v>
      </c>
      <c r="J253" s="8">
        <f>INDEX('Rubro por CUI'!$I$5:$I$454,MATCH("001|2657159",'Rubro por CUI'!$N$5:$N$454,0))</f>
        <v>0.0</v>
      </c>
      <c r="K253" s="8">
        <f>L253-SUM(F253:J253)</f>
        <v>0.0</v>
      </c>
      <c r="L253" s="8">
        <f>SUMIFS(Base!$N$5:$N$504,Base!$A$5:$A$504,"001",Base!$F$5:$F$504,"2657159")</f>
        <v>330710.0</v>
      </c>
      <c r="M253" s="8">
        <f>D253-E253-L253</f>
        <v>29860875.0</v>
      </c>
      <c r="N253" s="7" t="s">
        <v>89</v>
      </c>
    </row>
    <row r="254" spans="1:14">
      <c r="A254" s="28">
        <v>246</v>
      </c>
      <c r="B254" s="28" t="s">
        <v>2041</v>
      </c>
      <c r="C254" s="7" t="s">
        <v>982</v>
      </c>
      <c r="D254" s="33">
        <v>288513857</v>
      </c>
      <c r="E254" s="33">
        <v>1411803</v>
      </c>
      <c r="F254" s="8">
        <f>INDEX('Rubro por CUI'!$E$5:$E$454,MATCH("001|2614553",'Rubro por CUI'!$N$5:$N$454,0))</f>
        <v>0.0</v>
      </c>
      <c r="G254" s="8">
        <f>INDEX('Rubro por CUI'!$F$5:$F$454,MATCH("001|2614553",'Rubro por CUI'!$N$5:$N$454,0))</f>
        <v>0.0</v>
      </c>
      <c r="H254" s="8">
        <f>INDEX('Rubro por CUI'!$G$5:$G$454,MATCH("001|2614553",'Rubro por CUI'!$N$5:$N$454,0))</f>
        <v>321536.0</v>
      </c>
      <c r="I254" s="8">
        <f>INDEX('Rubro por CUI'!$H$5:$H$454,MATCH("001|2614553",'Rubro por CUI'!$N$5:$N$454,0))</f>
        <v>0.0</v>
      </c>
      <c r="J254" s="8">
        <f>INDEX('Rubro por CUI'!$I$5:$I$454,MATCH("001|2614553",'Rubro por CUI'!$N$5:$N$454,0))</f>
        <v>0.0</v>
      </c>
      <c r="K254" s="8">
        <f>L254-SUM(F254:J254)</f>
        <v>0.0</v>
      </c>
      <c r="L254" s="8">
        <f>SUMIFS(Base!$N$5:$N$504,Base!$A$5:$A$504,"001",Base!$F$5:$F$504,"2614553")</f>
        <v>321536.0</v>
      </c>
      <c r="M254" s="8">
        <f>D254-E254-L254</f>
        <v>286780518.0</v>
      </c>
      <c r="N254" s="7" t="s">
        <v>89</v>
      </c>
    </row>
    <row r="255" spans="1:14">
      <c r="A255" s="28">
        <v>247</v>
      </c>
      <c r="B255" s="28" t="s">
        <v>2042</v>
      </c>
      <c r="C255" s="7" t="s">
        <v>1022</v>
      </c>
      <c r="D255" s="33">
        <v>47156916</v>
      </c>
      <c r="E255" s="33">
        <v>0</v>
      </c>
      <c r="F255" s="8">
        <f>INDEX('Rubro por CUI'!$E$5:$E$454,MATCH("001|2656878",'Rubro por CUI'!$N$5:$N$454,0))</f>
        <v>0.0</v>
      </c>
      <c r="G255" s="8">
        <f>INDEX('Rubro por CUI'!$F$5:$F$454,MATCH("001|2656878",'Rubro por CUI'!$N$5:$N$454,0))</f>
        <v>0.0</v>
      </c>
      <c r="H255" s="8">
        <f>INDEX('Rubro por CUI'!$G$5:$G$454,MATCH("001|2656878",'Rubro por CUI'!$N$5:$N$454,0))</f>
        <v>300000.0</v>
      </c>
      <c r="I255" s="8">
        <f>INDEX('Rubro por CUI'!$H$5:$H$454,MATCH("001|2656878",'Rubro por CUI'!$N$5:$N$454,0))</f>
        <v>0.0</v>
      </c>
      <c r="J255" s="8">
        <f>INDEX('Rubro por CUI'!$I$5:$I$454,MATCH("001|2656878",'Rubro por CUI'!$N$5:$N$454,0))</f>
        <v>0.0</v>
      </c>
      <c r="K255" s="8">
        <f>L255-SUM(F255:J255)</f>
        <v>0.0</v>
      </c>
      <c r="L255" s="8">
        <f>SUMIFS(Base!$N$5:$N$504,Base!$A$5:$A$504,"001",Base!$F$5:$F$504,"2656878")</f>
        <v>300000.0</v>
      </c>
      <c r="M255" s="8">
        <f>D255-E255-L255</f>
        <v>46856916.0</v>
      </c>
      <c r="N255" s="7" t="s">
        <v>89</v>
      </c>
    </row>
    <row r="256" spans="1:14">
      <c r="A256" s="28">
        <v>248</v>
      </c>
      <c r="B256" s="28" t="s">
        <v>2043</v>
      </c>
      <c r="C256" s="7" t="s">
        <v>1031</v>
      </c>
      <c r="D256" s="33">
        <v>12562094</v>
      </c>
      <c r="E256" s="33">
        <v>157401</v>
      </c>
      <c r="F256" s="8">
        <f>INDEX('Rubro por CUI'!$E$5:$E$454,MATCH("001|2657867",'Rubro por CUI'!$N$5:$N$454,0))</f>
        <v>0.0</v>
      </c>
      <c r="G256" s="8">
        <f>INDEX('Rubro por CUI'!$F$5:$F$454,MATCH("001|2657867",'Rubro por CUI'!$N$5:$N$454,0))</f>
        <v>0.0</v>
      </c>
      <c r="H256" s="8">
        <f>INDEX('Rubro por CUI'!$G$5:$G$454,MATCH("001|2657867",'Rubro por CUI'!$N$5:$N$454,0))</f>
        <v>278409.0</v>
      </c>
      <c r="I256" s="8">
        <f>INDEX('Rubro por CUI'!$H$5:$H$454,MATCH("001|2657867",'Rubro por CUI'!$N$5:$N$454,0))</f>
        <v>0.0</v>
      </c>
      <c r="J256" s="8">
        <f>INDEX('Rubro por CUI'!$I$5:$I$454,MATCH("001|2657867",'Rubro por CUI'!$N$5:$N$454,0))</f>
        <v>0.0</v>
      </c>
      <c r="K256" s="8">
        <f>L256-SUM(F256:J256)</f>
        <v>0.0</v>
      </c>
      <c r="L256" s="8">
        <f>SUMIFS(Base!$N$5:$N$504,Base!$A$5:$A$504,"001",Base!$F$5:$F$504,"2657867")</f>
        <v>278409.0</v>
      </c>
      <c r="M256" s="8">
        <f>D256-E256-L256</f>
        <v>12126284.0</v>
      </c>
      <c r="N256" s="7" t="s">
        <v>89</v>
      </c>
    </row>
    <row r="257" spans="1:14">
      <c r="A257" s="28">
        <v>249</v>
      </c>
      <c r="B257" s="28" t="s">
        <v>2044</v>
      </c>
      <c r="C257" s="7" t="s">
        <v>1046</v>
      </c>
      <c r="D257" s="33">
        <v>17425534</v>
      </c>
      <c r="E257" s="33">
        <v>442535</v>
      </c>
      <c r="F257" s="8">
        <f>INDEX('Rubro por CUI'!$E$5:$E$454,MATCH("001|2670620",'Rubro por CUI'!$N$5:$N$454,0))</f>
        <v>0.0</v>
      </c>
      <c r="G257" s="8">
        <f>INDEX('Rubro por CUI'!$F$5:$F$454,MATCH("001|2670620",'Rubro por CUI'!$N$5:$N$454,0))</f>
        <v>0.0</v>
      </c>
      <c r="H257" s="8">
        <f>INDEX('Rubro por CUI'!$G$5:$G$454,MATCH("001|2670620",'Rubro por CUI'!$N$5:$N$454,0))</f>
        <v>275790.0</v>
      </c>
      <c r="I257" s="8">
        <f>INDEX('Rubro por CUI'!$H$5:$H$454,MATCH("001|2670620",'Rubro por CUI'!$N$5:$N$454,0))</f>
        <v>0.0</v>
      </c>
      <c r="J257" s="8">
        <f>INDEX('Rubro por CUI'!$I$5:$I$454,MATCH("001|2670620",'Rubro por CUI'!$N$5:$N$454,0))</f>
        <v>0.0</v>
      </c>
      <c r="K257" s="8">
        <f>L257-SUM(F257:J257)</f>
        <v>0.0</v>
      </c>
      <c r="L257" s="8">
        <f>SUMIFS(Base!$N$5:$N$504,Base!$A$5:$A$504,"001",Base!$F$5:$F$504,"2670620")</f>
        <v>275790.0</v>
      </c>
      <c r="M257" s="8">
        <f>D257-E257-L257</f>
        <v>16707209.0</v>
      </c>
      <c r="N257" s="7" t="s">
        <v>89</v>
      </c>
    </row>
    <row r="258" spans="1:14">
      <c r="A258" s="28">
        <v>250</v>
      </c>
      <c r="B258" s="28" t="s">
        <v>2045</v>
      </c>
      <c r="C258" s="7" t="s">
        <v>1049</v>
      </c>
      <c r="D258" s="33">
        <v>7946142</v>
      </c>
      <c r="E258" s="33">
        <v>26649</v>
      </c>
      <c r="F258" s="8">
        <f>INDEX('Rubro por CUI'!$E$5:$E$454,MATCH("001|2673441",'Rubro por CUI'!$N$5:$N$454,0))</f>
        <v>0.0</v>
      </c>
      <c r="G258" s="8">
        <f>INDEX('Rubro por CUI'!$F$5:$F$454,MATCH("001|2673441",'Rubro por CUI'!$N$5:$N$454,0))</f>
        <v>0.0</v>
      </c>
      <c r="H258" s="8">
        <f>INDEX('Rubro por CUI'!$G$5:$G$454,MATCH("001|2673441",'Rubro por CUI'!$N$5:$N$454,0))</f>
        <v>255799.0</v>
      </c>
      <c r="I258" s="8">
        <f>INDEX('Rubro por CUI'!$H$5:$H$454,MATCH("001|2673441",'Rubro por CUI'!$N$5:$N$454,0))</f>
        <v>0.0</v>
      </c>
      <c r="J258" s="8">
        <f>INDEX('Rubro por CUI'!$I$5:$I$454,MATCH("001|2673441",'Rubro por CUI'!$N$5:$N$454,0))</f>
        <v>0.0</v>
      </c>
      <c r="K258" s="8">
        <f>L258-SUM(F258:J258)</f>
        <v>0.0</v>
      </c>
      <c r="L258" s="8">
        <f>SUMIFS(Base!$N$5:$N$504,Base!$A$5:$A$504,"001",Base!$F$5:$F$504,"2673441")</f>
        <v>255799.0</v>
      </c>
      <c r="M258" s="8">
        <f>D258-E258-L258</f>
        <v>7663694.0</v>
      </c>
      <c r="N258" s="7" t="s">
        <v>89</v>
      </c>
    </row>
    <row r="259" spans="1:14">
      <c r="A259" s="28">
        <v>251</v>
      </c>
      <c r="B259" s="28" t="s">
        <v>2046</v>
      </c>
      <c r="C259" s="7" t="s">
        <v>991</v>
      </c>
      <c r="D259" s="33">
        <v>26304605</v>
      </c>
      <c r="E259" s="33">
        <v>412750</v>
      </c>
      <c r="F259" s="8">
        <f>INDEX('Rubro por CUI'!$E$5:$E$454,MATCH("001|2649221",'Rubro por CUI'!$N$5:$N$454,0))</f>
        <v>0.0</v>
      </c>
      <c r="G259" s="8">
        <f>INDEX('Rubro por CUI'!$F$5:$F$454,MATCH("001|2649221",'Rubro por CUI'!$N$5:$N$454,0))</f>
        <v>0.0</v>
      </c>
      <c r="H259" s="8">
        <f>INDEX('Rubro por CUI'!$G$5:$G$454,MATCH("001|2649221",'Rubro por CUI'!$N$5:$N$454,0))</f>
        <v>239379.0</v>
      </c>
      <c r="I259" s="8">
        <f>INDEX('Rubro por CUI'!$H$5:$H$454,MATCH("001|2649221",'Rubro por CUI'!$N$5:$N$454,0))</f>
        <v>0.0</v>
      </c>
      <c r="J259" s="8">
        <f>INDEX('Rubro por CUI'!$I$5:$I$454,MATCH("001|2649221",'Rubro por CUI'!$N$5:$N$454,0))</f>
        <v>0.0</v>
      </c>
      <c r="K259" s="8">
        <f>L259-SUM(F259:J259)</f>
        <v>0.0</v>
      </c>
      <c r="L259" s="8">
        <f>SUMIFS(Base!$N$5:$N$504,Base!$A$5:$A$504,"001",Base!$F$5:$F$504,"2649221")</f>
        <v>239379.0</v>
      </c>
      <c r="M259" s="8">
        <f>D259-E259-L259</f>
        <v>25652476.0</v>
      </c>
      <c r="N259" s="7" t="s">
        <v>89</v>
      </c>
    </row>
    <row r="260" spans="1:14">
      <c r="A260" s="28">
        <v>252</v>
      </c>
      <c r="B260" s="28" t="s">
        <v>2047</v>
      </c>
      <c r="C260" s="7" t="s">
        <v>985</v>
      </c>
      <c r="D260" s="33">
        <v>40262263</v>
      </c>
      <c r="E260" s="33">
        <v>303847</v>
      </c>
      <c r="F260" s="8">
        <f>INDEX('Rubro por CUI'!$E$5:$E$454,MATCH("001|2645503",'Rubro por CUI'!$N$5:$N$454,0))</f>
        <v>0.0</v>
      </c>
      <c r="G260" s="8">
        <f>INDEX('Rubro por CUI'!$F$5:$F$454,MATCH("001|2645503",'Rubro por CUI'!$N$5:$N$454,0))</f>
        <v>0.0</v>
      </c>
      <c r="H260" s="8">
        <f>INDEX('Rubro por CUI'!$G$5:$G$454,MATCH("001|2645503",'Rubro por CUI'!$N$5:$N$454,0))</f>
        <v>230847.0</v>
      </c>
      <c r="I260" s="8">
        <f>INDEX('Rubro por CUI'!$H$5:$H$454,MATCH("001|2645503",'Rubro por CUI'!$N$5:$N$454,0))</f>
        <v>0.0</v>
      </c>
      <c r="J260" s="8">
        <f>INDEX('Rubro por CUI'!$I$5:$I$454,MATCH("001|2645503",'Rubro por CUI'!$N$5:$N$454,0))</f>
        <v>0.0</v>
      </c>
      <c r="K260" s="8">
        <f>L260-SUM(F260:J260)</f>
        <v>0.0</v>
      </c>
      <c r="L260" s="8">
        <f>SUMIFS(Base!$N$5:$N$504,Base!$A$5:$A$504,"001",Base!$F$5:$F$504,"2645503")</f>
        <v>230847.0</v>
      </c>
      <c r="M260" s="8">
        <f>D260-E260-L260</f>
        <v>39727569.0</v>
      </c>
      <c r="N260" s="7" t="s">
        <v>89</v>
      </c>
    </row>
    <row r="261" spans="1:14">
      <c r="A261" s="28">
        <v>253</v>
      </c>
      <c r="B261" s="28" t="s">
        <v>2048</v>
      </c>
      <c r="C261" s="7" t="s">
        <v>1000</v>
      </c>
      <c r="D261" s="33">
        <v>38867840</v>
      </c>
      <c r="E261" s="33">
        <v>513032</v>
      </c>
      <c r="F261" s="8">
        <f>INDEX('Rubro por CUI'!$E$5:$E$454,MATCH("001|2652984",'Rubro por CUI'!$N$5:$N$454,0))</f>
        <v>0.0</v>
      </c>
      <c r="G261" s="8">
        <f>INDEX('Rubro por CUI'!$F$5:$F$454,MATCH("001|2652984",'Rubro por CUI'!$N$5:$N$454,0))</f>
        <v>0.0</v>
      </c>
      <c r="H261" s="8">
        <f>INDEX('Rubro por CUI'!$G$5:$G$454,MATCH("001|2652984",'Rubro por CUI'!$N$5:$N$454,0))</f>
        <v>230550.0</v>
      </c>
      <c r="I261" s="8">
        <f>INDEX('Rubro por CUI'!$H$5:$H$454,MATCH("001|2652984",'Rubro por CUI'!$N$5:$N$454,0))</f>
        <v>0.0</v>
      </c>
      <c r="J261" s="8">
        <f>INDEX('Rubro por CUI'!$I$5:$I$454,MATCH("001|2652984",'Rubro por CUI'!$N$5:$N$454,0))</f>
        <v>0.0</v>
      </c>
      <c r="K261" s="8">
        <f>L261-SUM(F261:J261)</f>
        <v>0.0</v>
      </c>
      <c r="L261" s="8">
        <f>SUMIFS(Base!$N$5:$N$504,Base!$A$5:$A$504,"001",Base!$F$5:$F$504,"2652984")</f>
        <v>230550.0</v>
      </c>
      <c r="M261" s="8">
        <f>D261-E261-L261</f>
        <v>38124258.0</v>
      </c>
      <c r="N261" s="7" t="s">
        <v>89</v>
      </c>
    </row>
    <row r="262" spans="1:14">
      <c r="A262" s="28">
        <v>254</v>
      </c>
      <c r="B262" s="28" t="s">
        <v>2049</v>
      </c>
      <c r="C262" s="7" t="s">
        <v>687</v>
      </c>
      <c r="D262" s="7" t="s">
        <v>99</v>
      </c>
      <c r="E262" s="7" t="s">
        <v>99</v>
      </c>
      <c r="F262" s="8">
        <f>INDEX('Rubro por CUI'!$E$5:$E$454,MATCH("001|2642160",'Rubro por CUI'!$N$5:$N$454,0))</f>
        <v>0.0</v>
      </c>
      <c r="G262" s="8">
        <f>INDEX('Rubro por CUI'!$F$5:$F$454,MATCH("001|2642160",'Rubro por CUI'!$N$5:$N$454,0))</f>
        <v>0.0</v>
      </c>
      <c r="H262" s="8">
        <f>INDEX('Rubro por CUI'!$G$5:$G$454,MATCH("001|2642160",'Rubro por CUI'!$N$5:$N$454,0))</f>
        <v>225183.0</v>
      </c>
      <c r="I262" s="8">
        <f>INDEX('Rubro por CUI'!$H$5:$H$454,MATCH("001|2642160",'Rubro por CUI'!$N$5:$N$454,0))</f>
        <v>0.0</v>
      </c>
      <c r="J262" s="8">
        <f>INDEX('Rubro por CUI'!$I$5:$I$454,MATCH("001|2642160",'Rubro por CUI'!$N$5:$N$454,0))</f>
        <v>0.0</v>
      </c>
      <c r="K262" s="8">
        <f>L262-SUM(F262:J262)</f>
        <v>0.0</v>
      </c>
      <c r="L262" s="8">
        <f>SUMIFS(Base!$N$5:$N$504,Base!$A$5:$A$504,"001",Base!$F$5:$F$504,"2642160")</f>
        <v>225183.0</v>
      </c>
      <c r="M262" s="7" t="s">
        <v>99</v>
      </c>
      <c r="N262" s="7" t="s">
        <v>1796</v>
      </c>
    </row>
    <row r="263" spans="1:14">
      <c r="A263" s="28">
        <v>255</v>
      </c>
      <c r="B263" s="28" t="s">
        <v>2050</v>
      </c>
      <c r="C263" s="7" t="s">
        <v>1052</v>
      </c>
      <c r="D263" s="33">
        <v>4020418</v>
      </c>
      <c r="E263" s="33">
        <v>24844</v>
      </c>
      <c r="F263" s="8">
        <f>INDEX('Rubro por CUI'!$E$5:$E$454,MATCH("001|2681264",'Rubro por CUI'!$N$5:$N$454,0))</f>
        <v>0.0</v>
      </c>
      <c r="G263" s="8">
        <f>INDEX('Rubro por CUI'!$F$5:$F$454,MATCH("001|2681264",'Rubro por CUI'!$N$5:$N$454,0))</f>
        <v>0.0</v>
      </c>
      <c r="H263" s="8">
        <f>INDEX('Rubro por CUI'!$G$5:$G$454,MATCH("001|2681264",'Rubro por CUI'!$N$5:$N$454,0))</f>
        <v>222962.0</v>
      </c>
      <c r="I263" s="8">
        <f>INDEX('Rubro por CUI'!$H$5:$H$454,MATCH("001|2681264",'Rubro por CUI'!$N$5:$N$454,0))</f>
        <v>0.0</v>
      </c>
      <c r="J263" s="8">
        <f>INDEX('Rubro por CUI'!$I$5:$I$454,MATCH("001|2681264",'Rubro por CUI'!$N$5:$N$454,0))</f>
        <v>0.0</v>
      </c>
      <c r="K263" s="8">
        <f>L263-SUM(F263:J263)</f>
        <v>0.0</v>
      </c>
      <c r="L263" s="8">
        <f>SUMIFS(Base!$N$5:$N$504,Base!$A$5:$A$504,"001",Base!$F$5:$F$504,"2681264")</f>
        <v>222962.0</v>
      </c>
      <c r="M263" s="8">
        <f>D263-E263-L263</f>
        <v>3772612.0</v>
      </c>
      <c r="N263" s="7" t="s">
        <v>89</v>
      </c>
    </row>
    <row r="264" spans="1:14">
      <c r="A264" s="28">
        <v>256</v>
      </c>
      <c r="B264" s="28" t="s">
        <v>2051</v>
      </c>
      <c r="C264" s="7" t="s">
        <v>697</v>
      </c>
      <c r="D264" s="33">
        <v>3696694</v>
      </c>
      <c r="E264" s="33">
        <v>25811</v>
      </c>
      <c r="F264" s="8">
        <f>INDEX('Rubro por CUI'!$E$5:$E$454,MATCH("001|2692317",'Rubro por CUI'!$N$5:$N$454,0))</f>
        <v>0.0</v>
      </c>
      <c r="G264" s="8">
        <f>INDEX('Rubro por CUI'!$F$5:$F$454,MATCH("001|2692317",'Rubro por CUI'!$N$5:$N$454,0))</f>
        <v>0.0</v>
      </c>
      <c r="H264" s="8">
        <f>INDEX('Rubro por CUI'!$G$5:$G$454,MATCH("001|2692317",'Rubro por CUI'!$N$5:$N$454,0))</f>
        <v>206971.0</v>
      </c>
      <c r="I264" s="8">
        <f>INDEX('Rubro por CUI'!$H$5:$H$454,MATCH("001|2692317",'Rubro por CUI'!$N$5:$N$454,0))</f>
        <v>0.0</v>
      </c>
      <c r="J264" s="8">
        <f>INDEX('Rubro por CUI'!$I$5:$I$454,MATCH("001|2692317",'Rubro por CUI'!$N$5:$N$454,0))</f>
        <v>0.0</v>
      </c>
      <c r="K264" s="8">
        <f>L264-SUM(F264:J264)</f>
        <v>0.0</v>
      </c>
      <c r="L264" s="8">
        <f>SUMIFS(Base!$N$5:$N$504,Base!$A$5:$A$504,"001",Base!$F$5:$F$504,"2692317")</f>
        <v>206971.0</v>
      </c>
      <c r="M264" s="8">
        <f>D264-E264-L264</f>
        <v>3463912.0</v>
      </c>
      <c r="N264" s="7" t="s">
        <v>89</v>
      </c>
    </row>
    <row r="265" spans="1:14">
      <c r="A265" s="28">
        <v>257</v>
      </c>
      <c r="B265" s="28" t="s">
        <v>2052</v>
      </c>
      <c r="C265" s="7" t="s">
        <v>970</v>
      </c>
      <c r="D265" s="33">
        <v>53211356</v>
      </c>
      <c r="E265" s="33">
        <v>703118</v>
      </c>
      <c r="F265" s="8">
        <f>INDEX('Rubro por CUI'!$E$5:$E$454,MATCH("001|2602159",'Rubro por CUI'!$N$5:$N$454,0))</f>
        <v>0.0</v>
      </c>
      <c r="G265" s="8">
        <f>INDEX('Rubro por CUI'!$F$5:$F$454,MATCH("001|2602159",'Rubro por CUI'!$N$5:$N$454,0))</f>
        <v>0.0</v>
      </c>
      <c r="H265" s="8">
        <f>INDEX('Rubro por CUI'!$G$5:$G$454,MATCH("001|2602159",'Rubro por CUI'!$N$5:$N$454,0))</f>
        <v>171047.0</v>
      </c>
      <c r="I265" s="8">
        <f>INDEX('Rubro por CUI'!$H$5:$H$454,MATCH("001|2602159",'Rubro por CUI'!$N$5:$N$454,0))</f>
        <v>0.0</v>
      </c>
      <c r="J265" s="8">
        <f>INDEX('Rubro por CUI'!$I$5:$I$454,MATCH("001|2602159",'Rubro por CUI'!$N$5:$N$454,0))</f>
        <v>0.0</v>
      </c>
      <c r="K265" s="8">
        <f>L265-SUM(F265:J265)</f>
        <v>0.0</v>
      </c>
      <c r="L265" s="8">
        <f>SUMIFS(Base!$N$5:$N$504,Base!$A$5:$A$504,"001",Base!$F$5:$F$504,"2602159")</f>
        <v>171047.0</v>
      </c>
      <c r="M265" s="8">
        <f>D265-E265-L265</f>
        <v>52337191.0</v>
      </c>
      <c r="N265" s="7" t="s">
        <v>89</v>
      </c>
    </row>
    <row r="266" spans="1:14">
      <c r="A266" s="28">
        <v>258</v>
      </c>
      <c r="B266" s="28" t="s">
        <v>2053</v>
      </c>
      <c r="C266" s="7" t="s">
        <v>246</v>
      </c>
      <c r="D266" s="33">
        <v>23767380</v>
      </c>
      <c r="E266" s="33">
        <v>16690778</v>
      </c>
      <c r="F266" s="8">
        <f>INDEX('Rubro por CUI'!$E$5:$E$454,MATCH("001|2375549",'Rubro por CUI'!$N$5:$N$454,0))</f>
        <v>0.0</v>
      </c>
      <c r="G266" s="8">
        <f>INDEX('Rubro por CUI'!$F$5:$F$454,MATCH("001|2375549",'Rubro por CUI'!$N$5:$N$454,0))</f>
        <v>0.0</v>
      </c>
      <c r="H266" s="8">
        <f>INDEX('Rubro por CUI'!$G$5:$G$454,MATCH("001|2375549",'Rubro por CUI'!$N$5:$N$454,0))</f>
        <v>167638.0</v>
      </c>
      <c r="I266" s="8">
        <f>INDEX('Rubro por CUI'!$H$5:$H$454,MATCH("001|2375549",'Rubro por CUI'!$N$5:$N$454,0))</f>
        <v>0.0</v>
      </c>
      <c r="J266" s="8">
        <f>INDEX('Rubro por CUI'!$I$5:$I$454,MATCH("001|2375549",'Rubro por CUI'!$N$5:$N$454,0))</f>
        <v>0.0</v>
      </c>
      <c r="K266" s="8">
        <f>L266-SUM(F266:J266)</f>
        <v>0.0</v>
      </c>
      <c r="L266" s="8">
        <f>SUMIFS(Base!$N$5:$N$504,Base!$A$5:$A$504,"001",Base!$F$5:$F$504,"2375549")</f>
        <v>167638.0</v>
      </c>
      <c r="M266" s="8">
        <f>D266-E266-L266</f>
        <v>6908964.0</v>
      </c>
      <c r="N266" s="7" t="s">
        <v>89</v>
      </c>
    </row>
    <row r="267" spans="1:14">
      <c r="A267" s="28">
        <v>259</v>
      </c>
      <c r="B267" s="28" t="s">
        <v>2054</v>
      </c>
      <c r="C267" s="7" t="s">
        <v>1037</v>
      </c>
      <c r="D267" s="33">
        <v>1990091</v>
      </c>
      <c r="E267" s="33">
        <v>67339</v>
      </c>
      <c r="F267" s="8">
        <f>INDEX('Rubro por CUI'!$E$5:$E$454,MATCH("001|2661648",'Rubro por CUI'!$N$5:$N$454,0))</f>
        <v>0.0</v>
      </c>
      <c r="G267" s="8">
        <f>INDEX('Rubro por CUI'!$F$5:$F$454,MATCH("001|2661648",'Rubro por CUI'!$N$5:$N$454,0))</f>
        <v>0.0</v>
      </c>
      <c r="H267" s="8">
        <f>INDEX('Rubro por CUI'!$G$5:$G$454,MATCH("001|2661648",'Rubro por CUI'!$N$5:$N$454,0))</f>
        <v>159651.0</v>
      </c>
      <c r="I267" s="8">
        <f>INDEX('Rubro por CUI'!$H$5:$H$454,MATCH("001|2661648",'Rubro por CUI'!$N$5:$N$454,0))</f>
        <v>0.0</v>
      </c>
      <c r="J267" s="8">
        <f>INDEX('Rubro por CUI'!$I$5:$I$454,MATCH("001|2661648",'Rubro por CUI'!$N$5:$N$454,0))</f>
        <v>0.0</v>
      </c>
      <c r="K267" s="8">
        <f>L267-SUM(F267:J267)</f>
        <v>0.0</v>
      </c>
      <c r="L267" s="8">
        <f>SUMIFS(Base!$N$5:$N$504,Base!$A$5:$A$504,"001",Base!$F$5:$F$504,"2661648")</f>
        <v>159651.0</v>
      </c>
      <c r="M267" s="8">
        <f>D267-E267-L267</f>
        <v>1763101.0</v>
      </c>
      <c r="N267" s="7" t="s">
        <v>89</v>
      </c>
    </row>
    <row r="268" spans="1:14">
      <c r="A268" s="28">
        <v>260</v>
      </c>
      <c r="B268" s="28" t="s">
        <v>2055</v>
      </c>
      <c r="C268" s="7" t="s">
        <v>997</v>
      </c>
      <c r="D268" s="33">
        <v>27451542</v>
      </c>
      <c r="E268" s="33">
        <v>455576</v>
      </c>
      <c r="F268" s="8">
        <f>INDEX('Rubro por CUI'!$E$5:$E$454,MATCH("001|2651271",'Rubro por CUI'!$N$5:$N$454,0))</f>
        <v>0.0</v>
      </c>
      <c r="G268" s="8">
        <f>INDEX('Rubro por CUI'!$F$5:$F$454,MATCH("001|2651271",'Rubro por CUI'!$N$5:$N$454,0))</f>
        <v>0.0</v>
      </c>
      <c r="H268" s="8">
        <f>INDEX('Rubro por CUI'!$G$5:$G$454,MATCH("001|2651271",'Rubro por CUI'!$N$5:$N$454,0))</f>
        <v>141416.0</v>
      </c>
      <c r="I268" s="8">
        <f>INDEX('Rubro por CUI'!$H$5:$H$454,MATCH("001|2651271",'Rubro por CUI'!$N$5:$N$454,0))</f>
        <v>0.0</v>
      </c>
      <c r="J268" s="8">
        <f>INDEX('Rubro por CUI'!$I$5:$I$454,MATCH("001|2651271",'Rubro por CUI'!$N$5:$N$454,0))</f>
        <v>0.0</v>
      </c>
      <c r="K268" s="8">
        <f>L268-SUM(F268:J268)</f>
        <v>0.0</v>
      </c>
      <c r="L268" s="8">
        <f>SUMIFS(Base!$N$5:$N$504,Base!$A$5:$A$504,"001",Base!$F$5:$F$504,"2651271")</f>
        <v>141416.0</v>
      </c>
      <c r="M268" s="8">
        <f>D268-E268-L268</f>
        <v>26854550.0</v>
      </c>
      <c r="N268" s="7" t="s">
        <v>89</v>
      </c>
    </row>
    <row r="269" spans="1:14">
      <c r="A269" s="28">
        <v>261</v>
      </c>
      <c r="B269" s="28" t="s">
        <v>2056</v>
      </c>
      <c r="C269" s="7" t="s">
        <v>994</v>
      </c>
      <c r="D269" s="33">
        <v>19576064</v>
      </c>
      <c r="E269" s="33">
        <v>260505</v>
      </c>
      <c r="F269" s="8">
        <f>INDEX('Rubro por CUI'!$E$5:$E$454,MATCH("001|2651270",'Rubro por CUI'!$N$5:$N$454,0))</f>
        <v>0.0</v>
      </c>
      <c r="G269" s="8">
        <f>INDEX('Rubro por CUI'!$F$5:$F$454,MATCH("001|2651270",'Rubro por CUI'!$N$5:$N$454,0))</f>
        <v>0.0</v>
      </c>
      <c r="H269" s="8">
        <f>INDEX('Rubro por CUI'!$G$5:$G$454,MATCH("001|2651270",'Rubro por CUI'!$N$5:$N$454,0))</f>
        <v>118786.0</v>
      </c>
      <c r="I269" s="8">
        <f>INDEX('Rubro por CUI'!$H$5:$H$454,MATCH("001|2651270",'Rubro por CUI'!$N$5:$N$454,0))</f>
        <v>0.0</v>
      </c>
      <c r="J269" s="8">
        <f>INDEX('Rubro por CUI'!$I$5:$I$454,MATCH("001|2651270",'Rubro por CUI'!$N$5:$N$454,0))</f>
        <v>0.0</v>
      </c>
      <c r="K269" s="8">
        <f>L269-SUM(F269:J269)</f>
        <v>0.0</v>
      </c>
      <c r="L269" s="8">
        <f>SUMIFS(Base!$N$5:$N$504,Base!$A$5:$A$504,"001",Base!$F$5:$F$504,"2651270")</f>
        <v>118786.0</v>
      </c>
      <c r="M269" s="8">
        <f>D269-E269-L269</f>
        <v>19196773.0</v>
      </c>
      <c r="N269" s="7" t="s">
        <v>89</v>
      </c>
    </row>
    <row r="270" spans="1:14">
      <c r="A270" s="28">
        <v>262</v>
      </c>
      <c r="B270" s="28" t="s">
        <v>2057</v>
      </c>
      <c r="C270" s="7" t="s">
        <v>295</v>
      </c>
      <c r="D270" s="33">
        <v>3031531</v>
      </c>
      <c r="E270" s="33">
        <v>2795831</v>
      </c>
      <c r="F270" s="8">
        <f>INDEX('Rubro por CUI'!$E$5:$E$454,MATCH("001|2515272",'Rubro por CUI'!$N$5:$N$454,0))</f>
        <v>0.0</v>
      </c>
      <c r="G270" s="8">
        <f>INDEX('Rubro por CUI'!$F$5:$F$454,MATCH("001|2515272",'Rubro por CUI'!$N$5:$N$454,0))</f>
        <v>0.0</v>
      </c>
      <c r="H270" s="8">
        <f>INDEX('Rubro por CUI'!$G$5:$G$454,MATCH("001|2515272",'Rubro por CUI'!$N$5:$N$454,0))</f>
        <v>105000.0</v>
      </c>
      <c r="I270" s="8">
        <f>INDEX('Rubro por CUI'!$H$5:$H$454,MATCH("001|2515272",'Rubro por CUI'!$N$5:$N$454,0))</f>
        <v>0.0</v>
      </c>
      <c r="J270" s="8">
        <f>INDEX('Rubro por CUI'!$I$5:$I$454,MATCH("001|2515272",'Rubro por CUI'!$N$5:$N$454,0))</f>
        <v>0.0</v>
      </c>
      <c r="K270" s="8">
        <f>L270-SUM(F270:J270)</f>
        <v>0.0</v>
      </c>
      <c r="L270" s="8">
        <f>SUMIFS(Base!$N$5:$N$504,Base!$A$5:$A$504,"001",Base!$F$5:$F$504,"2515272")</f>
        <v>105000.0</v>
      </c>
      <c r="M270" s="8">
        <f>D270-E270-L270</f>
        <v>130700.0</v>
      </c>
      <c r="N270" s="7" t="s">
        <v>89</v>
      </c>
    </row>
    <row r="271" spans="1:14">
      <c r="A271" s="28">
        <v>263</v>
      </c>
      <c r="B271" s="28" t="s">
        <v>2058</v>
      </c>
      <c r="C271" s="7" t="s">
        <v>266</v>
      </c>
      <c r="D271" s="33">
        <v>16107074</v>
      </c>
      <c r="E271" s="33">
        <v>15137769</v>
      </c>
      <c r="F271" s="8">
        <f>INDEX('Rubro por CUI'!$E$5:$E$454,MATCH("001|2514428",'Rubro por CUI'!$N$5:$N$454,0))</f>
        <v>0.0</v>
      </c>
      <c r="G271" s="8">
        <f>INDEX('Rubro por CUI'!$F$5:$F$454,MATCH("001|2514428",'Rubro por CUI'!$N$5:$N$454,0))</f>
        <v>0.0</v>
      </c>
      <c r="H271" s="8">
        <f>INDEX('Rubro por CUI'!$G$5:$G$454,MATCH("001|2514428",'Rubro por CUI'!$N$5:$N$454,0))</f>
        <v>104124.0</v>
      </c>
      <c r="I271" s="8">
        <f>INDEX('Rubro por CUI'!$H$5:$H$454,MATCH("001|2514428",'Rubro por CUI'!$N$5:$N$454,0))</f>
        <v>0.0</v>
      </c>
      <c r="J271" s="8">
        <f>INDEX('Rubro por CUI'!$I$5:$I$454,MATCH("001|2514428",'Rubro por CUI'!$N$5:$N$454,0))</f>
        <v>0.0</v>
      </c>
      <c r="K271" s="8">
        <f>L271-SUM(F271:J271)</f>
        <v>0.0</v>
      </c>
      <c r="L271" s="8">
        <f>SUMIFS(Base!$N$5:$N$504,Base!$A$5:$A$504,"001",Base!$F$5:$F$504,"2514428")</f>
        <v>104124.0</v>
      </c>
      <c r="M271" s="8">
        <f>D271-E271-L271</f>
        <v>865181.0</v>
      </c>
      <c r="N271" s="7" t="s">
        <v>89</v>
      </c>
    </row>
    <row r="272" spans="1:14">
      <c r="A272" s="28">
        <v>264</v>
      </c>
      <c r="B272" s="28" t="s">
        <v>2059</v>
      </c>
      <c r="C272" s="7" t="s">
        <v>1016</v>
      </c>
      <c r="D272" s="33">
        <v>6012947</v>
      </c>
      <c r="E272" s="33">
        <v>169827</v>
      </c>
      <c r="F272" s="8">
        <f>INDEX('Rubro por CUI'!$E$5:$E$454,MATCH("001|2655389",'Rubro por CUI'!$N$5:$N$454,0))</f>
        <v>0.0</v>
      </c>
      <c r="G272" s="8">
        <f>INDEX('Rubro por CUI'!$F$5:$F$454,MATCH("001|2655389",'Rubro por CUI'!$N$5:$N$454,0))</f>
        <v>0.0</v>
      </c>
      <c r="H272" s="8">
        <f>INDEX('Rubro por CUI'!$G$5:$G$454,MATCH("001|2655389",'Rubro por CUI'!$N$5:$N$454,0))</f>
        <v>101523.0</v>
      </c>
      <c r="I272" s="8">
        <f>INDEX('Rubro por CUI'!$H$5:$H$454,MATCH("001|2655389",'Rubro por CUI'!$N$5:$N$454,0))</f>
        <v>0.0</v>
      </c>
      <c r="J272" s="8">
        <f>INDEX('Rubro por CUI'!$I$5:$I$454,MATCH("001|2655389",'Rubro por CUI'!$N$5:$N$454,0))</f>
        <v>0.0</v>
      </c>
      <c r="K272" s="8">
        <f>L272-SUM(F272:J272)</f>
        <v>0.0</v>
      </c>
      <c r="L272" s="8">
        <f>SUMIFS(Base!$N$5:$N$504,Base!$A$5:$A$504,"001",Base!$F$5:$F$504,"2655389")</f>
        <v>101523.0</v>
      </c>
      <c r="M272" s="8">
        <f>D272-E272-L272</f>
        <v>5741597.0</v>
      </c>
      <c r="N272" s="7" t="s">
        <v>89</v>
      </c>
    </row>
    <row r="273" spans="1:14">
      <c r="A273" s="28">
        <v>265</v>
      </c>
      <c r="B273" s="28" t="s">
        <v>2060</v>
      </c>
      <c r="C273" s="7" t="s">
        <v>961</v>
      </c>
      <c r="D273" s="33">
        <v>12321269</v>
      </c>
      <c r="E273" s="33">
        <v>306477</v>
      </c>
      <c r="F273" s="8">
        <f>INDEX('Rubro por CUI'!$E$5:$E$454,MATCH("001|2585398",'Rubro por CUI'!$N$5:$N$454,0))</f>
        <v>0.0</v>
      </c>
      <c r="G273" s="8">
        <f>INDEX('Rubro por CUI'!$F$5:$F$454,MATCH("001|2585398",'Rubro por CUI'!$N$5:$N$454,0))</f>
        <v>0.0</v>
      </c>
      <c r="H273" s="8">
        <f>INDEX('Rubro por CUI'!$G$5:$G$454,MATCH("001|2585398",'Rubro por CUI'!$N$5:$N$454,0))</f>
        <v>100000.0</v>
      </c>
      <c r="I273" s="8">
        <f>INDEX('Rubro por CUI'!$H$5:$H$454,MATCH("001|2585398",'Rubro por CUI'!$N$5:$N$454,0))</f>
        <v>0.0</v>
      </c>
      <c r="J273" s="8">
        <f>INDEX('Rubro por CUI'!$I$5:$I$454,MATCH("001|2585398",'Rubro por CUI'!$N$5:$N$454,0))</f>
        <v>0.0</v>
      </c>
      <c r="K273" s="8">
        <f>L273-SUM(F273:J273)</f>
        <v>0.0</v>
      </c>
      <c r="L273" s="8">
        <f>SUMIFS(Base!$N$5:$N$504,Base!$A$5:$A$504,"001",Base!$F$5:$F$504,"2585398")</f>
        <v>100000.0</v>
      </c>
      <c r="M273" s="8">
        <f>D273-E273-L273</f>
        <v>11914792.0</v>
      </c>
      <c r="N273" s="7" t="s">
        <v>89</v>
      </c>
    </row>
    <row r="274" spans="1:14">
      <c r="A274" s="28">
        <v>266</v>
      </c>
      <c r="B274" s="28" t="s">
        <v>2061</v>
      </c>
      <c r="C274" s="7" t="s">
        <v>262</v>
      </c>
      <c r="D274" s="33">
        <v>53741786</v>
      </c>
      <c r="E274" s="33">
        <v>52942428</v>
      </c>
      <c r="F274" s="8">
        <f>INDEX('Rubro por CUI'!$E$5:$E$454,MATCH("001|2195487",'Rubro por CUI'!$N$5:$N$454,0))</f>
        <v>0.0</v>
      </c>
      <c r="G274" s="8">
        <f>INDEX('Rubro por CUI'!$F$5:$F$454,MATCH("001|2195487",'Rubro por CUI'!$N$5:$N$454,0))</f>
        <v>0.0</v>
      </c>
      <c r="H274" s="8">
        <f>INDEX('Rubro por CUI'!$G$5:$G$454,MATCH("001|2195487",'Rubro por CUI'!$N$5:$N$454,0))</f>
        <v>91759.0</v>
      </c>
      <c r="I274" s="8">
        <f>INDEX('Rubro por CUI'!$H$5:$H$454,MATCH("001|2195487",'Rubro por CUI'!$N$5:$N$454,0))</f>
        <v>0.0</v>
      </c>
      <c r="J274" s="8">
        <f>INDEX('Rubro por CUI'!$I$5:$I$454,MATCH("001|2195487",'Rubro por CUI'!$N$5:$N$454,0))</f>
        <v>0.0</v>
      </c>
      <c r="K274" s="8">
        <f>L274-SUM(F274:J274)</f>
        <v>0.0</v>
      </c>
      <c r="L274" s="8">
        <f>SUMIFS(Base!$N$5:$N$504,Base!$A$5:$A$504,"001",Base!$F$5:$F$504,"2195487")</f>
        <v>91759.0</v>
      </c>
      <c r="M274" s="8">
        <f>D274-E274-L274</f>
        <v>707599.0</v>
      </c>
      <c r="N274" s="7" t="s">
        <v>89</v>
      </c>
    </row>
    <row r="275" spans="1:14">
      <c r="A275" s="28">
        <v>267</v>
      </c>
      <c r="B275" s="28" t="s">
        <v>2062</v>
      </c>
      <c r="C275" s="7" t="s">
        <v>708</v>
      </c>
      <c r="D275" s="7" t="s">
        <v>99</v>
      </c>
      <c r="E275" s="7" t="s">
        <v>99</v>
      </c>
      <c r="F275" s="8">
        <f>INDEX('Rubro por CUI'!$E$5:$E$454,MATCH("001|2727299",'Rubro por CUI'!$N$5:$N$454,0))</f>
        <v>0.0</v>
      </c>
      <c r="G275" s="8">
        <f>INDEX('Rubro por CUI'!$F$5:$F$454,MATCH("001|2727299",'Rubro por CUI'!$N$5:$N$454,0))</f>
        <v>0.0</v>
      </c>
      <c r="H275" s="8">
        <f>INDEX('Rubro por CUI'!$G$5:$G$454,MATCH("001|2727299",'Rubro por CUI'!$N$5:$N$454,0))</f>
        <v>75291.0</v>
      </c>
      <c r="I275" s="8">
        <f>INDEX('Rubro por CUI'!$H$5:$H$454,MATCH("001|2727299",'Rubro por CUI'!$N$5:$N$454,0))</f>
        <v>0.0</v>
      </c>
      <c r="J275" s="8">
        <f>INDEX('Rubro por CUI'!$I$5:$I$454,MATCH("001|2727299",'Rubro por CUI'!$N$5:$N$454,0))</f>
        <v>0.0</v>
      </c>
      <c r="K275" s="8">
        <f>L275-SUM(F275:J275)</f>
        <v>0.0</v>
      </c>
      <c r="L275" s="8">
        <f>SUMIFS(Base!$N$5:$N$504,Base!$A$5:$A$504,"001",Base!$F$5:$F$504,"2727299")</f>
        <v>75291.0</v>
      </c>
      <c r="M275" s="7" t="s">
        <v>99</v>
      </c>
      <c r="N275" s="7" t="s">
        <v>1796</v>
      </c>
    </row>
    <row r="276" spans="1:14">
      <c r="A276" s="28">
        <v>268</v>
      </c>
      <c r="B276" s="28" t="s">
        <v>2063</v>
      </c>
      <c r="C276" s="7" t="s">
        <v>292</v>
      </c>
      <c r="D276" s="33">
        <v>109465881</v>
      </c>
      <c r="E276" s="33">
        <v>107073476</v>
      </c>
      <c r="F276" s="8">
        <f>INDEX('Rubro por CUI'!$E$5:$E$454,MATCH("001|2185578",'Rubro por CUI'!$N$5:$N$454,0))</f>
        <v>0.0</v>
      </c>
      <c r="G276" s="8">
        <f>INDEX('Rubro por CUI'!$F$5:$F$454,MATCH("001|2185578",'Rubro por CUI'!$N$5:$N$454,0))</f>
        <v>0.0</v>
      </c>
      <c r="H276" s="8">
        <f>INDEX('Rubro por CUI'!$G$5:$G$454,MATCH("001|2185578",'Rubro por CUI'!$N$5:$N$454,0))</f>
        <v>67139.0</v>
      </c>
      <c r="I276" s="8">
        <f>INDEX('Rubro por CUI'!$H$5:$H$454,MATCH("001|2185578",'Rubro por CUI'!$N$5:$N$454,0))</f>
        <v>0.0</v>
      </c>
      <c r="J276" s="8">
        <f>INDEX('Rubro por CUI'!$I$5:$I$454,MATCH("001|2185578",'Rubro por CUI'!$N$5:$N$454,0))</f>
        <v>0.0</v>
      </c>
      <c r="K276" s="8">
        <f>L276-SUM(F276:J276)</f>
        <v>0.0</v>
      </c>
      <c r="L276" s="8">
        <f>SUMIFS(Base!$N$5:$N$504,Base!$A$5:$A$504,"001",Base!$F$5:$F$504,"2185578")</f>
        <v>67139.0</v>
      </c>
      <c r="M276" s="8">
        <f>D276-E276-L276</f>
        <v>2325266.0</v>
      </c>
      <c r="N276" s="7" t="s">
        <v>89</v>
      </c>
    </row>
    <row r="277" spans="1:14">
      <c r="A277" s="28">
        <v>269</v>
      </c>
      <c r="B277" s="28" t="s">
        <v>2064</v>
      </c>
      <c r="C277" s="7" t="s">
        <v>1028</v>
      </c>
      <c r="D277" s="33">
        <v>1329226</v>
      </c>
      <c r="E277" s="33">
        <v>98561</v>
      </c>
      <c r="F277" s="8">
        <f>INDEX('Rubro por CUI'!$E$5:$E$454,MATCH("001|2657484",'Rubro por CUI'!$N$5:$N$454,0))</f>
        <v>0.0</v>
      </c>
      <c r="G277" s="8">
        <f>INDEX('Rubro por CUI'!$F$5:$F$454,MATCH("001|2657484",'Rubro por CUI'!$N$5:$N$454,0))</f>
        <v>0.0</v>
      </c>
      <c r="H277" s="8">
        <f>INDEX('Rubro por CUI'!$G$5:$G$454,MATCH("001|2657484",'Rubro por CUI'!$N$5:$N$454,0))</f>
        <v>50000.0</v>
      </c>
      <c r="I277" s="8">
        <f>INDEX('Rubro por CUI'!$H$5:$H$454,MATCH("001|2657484",'Rubro por CUI'!$N$5:$N$454,0))</f>
        <v>0.0</v>
      </c>
      <c r="J277" s="8">
        <f>INDEX('Rubro por CUI'!$I$5:$I$454,MATCH("001|2657484",'Rubro por CUI'!$N$5:$N$454,0))</f>
        <v>0.0</v>
      </c>
      <c r="K277" s="8">
        <f>L277-SUM(F277:J277)</f>
        <v>0.0</v>
      </c>
      <c r="L277" s="8">
        <f>SUMIFS(Base!$N$5:$N$504,Base!$A$5:$A$504,"001",Base!$F$5:$F$504,"2657484")</f>
        <v>50000.0</v>
      </c>
      <c r="M277" s="8">
        <f>D277-E277-L277</f>
        <v>1180665.0</v>
      </c>
      <c r="N277" s="7" t="s">
        <v>89</v>
      </c>
    </row>
    <row r="278" spans="1:14">
      <c r="A278" s="28">
        <v>270</v>
      </c>
      <c r="B278" s="28" t="s">
        <v>2065</v>
      </c>
      <c r="C278" s="7" t="s">
        <v>704</v>
      </c>
      <c r="D278" s="7" t="s">
        <v>99</v>
      </c>
      <c r="E278" s="7" t="s">
        <v>99</v>
      </c>
      <c r="F278" s="8">
        <f>INDEX('Rubro por CUI'!$E$5:$E$454,MATCH("001|2727133",'Rubro por CUI'!$N$5:$N$454,0))</f>
        <v>0.0</v>
      </c>
      <c r="G278" s="8">
        <f>INDEX('Rubro por CUI'!$F$5:$F$454,MATCH("001|2727133",'Rubro por CUI'!$N$5:$N$454,0))</f>
        <v>0.0</v>
      </c>
      <c r="H278" s="8">
        <f>INDEX('Rubro por CUI'!$G$5:$G$454,MATCH("001|2727133",'Rubro por CUI'!$N$5:$N$454,0))</f>
        <v>40572.0</v>
      </c>
      <c r="I278" s="8">
        <f>INDEX('Rubro por CUI'!$H$5:$H$454,MATCH("001|2727133",'Rubro por CUI'!$N$5:$N$454,0))</f>
        <v>0.0</v>
      </c>
      <c r="J278" s="8">
        <f>INDEX('Rubro por CUI'!$I$5:$I$454,MATCH("001|2727133",'Rubro por CUI'!$N$5:$N$454,0))</f>
        <v>0.0</v>
      </c>
      <c r="K278" s="8">
        <f>L278-SUM(F278:J278)</f>
        <v>0.0</v>
      </c>
      <c r="L278" s="8">
        <f>SUMIFS(Base!$N$5:$N$504,Base!$A$5:$A$504,"001",Base!$F$5:$F$504,"2727133")</f>
        <v>40572.0</v>
      </c>
      <c r="M278" s="7" t="s">
        <v>99</v>
      </c>
      <c r="N278" s="7" t="s">
        <v>1796</v>
      </c>
    </row>
    <row r="279" spans="1:14">
      <c r="A279" s="28">
        <v>271</v>
      </c>
      <c r="B279" s="28" t="s">
        <v>2066</v>
      </c>
      <c r="C279" s="7" t="s">
        <v>300</v>
      </c>
      <c r="D279" s="33">
        <v>13163026</v>
      </c>
      <c r="E279" s="33">
        <v>11523970</v>
      </c>
      <c r="F279" s="8">
        <f>INDEX('Rubro por CUI'!$E$5:$E$454,MATCH("001|2440946",'Rubro por CUI'!$N$5:$N$454,0))</f>
        <v>0.0</v>
      </c>
      <c r="G279" s="8">
        <f>INDEX('Rubro por CUI'!$F$5:$F$454,MATCH("001|2440946",'Rubro por CUI'!$N$5:$N$454,0))</f>
        <v>0.0</v>
      </c>
      <c r="H279" s="8">
        <f>INDEX('Rubro por CUI'!$G$5:$G$454,MATCH("001|2440946",'Rubro por CUI'!$N$5:$N$454,0))</f>
        <v>28752.0</v>
      </c>
      <c r="I279" s="8">
        <f>INDEX('Rubro por CUI'!$H$5:$H$454,MATCH("001|2440946",'Rubro por CUI'!$N$5:$N$454,0))</f>
        <v>0.0</v>
      </c>
      <c r="J279" s="8">
        <f>INDEX('Rubro por CUI'!$I$5:$I$454,MATCH("001|2440946",'Rubro por CUI'!$N$5:$N$454,0))</f>
        <v>0.0</v>
      </c>
      <c r="K279" s="8">
        <f>L279-SUM(F279:J279)</f>
        <v>0.0</v>
      </c>
      <c r="L279" s="8">
        <f>SUMIFS(Base!$N$5:$N$504,Base!$A$5:$A$504,"001",Base!$F$5:$F$504,"2440946")</f>
        <v>28752.0</v>
      </c>
      <c r="M279" s="8">
        <f>D279-E279-L279</f>
        <v>1610304.0</v>
      </c>
      <c r="N279" s="7" t="s">
        <v>89</v>
      </c>
    </row>
    <row r="280" spans="1:14">
      <c r="A280" s="28">
        <v>272</v>
      </c>
      <c r="B280" s="28" t="s">
        <v>2067</v>
      </c>
      <c r="C280" s="7" t="s">
        <v>682</v>
      </c>
      <c r="D280" s="7" t="s">
        <v>99</v>
      </c>
      <c r="E280" s="7" t="s">
        <v>99</v>
      </c>
      <c r="F280" s="8">
        <f>INDEX('Rubro por CUI'!$E$5:$E$454,MATCH("001|2575299",'Rubro por CUI'!$N$5:$N$454,0))</f>
        <v>0.0</v>
      </c>
      <c r="G280" s="8">
        <f>INDEX('Rubro por CUI'!$F$5:$F$454,MATCH("001|2575299",'Rubro por CUI'!$N$5:$N$454,0))</f>
        <v>0.0</v>
      </c>
      <c r="H280" s="8">
        <f>INDEX('Rubro por CUI'!$G$5:$G$454,MATCH("001|2575299",'Rubro por CUI'!$N$5:$N$454,0))</f>
        <v>18371.0</v>
      </c>
      <c r="I280" s="8">
        <f>INDEX('Rubro por CUI'!$H$5:$H$454,MATCH("001|2575299",'Rubro por CUI'!$N$5:$N$454,0))</f>
        <v>0.0</v>
      </c>
      <c r="J280" s="8">
        <f>INDEX('Rubro por CUI'!$I$5:$I$454,MATCH("001|2575299",'Rubro por CUI'!$N$5:$N$454,0))</f>
        <v>0.0</v>
      </c>
      <c r="K280" s="8">
        <f>L280-SUM(F280:J280)</f>
        <v>0.0</v>
      </c>
      <c r="L280" s="8">
        <f>SUMIFS(Base!$N$5:$N$504,Base!$A$5:$A$504,"001",Base!$F$5:$F$504,"2575299")</f>
        <v>18371.0</v>
      </c>
      <c r="M280" s="7" t="s">
        <v>99</v>
      </c>
      <c r="N280" s="7" t="s">
        <v>1796</v>
      </c>
    </row>
    <row r="281" spans="1:14">
      <c r="A281" s="28">
        <v>273</v>
      </c>
      <c r="B281" s="28" t="s">
        <v>2068</v>
      </c>
      <c r="C281" s="7" t="s">
        <v>254</v>
      </c>
      <c r="D281" s="33">
        <v>26078518</v>
      </c>
      <c r="E281" s="33">
        <v>25076854</v>
      </c>
      <c r="F281" s="8">
        <f>INDEX('Rubro por CUI'!$E$5:$E$454,MATCH("001|2475053",'Rubro por CUI'!$N$5:$N$454,0))</f>
        <v>0.0</v>
      </c>
      <c r="G281" s="8">
        <f>INDEX('Rubro por CUI'!$F$5:$F$454,MATCH("001|2475053",'Rubro por CUI'!$N$5:$N$454,0))</f>
        <v>0.0</v>
      </c>
      <c r="H281" s="8">
        <f>INDEX('Rubro por CUI'!$G$5:$G$454,MATCH("001|2475053",'Rubro por CUI'!$N$5:$N$454,0))</f>
        <v>0.0</v>
      </c>
      <c r="I281" s="8">
        <f>INDEX('Rubro por CUI'!$H$5:$H$454,MATCH("001|2475053",'Rubro por CUI'!$N$5:$N$454,0))</f>
        <v>0.0</v>
      </c>
      <c r="J281" s="8">
        <f>INDEX('Rubro por CUI'!$I$5:$I$454,MATCH("001|2475053",'Rubro por CUI'!$N$5:$N$454,0))</f>
        <v>0.0</v>
      </c>
      <c r="K281" s="8">
        <f>L281-SUM(F281:J281)</f>
        <v>0.0</v>
      </c>
      <c r="L281" s="8">
        <f>SUMIFS(Base!$N$5:$N$504,Base!$A$5:$A$504,"001",Base!$F$5:$F$504,"2475053")</f>
        <v>0.0</v>
      </c>
      <c r="M281" s="8">
        <f>D281-E281-L281</f>
        <v>1001664.0</v>
      </c>
      <c r="N281" s="7" t="s">
        <v>89</v>
      </c>
    </row>
    <row r="282" spans="1:14">
      <c r="A282" s="28">
        <v>274</v>
      </c>
      <c r="B282" s="28" t="s">
        <v>2069</v>
      </c>
      <c r="C282" s="7" t="s">
        <v>304</v>
      </c>
      <c r="D282" s="33">
        <v>146754680</v>
      </c>
      <c r="E282" s="33">
        <v>139130806</v>
      </c>
      <c r="F282" s="8">
        <f>INDEX('Rubro por CUI'!$E$5:$E$454,MATCH("001|2055915",'Rubro por CUI'!$N$5:$N$454,0))</f>
        <v>0.0</v>
      </c>
      <c r="G282" s="8">
        <f>INDEX('Rubro por CUI'!$F$5:$F$454,MATCH("001|2055915",'Rubro por CUI'!$N$5:$N$454,0))</f>
        <v>0.0</v>
      </c>
      <c r="H282" s="8">
        <f>INDEX('Rubro por CUI'!$G$5:$G$454,MATCH("001|2055915",'Rubro por CUI'!$N$5:$N$454,0))</f>
        <v>0.0</v>
      </c>
      <c r="I282" s="8">
        <f>INDEX('Rubro por CUI'!$H$5:$H$454,MATCH("001|2055915",'Rubro por CUI'!$N$5:$N$454,0))</f>
        <v>0.0</v>
      </c>
      <c r="J282" s="8">
        <f>INDEX('Rubro por CUI'!$I$5:$I$454,MATCH("001|2055915",'Rubro por CUI'!$N$5:$N$454,0))</f>
        <v>0.0</v>
      </c>
      <c r="K282" s="8">
        <f>L282-SUM(F282:J282)</f>
        <v>0.0</v>
      </c>
      <c r="L282" s="8">
        <f>SUMIFS(Base!$N$5:$N$504,Base!$A$5:$A$504,"001",Base!$F$5:$F$504,"2055915")</f>
        <v>0.0</v>
      </c>
      <c r="M282" s="8">
        <f>D282-E282-L282</f>
        <v>7623874.0</v>
      </c>
      <c r="N282" s="7" t="s">
        <v>89</v>
      </c>
    </row>
    <row r="283" spans="1:14">
      <c r="A283" s="28">
        <v>275</v>
      </c>
      <c r="B283" s="28" t="s">
        <v>2070</v>
      </c>
      <c r="C283" s="7" t="s">
        <v>308</v>
      </c>
      <c r="D283" s="33">
        <v>88546422</v>
      </c>
      <c r="E283" s="33">
        <v>69767864</v>
      </c>
      <c r="F283" s="8">
        <f>INDEX('Rubro por CUI'!$E$5:$E$454,MATCH("001|2131389",'Rubro por CUI'!$N$5:$N$454,0))</f>
        <v>0.0</v>
      </c>
      <c r="G283" s="8">
        <f>INDEX('Rubro por CUI'!$F$5:$F$454,MATCH("001|2131389",'Rubro por CUI'!$N$5:$N$454,0))</f>
        <v>0.0</v>
      </c>
      <c r="H283" s="8">
        <f>INDEX('Rubro por CUI'!$G$5:$G$454,MATCH("001|2131389",'Rubro por CUI'!$N$5:$N$454,0))</f>
        <v>0.0</v>
      </c>
      <c r="I283" s="8">
        <f>INDEX('Rubro por CUI'!$H$5:$H$454,MATCH("001|2131389",'Rubro por CUI'!$N$5:$N$454,0))</f>
        <v>0.0</v>
      </c>
      <c r="J283" s="8">
        <f>INDEX('Rubro por CUI'!$I$5:$I$454,MATCH("001|2131389",'Rubro por CUI'!$N$5:$N$454,0))</f>
        <v>0.0</v>
      </c>
      <c r="K283" s="8">
        <f>L283-SUM(F283:J283)</f>
        <v>0.0</v>
      </c>
      <c r="L283" s="8">
        <f>SUMIFS(Base!$N$5:$N$504,Base!$A$5:$A$504,"001",Base!$F$5:$F$504,"2131389")</f>
        <v>0.0</v>
      </c>
      <c r="M283" s="8">
        <f>D283-E283-L283</f>
        <v>18778558.0</v>
      </c>
      <c r="N283" s="7" t="s">
        <v>89</v>
      </c>
    </row>
    <row r="284" spans="1:14">
      <c r="A284" s="28">
        <v>276</v>
      </c>
      <c r="B284" s="28" t="s">
        <v>2071</v>
      </c>
      <c r="C284" s="7" t="s">
        <v>311</v>
      </c>
      <c r="D284" s="33">
        <v>21452678</v>
      </c>
      <c r="E284" s="33">
        <v>8418074</v>
      </c>
      <c r="F284" s="8">
        <f>INDEX('Rubro por CUI'!$E$5:$E$454,MATCH("001|2232371",'Rubro por CUI'!$N$5:$N$454,0))</f>
        <v>0.0</v>
      </c>
      <c r="G284" s="8">
        <f>INDEX('Rubro por CUI'!$F$5:$F$454,MATCH("001|2232371",'Rubro por CUI'!$N$5:$N$454,0))</f>
        <v>0.0</v>
      </c>
      <c r="H284" s="8">
        <f>INDEX('Rubro por CUI'!$G$5:$G$454,MATCH("001|2232371",'Rubro por CUI'!$N$5:$N$454,0))</f>
        <v>0.0</v>
      </c>
      <c r="I284" s="8">
        <f>INDEX('Rubro por CUI'!$H$5:$H$454,MATCH("001|2232371",'Rubro por CUI'!$N$5:$N$454,0))</f>
        <v>0.0</v>
      </c>
      <c r="J284" s="8">
        <f>INDEX('Rubro por CUI'!$I$5:$I$454,MATCH("001|2232371",'Rubro por CUI'!$N$5:$N$454,0))</f>
        <v>0.0</v>
      </c>
      <c r="K284" s="8">
        <f>L284-SUM(F284:J284)</f>
        <v>0.0</v>
      </c>
      <c r="L284" s="8">
        <f>SUMIFS(Base!$N$5:$N$504,Base!$A$5:$A$504,"001",Base!$F$5:$F$504,"2232371")</f>
        <v>0.0</v>
      </c>
      <c r="M284" s="8">
        <f>D284-E284-L284</f>
        <v>13034604.0</v>
      </c>
      <c r="N284" s="7" t="s">
        <v>89</v>
      </c>
    </row>
    <row r="285" spans="1:14">
      <c r="A285" s="28">
        <v>277</v>
      </c>
      <c r="B285" s="28" t="s">
        <v>2072</v>
      </c>
      <c r="C285" s="7" t="s">
        <v>317</v>
      </c>
      <c r="D285" s="33">
        <v>32049812</v>
      </c>
      <c r="E285" s="33">
        <v>1205306</v>
      </c>
      <c r="F285" s="8">
        <f>INDEX('Rubro por CUI'!$E$5:$E$454,MATCH("001|2443679",'Rubro por CUI'!$N$5:$N$454,0))</f>
        <v>0.0</v>
      </c>
      <c r="G285" s="8">
        <f>INDEX('Rubro por CUI'!$F$5:$F$454,MATCH("001|2443679",'Rubro por CUI'!$N$5:$N$454,0))</f>
        <v>0.0</v>
      </c>
      <c r="H285" s="8">
        <f>INDEX('Rubro por CUI'!$G$5:$G$454,MATCH("001|2443679",'Rubro por CUI'!$N$5:$N$454,0))</f>
        <v>0.0</v>
      </c>
      <c r="I285" s="8">
        <f>INDEX('Rubro por CUI'!$H$5:$H$454,MATCH("001|2443679",'Rubro por CUI'!$N$5:$N$454,0))</f>
        <v>0.0</v>
      </c>
      <c r="J285" s="8">
        <f>INDEX('Rubro por CUI'!$I$5:$I$454,MATCH("001|2443679",'Rubro por CUI'!$N$5:$N$454,0))</f>
        <v>0.0</v>
      </c>
      <c r="K285" s="8">
        <f>L285-SUM(F285:J285)</f>
        <v>0.0</v>
      </c>
      <c r="L285" s="8">
        <f>SUMIFS(Base!$N$5:$N$504,Base!$A$5:$A$504,"001",Base!$F$5:$F$504,"2443679")</f>
        <v>0.0</v>
      </c>
      <c r="M285" s="8">
        <f>D285-E285-L285</f>
        <v>30844506.0</v>
      </c>
      <c r="N285" s="7" t="s">
        <v>89</v>
      </c>
    </row>
    <row r="286" spans="1:14">
      <c r="A286" s="28">
        <v>278</v>
      </c>
      <c r="B286" s="28" t="s">
        <v>2073</v>
      </c>
      <c r="C286" s="7" t="s">
        <v>945</v>
      </c>
      <c r="D286" s="33">
        <v>758645</v>
      </c>
      <c r="E286" s="33">
        <v>190710</v>
      </c>
      <c r="F286" s="8">
        <f>INDEX('Rubro por CUI'!$E$5:$E$454,MATCH("001|2185111",'Rubro por CUI'!$N$5:$N$454,0))</f>
        <v>0.0</v>
      </c>
      <c r="G286" s="8">
        <f>INDEX('Rubro por CUI'!$F$5:$F$454,MATCH("001|2185111",'Rubro por CUI'!$N$5:$N$454,0))</f>
        <v>0.0</v>
      </c>
      <c r="H286" s="8">
        <f>INDEX('Rubro por CUI'!$G$5:$G$454,MATCH("001|2185111",'Rubro por CUI'!$N$5:$N$454,0))</f>
        <v>0.0</v>
      </c>
      <c r="I286" s="8">
        <f>INDEX('Rubro por CUI'!$H$5:$H$454,MATCH("001|2185111",'Rubro por CUI'!$N$5:$N$454,0))</f>
        <v>0.0</v>
      </c>
      <c r="J286" s="8">
        <f>INDEX('Rubro por CUI'!$I$5:$I$454,MATCH("001|2185111",'Rubro por CUI'!$N$5:$N$454,0))</f>
        <v>0.0</v>
      </c>
      <c r="K286" s="8">
        <f>L286-SUM(F286:J286)</f>
        <v>0.0</v>
      </c>
      <c r="L286" s="8">
        <f>SUMIFS(Base!$N$5:$N$504,Base!$A$5:$A$504,"001",Base!$F$5:$F$504,"2185111")</f>
        <v>0.0</v>
      </c>
      <c r="M286" s="8">
        <f>D286-E286-L286</f>
        <v>567935.0</v>
      </c>
      <c r="N286" s="7" t="s">
        <v>89</v>
      </c>
    </row>
    <row r="287" spans="1:14">
      <c r="A287" s="28">
        <v>279</v>
      </c>
      <c r="B287" s="28" t="s">
        <v>2074</v>
      </c>
      <c r="C287" s="7" t="s">
        <v>949</v>
      </c>
      <c r="D287" s="7" t="s">
        <v>99</v>
      </c>
      <c r="E287" s="7" t="s">
        <v>99</v>
      </c>
      <c r="F287" s="8">
        <f>INDEX('Rubro por CUI'!$E$5:$E$454,MATCH("001|2338085",'Rubro por CUI'!$N$5:$N$454,0))</f>
        <v>0.0</v>
      </c>
      <c r="G287" s="8">
        <f>INDEX('Rubro por CUI'!$F$5:$F$454,MATCH("001|2338085",'Rubro por CUI'!$N$5:$N$454,0))</f>
        <v>0.0</v>
      </c>
      <c r="H287" s="8">
        <f>INDEX('Rubro por CUI'!$G$5:$G$454,MATCH("001|2338085",'Rubro por CUI'!$N$5:$N$454,0))</f>
        <v>0.0</v>
      </c>
      <c r="I287" s="8">
        <f>INDEX('Rubro por CUI'!$H$5:$H$454,MATCH("001|2338085",'Rubro por CUI'!$N$5:$N$454,0))</f>
        <v>0.0</v>
      </c>
      <c r="J287" s="8">
        <f>INDEX('Rubro por CUI'!$I$5:$I$454,MATCH("001|2338085",'Rubro por CUI'!$N$5:$N$454,0))</f>
        <v>0.0</v>
      </c>
      <c r="K287" s="8">
        <f>L287-SUM(F287:J287)</f>
        <v>0.0</v>
      </c>
      <c r="L287" s="8">
        <f>SUMIFS(Base!$N$5:$N$504,Base!$A$5:$A$504,"001",Base!$F$5:$F$504,"2338085")</f>
        <v>0.0</v>
      </c>
      <c r="M287" s="7" t="s">
        <v>99</v>
      </c>
      <c r="N287" s="7" t="s">
        <v>1796</v>
      </c>
    </row>
    <row r="288" spans="1:14">
      <c r="A288" s="28">
        <v>280</v>
      </c>
      <c r="B288" s="28" t="s">
        <v>1678</v>
      </c>
      <c r="C288" s="7" t="s">
        <v>954</v>
      </c>
      <c r="D288" s="33">
        <v>44171552</v>
      </c>
      <c r="E288" s="33">
        <v>1665439</v>
      </c>
      <c r="F288" s="8">
        <f>INDEX('Rubro por CUI'!$E$5:$E$454,MATCH("001|2316291",'Rubro por CUI'!$N$5:$N$454,0))</f>
        <v>0.0</v>
      </c>
      <c r="G288" s="8">
        <f>INDEX('Rubro por CUI'!$F$5:$F$454,MATCH("001|2316291",'Rubro por CUI'!$N$5:$N$454,0))</f>
        <v>0.0</v>
      </c>
      <c r="H288" s="8">
        <f>INDEX('Rubro por CUI'!$G$5:$G$454,MATCH("001|2316291",'Rubro por CUI'!$N$5:$N$454,0))</f>
        <v>0.0</v>
      </c>
      <c r="I288" s="8">
        <f>INDEX('Rubro por CUI'!$H$5:$H$454,MATCH("001|2316291",'Rubro por CUI'!$N$5:$N$454,0))</f>
        <v>0.0</v>
      </c>
      <c r="J288" s="8">
        <f>INDEX('Rubro por CUI'!$I$5:$I$454,MATCH("001|2316291",'Rubro por CUI'!$N$5:$N$454,0))</f>
        <v>0.0</v>
      </c>
      <c r="K288" s="8">
        <f>L288-SUM(F288:J288)</f>
        <v>0.0</v>
      </c>
      <c r="L288" s="8">
        <f>SUMIFS(Base!$N$5:$N$504,Base!$A$5:$A$504,"001",Base!$F$5:$F$504,"2316291")</f>
        <v>0.0</v>
      </c>
      <c r="M288" s="8">
        <f>D288-E288-L288</f>
        <v>42506113.0</v>
      </c>
      <c r="N288" s="7" t="s">
        <v>89</v>
      </c>
    </row>
    <row r="289" spans="1:14">
      <c r="A289" s="28">
        <v>281</v>
      </c>
      <c r="B289" s="28" t="s">
        <v>2075</v>
      </c>
      <c r="C289" s="7" t="s">
        <v>957</v>
      </c>
      <c r="D289" s="33">
        <v>79820259</v>
      </c>
      <c r="E289" s="33">
        <v>3285272</v>
      </c>
      <c r="F289" s="8">
        <f>INDEX('Rubro por CUI'!$E$5:$E$454,MATCH("001|2470024",'Rubro por CUI'!$N$5:$N$454,0))</f>
        <v>0.0</v>
      </c>
      <c r="G289" s="8">
        <f>INDEX('Rubro por CUI'!$F$5:$F$454,MATCH("001|2470024",'Rubro por CUI'!$N$5:$N$454,0))</f>
        <v>0.0</v>
      </c>
      <c r="H289" s="8">
        <f>INDEX('Rubro por CUI'!$G$5:$G$454,MATCH("001|2470024",'Rubro por CUI'!$N$5:$N$454,0))</f>
        <v>0.0</v>
      </c>
      <c r="I289" s="8">
        <f>INDEX('Rubro por CUI'!$H$5:$H$454,MATCH("001|2470024",'Rubro por CUI'!$N$5:$N$454,0))</f>
        <v>0.0</v>
      </c>
      <c r="J289" s="8">
        <f>INDEX('Rubro por CUI'!$I$5:$I$454,MATCH("001|2470024",'Rubro por CUI'!$N$5:$N$454,0))</f>
        <v>0.0</v>
      </c>
      <c r="K289" s="8">
        <f>L289-SUM(F289:J289)</f>
        <v>0.0</v>
      </c>
      <c r="L289" s="8">
        <f>SUMIFS(Base!$N$5:$N$504,Base!$A$5:$A$504,"001",Base!$F$5:$F$504,"2470024")</f>
        <v>0.0</v>
      </c>
      <c r="M289" s="8">
        <f>D289-E289-L289</f>
        <v>76534987.0</v>
      </c>
      <c r="N289" s="7" t="s">
        <v>89</v>
      </c>
    </row>
    <row r="290" spans="1:14">
      <c r="A290" s="28">
        <v>282</v>
      </c>
      <c r="B290" s="28" t="s">
        <v>2076</v>
      </c>
      <c r="C290" s="7" t="s">
        <v>967</v>
      </c>
      <c r="D290" s="33">
        <v>21013574</v>
      </c>
      <c r="E290" s="33">
        <v>400441</v>
      </c>
      <c r="F290" s="8">
        <f>INDEX('Rubro por CUI'!$E$5:$E$454,MATCH("001|2591732",'Rubro por CUI'!$N$5:$N$454,0))</f>
        <v>0.0</v>
      </c>
      <c r="G290" s="8">
        <f>INDEX('Rubro por CUI'!$F$5:$F$454,MATCH("001|2591732",'Rubro por CUI'!$N$5:$N$454,0))</f>
        <v>0.0</v>
      </c>
      <c r="H290" s="8">
        <f>INDEX('Rubro por CUI'!$G$5:$G$454,MATCH("001|2591732",'Rubro por CUI'!$N$5:$N$454,0))</f>
        <v>0.0</v>
      </c>
      <c r="I290" s="8">
        <f>INDEX('Rubro por CUI'!$H$5:$H$454,MATCH("001|2591732",'Rubro por CUI'!$N$5:$N$454,0))</f>
        <v>0.0</v>
      </c>
      <c r="J290" s="8">
        <f>INDEX('Rubro por CUI'!$I$5:$I$454,MATCH("001|2591732",'Rubro por CUI'!$N$5:$N$454,0))</f>
        <v>0.0</v>
      </c>
      <c r="K290" s="8">
        <f>L290-SUM(F290:J290)</f>
        <v>0.0</v>
      </c>
      <c r="L290" s="8">
        <f>SUMIFS(Base!$N$5:$N$504,Base!$A$5:$A$504,"001",Base!$F$5:$F$504,"2591732")</f>
        <v>0.0</v>
      </c>
      <c r="M290" s="8">
        <f>D290-E290-L290</f>
        <v>20613133.0</v>
      </c>
      <c r="N290" s="7" t="s">
        <v>89</v>
      </c>
    </row>
    <row r="291" spans="1:14">
      <c r="A291" s="28">
        <v>283</v>
      </c>
      <c r="B291" s="28" t="s">
        <v>2077</v>
      </c>
      <c r="C291" s="7" t="s">
        <v>1006</v>
      </c>
      <c r="D291" s="33">
        <v>35219188</v>
      </c>
      <c r="E291" s="33">
        <v>0</v>
      </c>
      <c r="F291" s="8">
        <f>INDEX('Rubro por CUI'!$E$5:$E$454,MATCH("001|2653926",'Rubro por CUI'!$N$5:$N$454,0))</f>
        <v>0.0</v>
      </c>
      <c r="G291" s="8">
        <f>INDEX('Rubro por CUI'!$F$5:$F$454,MATCH("001|2653926",'Rubro por CUI'!$N$5:$N$454,0))</f>
        <v>0.0</v>
      </c>
      <c r="H291" s="8">
        <f>INDEX('Rubro por CUI'!$G$5:$G$454,MATCH("001|2653926",'Rubro por CUI'!$N$5:$N$454,0))</f>
        <v>0.0</v>
      </c>
      <c r="I291" s="8">
        <f>INDEX('Rubro por CUI'!$H$5:$H$454,MATCH("001|2653926",'Rubro por CUI'!$N$5:$N$454,0))</f>
        <v>0.0</v>
      </c>
      <c r="J291" s="8">
        <f>INDEX('Rubro por CUI'!$I$5:$I$454,MATCH("001|2653926",'Rubro por CUI'!$N$5:$N$454,0))</f>
        <v>0.0</v>
      </c>
      <c r="K291" s="8">
        <f>L291-SUM(F291:J291)</f>
        <v>0.0</v>
      </c>
      <c r="L291" s="8">
        <f>SUMIFS(Base!$N$5:$N$504,Base!$A$5:$A$504,"001",Base!$F$5:$F$504,"2653926")</f>
        <v>0.0</v>
      </c>
      <c r="M291" s="8">
        <f>D291-E291-L291</f>
        <v>35219188.0</v>
      </c>
      <c r="N291" s="7" t="s">
        <v>89</v>
      </c>
    </row>
    <row r="292" spans="1:14">
      <c r="A292" s="28">
        <v>284</v>
      </c>
      <c r="B292" s="28" t="s">
        <v>2078</v>
      </c>
      <c r="C292" s="7" t="s">
        <v>1019</v>
      </c>
      <c r="D292" s="33">
        <v>58206330</v>
      </c>
      <c r="E292" s="33">
        <v>0</v>
      </c>
      <c r="F292" s="8">
        <f>INDEX('Rubro por CUI'!$E$5:$E$454,MATCH("001|2656599",'Rubro por CUI'!$N$5:$N$454,0))</f>
        <v>0.0</v>
      </c>
      <c r="G292" s="8">
        <f>INDEX('Rubro por CUI'!$F$5:$F$454,MATCH("001|2656599",'Rubro por CUI'!$N$5:$N$454,0))</f>
        <v>0.0</v>
      </c>
      <c r="H292" s="8">
        <f>INDEX('Rubro por CUI'!$G$5:$G$454,MATCH("001|2656599",'Rubro por CUI'!$N$5:$N$454,0))</f>
        <v>0.0</v>
      </c>
      <c r="I292" s="8">
        <f>INDEX('Rubro por CUI'!$H$5:$H$454,MATCH("001|2656599",'Rubro por CUI'!$N$5:$N$454,0))</f>
        <v>0.0</v>
      </c>
      <c r="J292" s="8">
        <f>INDEX('Rubro por CUI'!$I$5:$I$454,MATCH("001|2656599",'Rubro por CUI'!$N$5:$N$454,0))</f>
        <v>0.0</v>
      </c>
      <c r="K292" s="8">
        <f>L292-SUM(F292:J292)</f>
        <v>0.0</v>
      </c>
      <c r="L292" s="8">
        <f>SUMIFS(Base!$N$5:$N$504,Base!$A$5:$A$504,"001",Base!$F$5:$F$504,"2656599")</f>
        <v>0.0</v>
      </c>
      <c r="M292" s="8">
        <f>D292-E292-L292</f>
        <v>58206330.0</v>
      </c>
      <c r="N292" s="7" t="s">
        <v>89</v>
      </c>
    </row>
    <row r="293" spans="1:14">
      <c r="A293" s="28">
        <v>285</v>
      </c>
      <c r="B293" s="28" t="s">
        <v>2079</v>
      </c>
      <c r="C293" s="7" t="s">
        <v>1043</v>
      </c>
      <c r="D293" s="33">
        <v>70711709</v>
      </c>
      <c r="E293" s="33">
        <v>0</v>
      </c>
      <c r="F293" s="8">
        <f>INDEX('Rubro por CUI'!$E$5:$E$454,MATCH("001|2666182",'Rubro por CUI'!$N$5:$N$454,0))</f>
        <v>0.0</v>
      </c>
      <c r="G293" s="8">
        <f>INDEX('Rubro por CUI'!$F$5:$F$454,MATCH("001|2666182",'Rubro por CUI'!$N$5:$N$454,0))</f>
        <v>0.0</v>
      </c>
      <c r="H293" s="8">
        <f>INDEX('Rubro por CUI'!$G$5:$G$454,MATCH("001|2666182",'Rubro por CUI'!$N$5:$N$454,0))</f>
        <v>0.0</v>
      </c>
      <c r="I293" s="8">
        <f>INDEX('Rubro por CUI'!$H$5:$H$454,MATCH("001|2666182",'Rubro por CUI'!$N$5:$N$454,0))</f>
        <v>0.0</v>
      </c>
      <c r="J293" s="8">
        <f>INDEX('Rubro por CUI'!$I$5:$I$454,MATCH("001|2666182",'Rubro por CUI'!$N$5:$N$454,0))</f>
        <v>0.0</v>
      </c>
      <c r="K293" s="8">
        <f>L293-SUM(F293:J293)</f>
        <v>0.0</v>
      </c>
      <c r="L293" s="8">
        <f>SUMIFS(Base!$N$5:$N$504,Base!$A$5:$A$504,"001",Base!$F$5:$F$504,"2666182")</f>
        <v>0.0</v>
      </c>
      <c r="M293" s="8">
        <f>D293-E293-L293</f>
        <v>70711709.0</v>
      </c>
      <c r="N293" s="7" t="s">
        <v>89</v>
      </c>
    </row>
    <row r="294" spans="1:14">
      <c r="A294" s="25" t="s">
        <v>319</v>
      </c>
      <c r="B294" s="25"/>
      <c r="C294" s="25"/>
      <c r="D294" s="26">
        <f>SUM(D295:D313)</f>
        <v>347938229.0</v>
      </c>
      <c r="E294" s="26">
        <f>SUM(E295:E313)</f>
        <v>140759543.0</v>
      </c>
      <c r="F294" s="26">
        <f>SUM(F295:F313)</f>
        <v>19217.0</v>
      </c>
      <c r="G294" s="26">
        <f>SUM(G295:G313)</f>
        <v>0.0</v>
      </c>
      <c r="H294" s="26">
        <f>SUM(H295:H313)</f>
        <v>42144768.0</v>
      </c>
      <c r="I294" s="26">
        <f>SUM(I295:I313)</f>
        <v>0.0</v>
      </c>
      <c r="J294" s="26">
        <f>SUM(J295:J313)</f>
        <v>0.0</v>
      </c>
      <c r="K294" s="26">
        <f>SUM(K295:K313)</f>
        <v>0.0</v>
      </c>
      <c r="L294" s="26">
        <f>SUM(L295:L313)</f>
        <v>42163985.0</v>
      </c>
      <c r="M294" s="26">
        <f>SUM(M295:M313)</f>
        <v>166283918.0</v>
      </c>
      <c r="N294" s="25"/>
    </row>
    <row r="295" spans="1:14">
      <c r="A295" s="28">
        <v>286</v>
      </c>
      <c r="B295" s="28" t="s">
        <v>2080</v>
      </c>
      <c r="C295" s="7" t="s">
        <v>585</v>
      </c>
      <c r="D295" s="33">
        <v>24641914</v>
      </c>
      <c r="E295" s="33">
        <v>450039</v>
      </c>
      <c r="F295" s="8">
        <f>INDEX('Rubro por CUI'!$E$5:$E$454,MATCH("001|2292669",'Rubro por CUI'!$N$5:$N$454,0))</f>
        <v>0.0</v>
      </c>
      <c r="G295" s="8">
        <f>INDEX('Rubro por CUI'!$F$5:$F$454,MATCH("001|2292669",'Rubro por CUI'!$N$5:$N$454,0))</f>
        <v>0.0</v>
      </c>
      <c r="H295" s="8">
        <f>INDEX('Rubro por CUI'!$G$5:$G$454,MATCH("001|2292669",'Rubro por CUI'!$N$5:$N$454,0))</f>
        <v>6912542.0</v>
      </c>
      <c r="I295" s="8">
        <f>INDEX('Rubro por CUI'!$H$5:$H$454,MATCH("001|2292669",'Rubro por CUI'!$N$5:$N$454,0))</f>
        <v>0.0</v>
      </c>
      <c r="J295" s="8">
        <f>INDEX('Rubro por CUI'!$I$5:$I$454,MATCH("001|2292669",'Rubro por CUI'!$N$5:$N$454,0))</f>
        <v>0.0</v>
      </c>
      <c r="K295" s="8">
        <f>L295-SUM(F295:J295)</f>
        <v>0.0</v>
      </c>
      <c r="L295" s="8">
        <f>SUMIFS(Base!$N$5:$N$504,Base!$A$5:$A$504,"001",Base!$F$5:$F$504,"2292669")</f>
        <v>6912542.0</v>
      </c>
      <c r="M295" s="8">
        <f>D295-E295-L295</f>
        <v>17279333.0</v>
      </c>
      <c r="N295" s="7" t="s">
        <v>89</v>
      </c>
    </row>
    <row r="296" spans="1:14">
      <c r="A296" s="28">
        <v>287</v>
      </c>
      <c r="B296" s="28" t="s">
        <v>2081</v>
      </c>
      <c r="C296" s="7" t="s">
        <v>325</v>
      </c>
      <c r="D296" s="33">
        <v>54441576</v>
      </c>
      <c r="E296" s="33">
        <v>44799150</v>
      </c>
      <c r="F296" s="8">
        <f>INDEX('Rubro por CUI'!$E$5:$E$454,MATCH("001|2188542",'Rubro por CUI'!$N$5:$N$454,0))</f>
        <v>0.0</v>
      </c>
      <c r="G296" s="8">
        <f>INDEX('Rubro por CUI'!$F$5:$F$454,MATCH("001|2188542",'Rubro por CUI'!$N$5:$N$454,0))</f>
        <v>0.0</v>
      </c>
      <c r="H296" s="8">
        <f>INDEX('Rubro por CUI'!$G$5:$G$454,MATCH("001|2188542",'Rubro por CUI'!$N$5:$N$454,0))</f>
        <v>5921783.0</v>
      </c>
      <c r="I296" s="8">
        <f>INDEX('Rubro por CUI'!$H$5:$H$454,MATCH("001|2188542",'Rubro por CUI'!$N$5:$N$454,0))</f>
        <v>0.0</v>
      </c>
      <c r="J296" s="8">
        <f>INDEX('Rubro por CUI'!$I$5:$I$454,MATCH("001|2188542",'Rubro por CUI'!$N$5:$N$454,0))</f>
        <v>0.0</v>
      </c>
      <c r="K296" s="8">
        <f>L296-SUM(F296:J296)</f>
        <v>0.0</v>
      </c>
      <c r="L296" s="8">
        <f>SUMIFS(Base!$N$5:$N$504,Base!$A$5:$A$504,"001",Base!$F$5:$F$504,"2188542")</f>
        <v>5921783.0</v>
      </c>
      <c r="M296" s="8">
        <f>D296-E296-L296</f>
        <v>3720643.0</v>
      </c>
      <c r="N296" s="7" t="s">
        <v>89</v>
      </c>
    </row>
    <row r="297" spans="1:14">
      <c r="A297" s="28">
        <v>288</v>
      </c>
      <c r="B297" s="28" t="s">
        <v>2082</v>
      </c>
      <c r="C297" s="7" t="s">
        <v>322</v>
      </c>
      <c r="D297" s="33">
        <v>35568824</v>
      </c>
      <c r="E297" s="33">
        <v>22846515</v>
      </c>
      <c r="F297" s="8">
        <f>INDEX('Rubro por CUI'!$E$5:$E$454,MATCH("001|2163853",'Rubro por CUI'!$N$5:$N$454,0))</f>
        <v>0.0</v>
      </c>
      <c r="G297" s="8">
        <f>INDEX('Rubro por CUI'!$F$5:$F$454,MATCH("001|2163853",'Rubro por CUI'!$N$5:$N$454,0))</f>
        <v>0.0</v>
      </c>
      <c r="H297" s="8">
        <f>INDEX('Rubro por CUI'!$G$5:$G$454,MATCH("001|2163853",'Rubro por CUI'!$N$5:$N$454,0))</f>
        <v>5810277.0</v>
      </c>
      <c r="I297" s="8">
        <f>INDEX('Rubro por CUI'!$H$5:$H$454,MATCH("001|2163853",'Rubro por CUI'!$N$5:$N$454,0))</f>
        <v>0.0</v>
      </c>
      <c r="J297" s="8">
        <f>INDEX('Rubro por CUI'!$I$5:$I$454,MATCH("001|2163853",'Rubro por CUI'!$N$5:$N$454,0))</f>
        <v>0.0</v>
      </c>
      <c r="K297" s="8">
        <f>L297-SUM(F297:J297)</f>
        <v>0.0</v>
      </c>
      <c r="L297" s="8">
        <f>SUMIFS(Base!$N$5:$N$504,Base!$A$5:$A$504,"001",Base!$F$5:$F$504,"2163853")</f>
        <v>5810277.0</v>
      </c>
      <c r="M297" s="8">
        <f>D297-E297-L297</f>
        <v>6912032.0</v>
      </c>
      <c r="N297" s="7" t="s">
        <v>89</v>
      </c>
    </row>
    <row r="298" spans="1:14">
      <c r="A298" s="28">
        <v>289</v>
      </c>
      <c r="B298" s="28" t="s">
        <v>2083</v>
      </c>
      <c r="C298" s="7" t="s">
        <v>504</v>
      </c>
      <c r="D298" s="33">
        <v>7636099</v>
      </c>
      <c r="E298" s="33">
        <v>112934</v>
      </c>
      <c r="F298" s="8">
        <f>INDEX('Rubro por CUI'!$E$5:$E$454,MATCH("001|2646109",'Rubro por CUI'!$N$5:$N$454,0))</f>
        <v>0.0</v>
      </c>
      <c r="G298" s="8">
        <f>INDEX('Rubro por CUI'!$F$5:$F$454,MATCH("001|2646109",'Rubro por CUI'!$N$5:$N$454,0))</f>
        <v>0.0</v>
      </c>
      <c r="H298" s="8">
        <f>INDEX('Rubro por CUI'!$G$5:$G$454,MATCH("001|2646109",'Rubro por CUI'!$N$5:$N$454,0))</f>
        <v>4474004.0</v>
      </c>
      <c r="I298" s="8">
        <f>INDEX('Rubro por CUI'!$H$5:$H$454,MATCH("001|2646109",'Rubro por CUI'!$N$5:$N$454,0))</f>
        <v>0.0</v>
      </c>
      <c r="J298" s="8">
        <f>INDEX('Rubro por CUI'!$I$5:$I$454,MATCH("001|2646109",'Rubro por CUI'!$N$5:$N$454,0))</f>
        <v>0.0</v>
      </c>
      <c r="K298" s="8">
        <f>L298-SUM(F298:J298)</f>
        <v>0.0</v>
      </c>
      <c r="L298" s="8">
        <f>SUMIFS(Base!$N$5:$N$504,Base!$A$5:$A$504,"001",Base!$F$5:$F$504,"2646109")</f>
        <v>4474004.0</v>
      </c>
      <c r="M298" s="8">
        <f>D298-E298-L298</f>
        <v>3049161.0</v>
      </c>
      <c r="N298" s="7" t="s">
        <v>89</v>
      </c>
    </row>
    <row r="299" spans="1:14">
      <c r="A299" s="28">
        <v>290</v>
      </c>
      <c r="B299" s="28" t="s">
        <v>2084</v>
      </c>
      <c r="C299" s="7" t="s">
        <v>588</v>
      </c>
      <c r="D299" s="33">
        <v>5313824</v>
      </c>
      <c r="E299" s="33">
        <v>122835</v>
      </c>
      <c r="F299" s="8">
        <f>INDEX('Rubro por CUI'!$E$5:$E$454,MATCH("001|2645376",'Rubro por CUI'!$N$5:$N$454,0))</f>
        <v>0.0</v>
      </c>
      <c r="G299" s="8">
        <f>INDEX('Rubro por CUI'!$F$5:$F$454,MATCH("001|2645376",'Rubro por CUI'!$N$5:$N$454,0))</f>
        <v>0.0</v>
      </c>
      <c r="H299" s="8">
        <f>INDEX('Rubro por CUI'!$G$5:$G$454,MATCH("001|2645376",'Rubro por CUI'!$N$5:$N$454,0))</f>
        <v>3796481.0</v>
      </c>
      <c r="I299" s="8">
        <f>INDEX('Rubro por CUI'!$H$5:$H$454,MATCH("001|2645376",'Rubro por CUI'!$N$5:$N$454,0))</f>
        <v>0.0</v>
      </c>
      <c r="J299" s="8">
        <f>INDEX('Rubro por CUI'!$I$5:$I$454,MATCH("001|2645376",'Rubro por CUI'!$N$5:$N$454,0))</f>
        <v>0.0</v>
      </c>
      <c r="K299" s="8">
        <f>L299-SUM(F299:J299)</f>
        <v>0.0</v>
      </c>
      <c r="L299" s="8">
        <f>SUMIFS(Base!$N$5:$N$504,Base!$A$5:$A$504,"001",Base!$F$5:$F$504,"2645376")</f>
        <v>3796481.0</v>
      </c>
      <c r="M299" s="8">
        <f>D299-E299-L299</f>
        <v>1394508.0</v>
      </c>
      <c r="N299" s="7" t="s">
        <v>89</v>
      </c>
    </row>
    <row r="300" spans="1:14">
      <c r="A300" s="28">
        <v>291</v>
      </c>
      <c r="B300" s="28" t="s">
        <v>2085</v>
      </c>
      <c r="C300" s="7" t="s">
        <v>340</v>
      </c>
      <c r="D300" s="33">
        <v>6600708</v>
      </c>
      <c r="E300" s="33">
        <v>120315</v>
      </c>
      <c r="F300" s="8">
        <f>INDEX('Rubro por CUI'!$E$5:$E$454,MATCH("001|2645380",'Rubro por CUI'!$N$5:$N$454,0))</f>
        <v>0.0</v>
      </c>
      <c r="G300" s="8">
        <f>INDEX('Rubro por CUI'!$F$5:$F$454,MATCH("001|2645380",'Rubro por CUI'!$N$5:$N$454,0))</f>
        <v>0.0</v>
      </c>
      <c r="H300" s="8">
        <f>INDEX('Rubro por CUI'!$G$5:$G$454,MATCH("001|2645380",'Rubro por CUI'!$N$5:$N$454,0))</f>
        <v>2575916.0</v>
      </c>
      <c r="I300" s="8">
        <f>INDEX('Rubro por CUI'!$H$5:$H$454,MATCH("001|2645380",'Rubro por CUI'!$N$5:$N$454,0))</f>
        <v>0.0</v>
      </c>
      <c r="J300" s="8">
        <f>INDEX('Rubro por CUI'!$I$5:$I$454,MATCH("001|2645380",'Rubro por CUI'!$N$5:$N$454,0))</f>
        <v>0.0</v>
      </c>
      <c r="K300" s="8">
        <f>L300-SUM(F300:J300)</f>
        <v>0.0</v>
      </c>
      <c r="L300" s="8">
        <f>SUMIFS(Base!$N$5:$N$504,Base!$A$5:$A$504,"001",Base!$F$5:$F$504,"2645380")</f>
        <v>2575916.0</v>
      </c>
      <c r="M300" s="8">
        <f>D300-E300-L300</f>
        <v>3904477.0</v>
      </c>
      <c r="N300" s="7" t="s">
        <v>89</v>
      </c>
    </row>
    <row r="301" spans="1:14">
      <c r="A301" s="28">
        <v>292</v>
      </c>
      <c r="B301" s="28" t="s">
        <v>2086</v>
      </c>
      <c r="C301" s="7" t="s">
        <v>336</v>
      </c>
      <c r="D301" s="33">
        <v>4751583</v>
      </c>
      <c r="E301" s="33">
        <v>136947</v>
      </c>
      <c r="F301" s="8">
        <f>INDEX('Rubro por CUI'!$E$5:$E$454,MATCH("001|2646100",'Rubro por CUI'!$N$5:$N$454,0))</f>
        <v>0.0</v>
      </c>
      <c r="G301" s="8">
        <f>INDEX('Rubro por CUI'!$F$5:$F$454,MATCH("001|2646100",'Rubro por CUI'!$N$5:$N$454,0))</f>
        <v>0.0</v>
      </c>
      <c r="H301" s="8">
        <f>INDEX('Rubro por CUI'!$G$5:$G$454,MATCH("001|2646100",'Rubro por CUI'!$N$5:$N$454,0))</f>
        <v>2167000.0</v>
      </c>
      <c r="I301" s="8">
        <f>INDEX('Rubro por CUI'!$H$5:$H$454,MATCH("001|2646100",'Rubro por CUI'!$N$5:$N$454,0))</f>
        <v>0.0</v>
      </c>
      <c r="J301" s="8">
        <f>INDEX('Rubro por CUI'!$I$5:$I$454,MATCH("001|2646100",'Rubro por CUI'!$N$5:$N$454,0))</f>
        <v>0.0</v>
      </c>
      <c r="K301" s="8">
        <f>L301-SUM(F301:J301)</f>
        <v>0.0</v>
      </c>
      <c r="L301" s="8">
        <f>SUMIFS(Base!$N$5:$N$504,Base!$A$5:$A$504,"001",Base!$F$5:$F$504,"2646100")</f>
        <v>2167000.0</v>
      </c>
      <c r="M301" s="8">
        <f>D301-E301-L301</f>
        <v>2447636.0</v>
      </c>
      <c r="N301" s="7" t="s">
        <v>89</v>
      </c>
    </row>
    <row r="302" spans="1:14">
      <c r="A302" s="28">
        <v>293</v>
      </c>
      <c r="B302" s="28" t="s">
        <v>2087</v>
      </c>
      <c r="C302" s="7" t="s">
        <v>343</v>
      </c>
      <c r="D302" s="33">
        <v>5598164</v>
      </c>
      <c r="E302" s="33">
        <v>120309</v>
      </c>
      <c r="F302" s="8">
        <f>INDEX('Rubro por CUI'!$E$5:$E$454,MATCH("001|2646096",'Rubro por CUI'!$N$5:$N$454,0))</f>
        <v>0.0</v>
      </c>
      <c r="G302" s="8">
        <f>INDEX('Rubro por CUI'!$F$5:$F$454,MATCH("001|2646096",'Rubro por CUI'!$N$5:$N$454,0))</f>
        <v>0.0</v>
      </c>
      <c r="H302" s="8">
        <f>INDEX('Rubro por CUI'!$G$5:$G$454,MATCH("001|2646096",'Rubro por CUI'!$N$5:$N$454,0))</f>
        <v>2054253.0</v>
      </c>
      <c r="I302" s="8">
        <f>INDEX('Rubro por CUI'!$H$5:$H$454,MATCH("001|2646096",'Rubro por CUI'!$N$5:$N$454,0))</f>
        <v>0.0</v>
      </c>
      <c r="J302" s="8">
        <f>INDEX('Rubro por CUI'!$I$5:$I$454,MATCH("001|2646096",'Rubro por CUI'!$N$5:$N$454,0))</f>
        <v>0.0</v>
      </c>
      <c r="K302" s="8">
        <f>L302-SUM(F302:J302)</f>
        <v>0.0</v>
      </c>
      <c r="L302" s="8">
        <f>SUMIFS(Base!$N$5:$N$504,Base!$A$5:$A$504,"001",Base!$F$5:$F$504,"2646096")</f>
        <v>2054253.0</v>
      </c>
      <c r="M302" s="8">
        <f>D302-E302-L302</f>
        <v>3423602.0</v>
      </c>
      <c r="N302" s="7" t="s">
        <v>89</v>
      </c>
    </row>
    <row r="303" spans="1:14">
      <c r="A303" s="28">
        <v>294</v>
      </c>
      <c r="B303" s="28" t="s">
        <v>2088</v>
      </c>
      <c r="C303" s="7" t="s">
        <v>349</v>
      </c>
      <c r="D303" s="33">
        <v>4028416</v>
      </c>
      <c r="E303" s="33">
        <v>121609</v>
      </c>
      <c r="F303" s="8">
        <f>INDEX('Rubro por CUI'!$E$5:$E$454,MATCH("001|2555837",'Rubro por CUI'!$N$5:$N$454,0))</f>
        <v>0.0</v>
      </c>
      <c r="G303" s="8">
        <f>INDEX('Rubro por CUI'!$F$5:$F$454,MATCH("001|2555837",'Rubro por CUI'!$N$5:$N$454,0))</f>
        <v>0.0</v>
      </c>
      <c r="H303" s="8">
        <f>INDEX('Rubro por CUI'!$G$5:$G$454,MATCH("001|2555837",'Rubro por CUI'!$N$5:$N$454,0))</f>
        <v>2047936.0</v>
      </c>
      <c r="I303" s="8">
        <f>INDEX('Rubro por CUI'!$H$5:$H$454,MATCH("001|2555837",'Rubro por CUI'!$N$5:$N$454,0))</f>
        <v>0.0</v>
      </c>
      <c r="J303" s="8">
        <f>INDEX('Rubro por CUI'!$I$5:$I$454,MATCH("001|2555837",'Rubro por CUI'!$N$5:$N$454,0))</f>
        <v>0.0</v>
      </c>
      <c r="K303" s="8">
        <f>L303-SUM(F303:J303)</f>
        <v>0.0</v>
      </c>
      <c r="L303" s="8">
        <f>SUMIFS(Base!$N$5:$N$504,Base!$A$5:$A$504,"001",Base!$F$5:$F$504,"2555837")</f>
        <v>2047936.0</v>
      </c>
      <c r="M303" s="8">
        <f>D303-E303-L303</f>
        <v>1858871.0</v>
      </c>
      <c r="N303" s="7" t="s">
        <v>89</v>
      </c>
    </row>
    <row r="304" spans="1:14">
      <c r="A304" s="28">
        <v>295</v>
      </c>
      <c r="B304" s="28" t="s">
        <v>2089</v>
      </c>
      <c r="C304" s="7" t="s">
        <v>346</v>
      </c>
      <c r="D304" s="33">
        <v>4402807</v>
      </c>
      <c r="E304" s="33">
        <v>116408</v>
      </c>
      <c r="F304" s="8">
        <f>INDEX('Rubro por CUI'!$E$5:$E$454,MATCH("001|2645340",'Rubro por CUI'!$N$5:$N$454,0))</f>
        <v>0.0</v>
      </c>
      <c r="G304" s="8">
        <f>INDEX('Rubro por CUI'!$F$5:$F$454,MATCH("001|2645340",'Rubro por CUI'!$N$5:$N$454,0))</f>
        <v>0.0</v>
      </c>
      <c r="H304" s="8">
        <f>INDEX('Rubro por CUI'!$G$5:$G$454,MATCH("001|2645340",'Rubro por CUI'!$N$5:$N$454,0))</f>
        <v>2038388.0</v>
      </c>
      <c r="I304" s="8">
        <f>INDEX('Rubro por CUI'!$H$5:$H$454,MATCH("001|2645340",'Rubro por CUI'!$N$5:$N$454,0))</f>
        <v>0.0</v>
      </c>
      <c r="J304" s="8">
        <f>INDEX('Rubro por CUI'!$I$5:$I$454,MATCH("001|2645340",'Rubro por CUI'!$N$5:$N$454,0))</f>
        <v>0.0</v>
      </c>
      <c r="K304" s="8">
        <f>L304-SUM(F304:J304)</f>
        <v>0.0</v>
      </c>
      <c r="L304" s="8">
        <f>SUMIFS(Base!$N$5:$N$504,Base!$A$5:$A$504,"001",Base!$F$5:$F$504,"2645340")</f>
        <v>2038388.0</v>
      </c>
      <c r="M304" s="8">
        <f>D304-E304-L304</f>
        <v>2248011.0</v>
      </c>
      <c r="N304" s="7" t="s">
        <v>89</v>
      </c>
    </row>
    <row r="305" spans="1:14">
      <c r="A305" s="28">
        <v>296</v>
      </c>
      <c r="B305" s="28" t="s">
        <v>2090</v>
      </c>
      <c r="C305" s="7" t="s">
        <v>331</v>
      </c>
      <c r="D305" s="33">
        <v>149755133</v>
      </c>
      <c r="E305" s="33">
        <v>71240286</v>
      </c>
      <c r="F305" s="8">
        <f>INDEX('Rubro por CUI'!$E$5:$E$454,MATCH("001|2186641",'Rubro por CUI'!$N$5:$N$454,0))</f>
        <v>0.0</v>
      </c>
      <c r="G305" s="8">
        <f>INDEX('Rubro por CUI'!$F$5:$F$454,MATCH("001|2186641",'Rubro por CUI'!$N$5:$N$454,0))</f>
        <v>0.0</v>
      </c>
      <c r="H305" s="8">
        <f>INDEX('Rubro por CUI'!$G$5:$G$454,MATCH("001|2186641",'Rubro por CUI'!$N$5:$N$454,0))</f>
        <v>1506514.0</v>
      </c>
      <c r="I305" s="8">
        <f>INDEX('Rubro por CUI'!$H$5:$H$454,MATCH("001|2186641",'Rubro por CUI'!$N$5:$N$454,0))</f>
        <v>0.0</v>
      </c>
      <c r="J305" s="8">
        <f>INDEX('Rubro por CUI'!$I$5:$I$454,MATCH("001|2186641",'Rubro por CUI'!$N$5:$N$454,0))</f>
        <v>0.0</v>
      </c>
      <c r="K305" s="8">
        <f>L305-SUM(F305:J305)</f>
        <v>0.0</v>
      </c>
      <c r="L305" s="8">
        <f>SUMIFS(Base!$N$5:$N$504,Base!$A$5:$A$504,"001",Base!$F$5:$F$504,"2186641")</f>
        <v>1506514.0</v>
      </c>
      <c r="M305" s="8">
        <f>D305-E305-L305</f>
        <v>77008333.0</v>
      </c>
      <c r="N305" s="7" t="s">
        <v>89</v>
      </c>
    </row>
    <row r="306" spans="1:14">
      <c r="A306" s="28">
        <v>297</v>
      </c>
      <c r="B306" s="28" t="s">
        <v>2091</v>
      </c>
      <c r="C306" s="7" t="s">
        <v>499</v>
      </c>
      <c r="D306" s="33">
        <v>3656947</v>
      </c>
      <c r="E306" s="33">
        <v>101141</v>
      </c>
      <c r="F306" s="8">
        <f>INDEX('Rubro por CUI'!$E$5:$E$454,MATCH("001|2645446",'Rubro por CUI'!$N$5:$N$454,0))</f>
        <v>0.0</v>
      </c>
      <c r="G306" s="8">
        <f>INDEX('Rubro por CUI'!$F$5:$F$454,MATCH("001|2645446",'Rubro por CUI'!$N$5:$N$454,0))</f>
        <v>0.0</v>
      </c>
      <c r="H306" s="8">
        <f>INDEX('Rubro por CUI'!$G$5:$G$454,MATCH("001|2645446",'Rubro por CUI'!$N$5:$N$454,0))</f>
        <v>1075076.0</v>
      </c>
      <c r="I306" s="8">
        <f>INDEX('Rubro por CUI'!$H$5:$H$454,MATCH("001|2645446",'Rubro por CUI'!$N$5:$N$454,0))</f>
        <v>0.0</v>
      </c>
      <c r="J306" s="8">
        <f>INDEX('Rubro por CUI'!$I$5:$I$454,MATCH("001|2645446",'Rubro por CUI'!$N$5:$N$454,0))</f>
        <v>0.0</v>
      </c>
      <c r="K306" s="8">
        <f>L306-SUM(F306:J306)</f>
        <v>0.0</v>
      </c>
      <c r="L306" s="8">
        <f>SUMIFS(Base!$N$5:$N$504,Base!$A$5:$A$504,"001",Base!$F$5:$F$504,"2645446")</f>
        <v>1075076.0</v>
      </c>
      <c r="M306" s="8">
        <f>D306-E306-L306</f>
        <v>2480730.0</v>
      </c>
      <c r="N306" s="7" t="s">
        <v>89</v>
      </c>
    </row>
    <row r="307" spans="1:14">
      <c r="A307" s="28">
        <v>298</v>
      </c>
      <c r="B307" s="28" t="s">
        <v>2092</v>
      </c>
      <c r="C307" s="7" t="s">
        <v>508</v>
      </c>
      <c r="D307" s="7" t="s">
        <v>99</v>
      </c>
      <c r="E307" s="7" t="s">
        <v>99</v>
      </c>
      <c r="F307" s="8">
        <f>INDEX('Rubro por CUI'!$E$5:$E$454,MATCH("001|2630072",'Rubro por CUI'!$N$5:$N$454,0))</f>
        <v>0.0</v>
      </c>
      <c r="G307" s="8">
        <f>INDEX('Rubro por CUI'!$F$5:$F$454,MATCH("001|2630072",'Rubro por CUI'!$N$5:$N$454,0))</f>
        <v>0.0</v>
      </c>
      <c r="H307" s="8">
        <f>INDEX('Rubro por CUI'!$G$5:$G$454,MATCH("001|2630072",'Rubro por CUI'!$N$5:$N$454,0))</f>
        <v>900000.0</v>
      </c>
      <c r="I307" s="8">
        <f>INDEX('Rubro por CUI'!$H$5:$H$454,MATCH("001|2630072",'Rubro por CUI'!$N$5:$N$454,0))</f>
        <v>0.0</v>
      </c>
      <c r="J307" s="8">
        <f>INDEX('Rubro por CUI'!$I$5:$I$454,MATCH("001|2630072",'Rubro por CUI'!$N$5:$N$454,0))</f>
        <v>0.0</v>
      </c>
      <c r="K307" s="8">
        <f>L307-SUM(F307:J307)</f>
        <v>0.0</v>
      </c>
      <c r="L307" s="8">
        <f>SUMIFS(Base!$N$5:$N$504,Base!$A$5:$A$504,"001",Base!$F$5:$F$504,"2630072")</f>
        <v>900000.0</v>
      </c>
      <c r="M307" s="7" t="s">
        <v>99</v>
      </c>
      <c r="N307" s="7" t="s">
        <v>1796</v>
      </c>
    </row>
    <row r="308" spans="1:14">
      <c r="A308" s="28">
        <v>299</v>
      </c>
      <c r="B308" s="28" t="s">
        <v>2093</v>
      </c>
      <c r="C308" s="7" t="s">
        <v>1065</v>
      </c>
      <c r="D308" s="7" t="s">
        <v>99</v>
      </c>
      <c r="E308" s="7" t="s">
        <v>99</v>
      </c>
      <c r="F308" s="8">
        <f>INDEX('Rubro por CUI'!$E$5:$E$454,MATCH("001|2527207",'Rubro por CUI'!$N$5:$N$454,0))</f>
        <v>19217.0</v>
      </c>
      <c r="G308" s="8">
        <f>INDEX('Rubro por CUI'!$F$5:$F$454,MATCH("001|2527207",'Rubro por CUI'!$N$5:$N$454,0))</f>
        <v>0.0</v>
      </c>
      <c r="H308" s="8">
        <f>INDEX('Rubro por CUI'!$G$5:$G$454,MATCH("001|2527207",'Rubro por CUI'!$N$5:$N$454,0))</f>
        <v>350000.0</v>
      </c>
      <c r="I308" s="8">
        <f>INDEX('Rubro por CUI'!$H$5:$H$454,MATCH("001|2527207",'Rubro por CUI'!$N$5:$N$454,0))</f>
        <v>0.0</v>
      </c>
      <c r="J308" s="8">
        <f>INDEX('Rubro por CUI'!$I$5:$I$454,MATCH("001|2527207",'Rubro por CUI'!$N$5:$N$454,0))</f>
        <v>0.0</v>
      </c>
      <c r="K308" s="8">
        <f>L308-SUM(F308:J308)</f>
        <v>0.0</v>
      </c>
      <c r="L308" s="8">
        <f>SUMIFS(Base!$N$5:$N$504,Base!$A$5:$A$504,"001",Base!$F$5:$F$504,"2527207")</f>
        <v>369217.0</v>
      </c>
      <c r="M308" s="7" t="s">
        <v>99</v>
      </c>
      <c r="N308" s="7" t="s">
        <v>1796</v>
      </c>
    </row>
    <row r="309" spans="1:14">
      <c r="A309" s="28">
        <v>300</v>
      </c>
      <c r="B309" s="28" t="s">
        <v>2094</v>
      </c>
      <c r="C309" s="7" t="s">
        <v>352</v>
      </c>
      <c r="D309" s="33">
        <v>17157311</v>
      </c>
      <c r="E309" s="33">
        <v>137406</v>
      </c>
      <c r="F309" s="8">
        <f>INDEX('Rubro por CUI'!$E$5:$E$454,MATCH("001|2593683",'Rubro por CUI'!$N$5:$N$454,0))</f>
        <v>0.0</v>
      </c>
      <c r="G309" s="8">
        <f>INDEX('Rubro por CUI'!$F$5:$F$454,MATCH("001|2593683",'Rubro por CUI'!$N$5:$N$454,0))</f>
        <v>0.0</v>
      </c>
      <c r="H309" s="8">
        <f>INDEX('Rubro por CUI'!$G$5:$G$454,MATCH("001|2593683",'Rubro por CUI'!$N$5:$N$454,0))</f>
        <v>290270.0</v>
      </c>
      <c r="I309" s="8">
        <f>INDEX('Rubro por CUI'!$H$5:$H$454,MATCH("001|2593683",'Rubro por CUI'!$N$5:$N$454,0))</f>
        <v>0.0</v>
      </c>
      <c r="J309" s="8">
        <f>INDEX('Rubro por CUI'!$I$5:$I$454,MATCH("001|2593683",'Rubro por CUI'!$N$5:$N$454,0))</f>
        <v>0.0</v>
      </c>
      <c r="K309" s="8">
        <f>L309-SUM(F309:J309)</f>
        <v>0.0</v>
      </c>
      <c r="L309" s="8">
        <f>SUMIFS(Base!$N$5:$N$504,Base!$A$5:$A$504,"001",Base!$F$5:$F$504,"2593683")</f>
        <v>290270.0</v>
      </c>
      <c r="M309" s="8">
        <f>D309-E309-L309</f>
        <v>16729635.0</v>
      </c>
      <c r="N309" s="7" t="s">
        <v>89</v>
      </c>
    </row>
    <row r="310" spans="1:14">
      <c r="A310" s="28">
        <v>301</v>
      </c>
      <c r="B310" s="28" t="s">
        <v>2095</v>
      </c>
      <c r="C310" s="7" t="s">
        <v>713</v>
      </c>
      <c r="D310" s="33">
        <v>3540051</v>
      </c>
      <c r="E310" s="33">
        <v>0</v>
      </c>
      <c r="F310" s="8">
        <f>INDEX('Rubro por CUI'!$E$5:$E$454,MATCH("001|2714049",'Rubro por CUI'!$N$5:$N$454,0))</f>
        <v>0.0</v>
      </c>
      <c r="G310" s="8">
        <f>INDEX('Rubro por CUI'!$F$5:$F$454,MATCH("001|2714049",'Rubro por CUI'!$N$5:$N$454,0))</f>
        <v>0.0</v>
      </c>
      <c r="H310" s="8">
        <f>INDEX('Rubro por CUI'!$G$5:$G$454,MATCH("001|2714049",'Rubro por CUI'!$N$5:$N$454,0))</f>
        <v>100021.0</v>
      </c>
      <c r="I310" s="8">
        <f>INDEX('Rubro por CUI'!$H$5:$H$454,MATCH("001|2714049",'Rubro por CUI'!$N$5:$N$454,0))</f>
        <v>0.0</v>
      </c>
      <c r="J310" s="8">
        <f>INDEX('Rubro por CUI'!$I$5:$I$454,MATCH("001|2714049",'Rubro por CUI'!$N$5:$N$454,0))</f>
        <v>0.0</v>
      </c>
      <c r="K310" s="8">
        <f>L310-SUM(F310:J310)</f>
        <v>0.0</v>
      </c>
      <c r="L310" s="8">
        <f>SUMIFS(Base!$N$5:$N$504,Base!$A$5:$A$504,"001",Base!$F$5:$F$504,"2714049")</f>
        <v>100021.0</v>
      </c>
      <c r="M310" s="8">
        <f>D310-E310-L310</f>
        <v>3440030.0</v>
      </c>
      <c r="N310" s="7" t="s">
        <v>89</v>
      </c>
    </row>
    <row r="311" spans="1:14">
      <c r="A311" s="28">
        <v>302</v>
      </c>
      <c r="B311" s="28" t="s">
        <v>2096</v>
      </c>
      <c r="C311" s="7" t="s">
        <v>1062</v>
      </c>
      <c r="D311" s="33">
        <v>14338596</v>
      </c>
      <c r="E311" s="33">
        <v>121193</v>
      </c>
      <c r="F311" s="8">
        <f>INDEX('Rubro por CUI'!$E$5:$E$454,MATCH("001|2669946",'Rubro por CUI'!$N$5:$N$454,0))</f>
        <v>0.0</v>
      </c>
      <c r="G311" s="8">
        <f>INDEX('Rubro por CUI'!$F$5:$F$454,MATCH("001|2669946",'Rubro por CUI'!$N$5:$N$454,0))</f>
        <v>0.0</v>
      </c>
      <c r="H311" s="8">
        <f>INDEX('Rubro por CUI'!$G$5:$G$454,MATCH("001|2669946",'Rubro por CUI'!$N$5:$N$454,0))</f>
        <v>50000.0</v>
      </c>
      <c r="I311" s="8">
        <f>INDEX('Rubro por CUI'!$H$5:$H$454,MATCH("001|2669946",'Rubro por CUI'!$N$5:$N$454,0))</f>
        <v>0.0</v>
      </c>
      <c r="J311" s="8">
        <f>INDEX('Rubro por CUI'!$I$5:$I$454,MATCH("001|2669946",'Rubro por CUI'!$N$5:$N$454,0))</f>
        <v>0.0</v>
      </c>
      <c r="K311" s="8">
        <f>L311-SUM(F311:J311)</f>
        <v>0.0</v>
      </c>
      <c r="L311" s="8">
        <f>SUMIFS(Base!$N$5:$N$504,Base!$A$5:$A$504,"001",Base!$F$5:$F$504,"2669946")</f>
        <v>50000.0</v>
      </c>
      <c r="M311" s="8">
        <f>D311-E311-L311</f>
        <v>14167403.0</v>
      </c>
      <c r="N311" s="7" t="s">
        <v>89</v>
      </c>
    </row>
    <row r="312" spans="1:14">
      <c r="A312" s="28">
        <v>303</v>
      </c>
      <c r="B312" s="28" t="s">
        <v>2097</v>
      </c>
      <c r="C312" s="7" t="s">
        <v>1056</v>
      </c>
      <c r="D312" s="33">
        <v>2941253</v>
      </c>
      <c r="E312" s="33">
        <v>96353</v>
      </c>
      <c r="F312" s="8">
        <f>INDEX('Rubro por CUI'!$E$5:$E$454,MATCH("001|2645444",'Rubro por CUI'!$N$5:$N$454,0))</f>
        <v>0.0</v>
      </c>
      <c r="G312" s="8">
        <f>INDEX('Rubro por CUI'!$F$5:$F$454,MATCH("001|2645444",'Rubro por CUI'!$N$5:$N$454,0))</f>
        <v>0.0</v>
      </c>
      <c r="H312" s="8">
        <f>INDEX('Rubro por CUI'!$G$5:$G$454,MATCH("001|2645444",'Rubro por CUI'!$N$5:$N$454,0))</f>
        <v>48882.0</v>
      </c>
      <c r="I312" s="8">
        <f>INDEX('Rubro por CUI'!$H$5:$H$454,MATCH("001|2645444",'Rubro por CUI'!$N$5:$N$454,0))</f>
        <v>0.0</v>
      </c>
      <c r="J312" s="8">
        <f>INDEX('Rubro por CUI'!$I$5:$I$454,MATCH("001|2645444",'Rubro por CUI'!$N$5:$N$454,0))</f>
        <v>0.0</v>
      </c>
      <c r="K312" s="8">
        <f>L312-SUM(F312:J312)</f>
        <v>0.0</v>
      </c>
      <c r="L312" s="8">
        <f>SUMIFS(Base!$N$5:$N$504,Base!$A$5:$A$504,"001",Base!$F$5:$F$504,"2645444")</f>
        <v>48882.0</v>
      </c>
      <c r="M312" s="8">
        <f>D312-E312-L312</f>
        <v>2796018.0</v>
      </c>
      <c r="N312" s="7" t="s">
        <v>89</v>
      </c>
    </row>
    <row r="313" spans="1:14">
      <c r="A313" s="28">
        <v>304</v>
      </c>
      <c r="B313" s="28" t="s">
        <v>2098</v>
      </c>
      <c r="C313" s="7" t="s">
        <v>1059</v>
      </c>
      <c r="D313" s="33">
        <v>3565023</v>
      </c>
      <c r="E313" s="33">
        <v>116103</v>
      </c>
      <c r="F313" s="8">
        <f>INDEX('Rubro por CUI'!$E$5:$E$454,MATCH("001|2646095",'Rubro por CUI'!$N$5:$N$454,0))</f>
        <v>0.0</v>
      </c>
      <c r="G313" s="8">
        <f>INDEX('Rubro por CUI'!$F$5:$F$454,MATCH("001|2646095",'Rubro por CUI'!$N$5:$N$454,0))</f>
        <v>0.0</v>
      </c>
      <c r="H313" s="8">
        <f>INDEX('Rubro por CUI'!$G$5:$G$454,MATCH("001|2646095",'Rubro por CUI'!$N$5:$N$454,0))</f>
        <v>25425.0</v>
      </c>
      <c r="I313" s="8">
        <f>INDEX('Rubro por CUI'!$H$5:$H$454,MATCH("001|2646095",'Rubro por CUI'!$N$5:$N$454,0))</f>
        <v>0.0</v>
      </c>
      <c r="J313" s="8">
        <f>INDEX('Rubro por CUI'!$I$5:$I$454,MATCH("001|2646095",'Rubro por CUI'!$N$5:$N$454,0))</f>
        <v>0.0</v>
      </c>
      <c r="K313" s="8">
        <f>L313-SUM(F313:J313)</f>
        <v>0.0</v>
      </c>
      <c r="L313" s="8">
        <f>SUMIFS(Base!$N$5:$N$504,Base!$A$5:$A$504,"001",Base!$F$5:$F$504,"2646095")</f>
        <v>25425.0</v>
      </c>
      <c r="M313" s="8">
        <f>D313-E313-L313</f>
        <v>3423495.0</v>
      </c>
      <c r="N313" s="7" t="s">
        <v>89</v>
      </c>
    </row>
    <row r="314" spans="1:14">
      <c r="A314" s="25" t="s">
        <v>353</v>
      </c>
      <c r="B314" s="25"/>
      <c r="C314" s="25"/>
      <c r="D314" s="26">
        <f>SUM(D315:D324)</f>
        <v>405574352.0</v>
      </c>
      <c r="E314" s="26">
        <f>SUM(E315:E324)</f>
        <v>266582179.0</v>
      </c>
      <c r="F314" s="26">
        <f>SUM(F315:F324)</f>
        <v>0.0</v>
      </c>
      <c r="G314" s="26">
        <f>SUM(G315:G324)</f>
        <v>6900.0</v>
      </c>
      <c r="H314" s="26">
        <f>SUM(H315:H324)</f>
        <v>9660306.0</v>
      </c>
      <c r="I314" s="26">
        <f>SUM(I315:I324)</f>
        <v>14077037.0</v>
      </c>
      <c r="J314" s="26">
        <f>SUM(J315:J324)</f>
        <v>0.0</v>
      </c>
      <c r="K314" s="26">
        <f>SUM(K315:K324)</f>
        <v>0.0</v>
      </c>
      <c r="L314" s="26">
        <f>SUM(L315:L324)</f>
        <v>23744243.0</v>
      </c>
      <c r="M314" s="26">
        <f>SUM(M315:M324)</f>
        <v>116867605.0</v>
      </c>
      <c r="N314" s="25"/>
    </row>
    <row r="315" spans="1:14">
      <c r="A315" s="28">
        <v>305</v>
      </c>
      <c r="B315" s="28" t="s">
        <v>2099</v>
      </c>
      <c r="C315" s="7" t="s">
        <v>1404</v>
      </c>
      <c r="D315" s="33">
        <v>33361334</v>
      </c>
      <c r="E315" s="33">
        <v>1104276</v>
      </c>
      <c r="F315" s="8">
        <f>INDEX('Rubro por CUI'!$E$5:$E$454,MATCH("001|2603148",'Rubro por CUI'!$N$5:$N$454,0))</f>
        <v>0.0</v>
      </c>
      <c r="G315" s="8">
        <f>INDEX('Rubro por CUI'!$F$5:$F$454,MATCH("001|2603148",'Rubro por CUI'!$N$5:$N$454,0))</f>
        <v>0.0</v>
      </c>
      <c r="H315" s="8">
        <f>INDEX('Rubro por CUI'!$G$5:$G$454,MATCH("001|2603148",'Rubro por CUI'!$N$5:$N$454,0))</f>
        <v>5000000.0</v>
      </c>
      <c r="I315" s="8">
        <f>INDEX('Rubro por CUI'!$H$5:$H$454,MATCH("001|2603148",'Rubro por CUI'!$N$5:$N$454,0))</f>
        <v>7532522.0</v>
      </c>
      <c r="J315" s="8">
        <f>INDEX('Rubro por CUI'!$I$5:$I$454,MATCH("001|2603148",'Rubro por CUI'!$N$5:$N$454,0))</f>
        <v>0.0</v>
      </c>
      <c r="K315" s="8">
        <f>L315-SUM(F315:J315)</f>
        <v>0.0</v>
      </c>
      <c r="L315" s="8">
        <f>SUMIFS(Base!$N$5:$N$504,Base!$A$5:$A$504,"001",Base!$F$5:$F$504,"2603148")</f>
        <v>12532522.0</v>
      </c>
      <c r="M315" s="8">
        <f>D315-E315-L315</f>
        <v>19724536.0</v>
      </c>
      <c r="N315" s="7" t="s">
        <v>89</v>
      </c>
    </row>
    <row r="316" spans="1:14">
      <c r="A316" s="28">
        <v>306</v>
      </c>
      <c r="B316" s="28" t="s">
        <v>2100</v>
      </c>
      <c r="C316" s="7" t="s">
        <v>356</v>
      </c>
      <c r="D316" s="33">
        <v>152242717</v>
      </c>
      <c r="E316" s="33">
        <v>131815026</v>
      </c>
      <c r="F316" s="8">
        <f>INDEX('Rubro por CUI'!$E$5:$E$454,MATCH("001|2592407",'Rubro por CUI'!$N$5:$N$454,0))</f>
        <v>0.0</v>
      </c>
      <c r="G316" s="8">
        <f>INDEX('Rubro por CUI'!$F$5:$F$454,MATCH("001|2592407",'Rubro por CUI'!$N$5:$N$454,0))</f>
        <v>6900.0</v>
      </c>
      <c r="H316" s="8">
        <f>INDEX('Rubro por CUI'!$G$5:$G$454,MATCH("001|2592407",'Rubro por CUI'!$N$5:$N$454,0))</f>
        <v>2434199.0</v>
      </c>
      <c r="I316" s="8">
        <f>INDEX('Rubro por CUI'!$H$5:$H$454,MATCH("001|2592407",'Rubro por CUI'!$N$5:$N$454,0))</f>
        <v>5168000.0</v>
      </c>
      <c r="J316" s="8">
        <f>INDEX('Rubro por CUI'!$I$5:$I$454,MATCH("001|2592407",'Rubro por CUI'!$N$5:$N$454,0))</f>
        <v>0.0</v>
      </c>
      <c r="K316" s="8">
        <f>L316-SUM(F316:J316)</f>
        <v>0.0</v>
      </c>
      <c r="L316" s="8">
        <f>SUMIFS(Base!$N$5:$N$504,Base!$A$5:$A$504,"001",Base!$F$5:$F$504,"2592407")</f>
        <v>7609099.0</v>
      </c>
      <c r="M316" s="8">
        <f>D316-E316-L316</f>
        <v>12818592.0</v>
      </c>
      <c r="N316" s="7" t="s">
        <v>89</v>
      </c>
    </row>
    <row r="317" spans="1:14">
      <c r="A317" s="28">
        <v>307</v>
      </c>
      <c r="B317" s="28" t="s">
        <v>2101</v>
      </c>
      <c r="C317" s="7" t="s">
        <v>1075</v>
      </c>
      <c r="D317" s="7" t="s">
        <v>99</v>
      </c>
      <c r="E317" s="7" t="s">
        <v>99</v>
      </c>
      <c r="F317" s="8">
        <f>INDEX('Rubro por CUI'!$E$5:$E$454,MATCH("001|2658446",'Rubro por CUI'!$N$5:$N$454,0))</f>
        <v>0.0</v>
      </c>
      <c r="G317" s="8">
        <f>INDEX('Rubro por CUI'!$F$5:$F$454,MATCH("001|2658446",'Rubro por CUI'!$N$5:$N$454,0))</f>
        <v>0.0</v>
      </c>
      <c r="H317" s="8">
        <f>INDEX('Rubro por CUI'!$G$5:$G$454,MATCH("001|2658446",'Rubro por CUI'!$N$5:$N$454,0))</f>
        <v>0.0</v>
      </c>
      <c r="I317" s="8">
        <f>INDEX('Rubro por CUI'!$H$5:$H$454,MATCH("001|2658446",'Rubro por CUI'!$N$5:$N$454,0))</f>
        <v>1376515.0</v>
      </c>
      <c r="J317" s="8">
        <f>INDEX('Rubro por CUI'!$I$5:$I$454,MATCH("001|2658446",'Rubro por CUI'!$N$5:$N$454,0))</f>
        <v>0.0</v>
      </c>
      <c r="K317" s="8">
        <f>L317-SUM(F317:J317)</f>
        <v>0.0</v>
      </c>
      <c r="L317" s="8">
        <f>SUMIFS(Base!$N$5:$N$504,Base!$A$5:$A$504,"001",Base!$F$5:$F$504,"2658446")</f>
        <v>1376515.0</v>
      </c>
      <c r="M317" s="7" t="s">
        <v>99</v>
      </c>
      <c r="N317" s="7" t="s">
        <v>1796</v>
      </c>
    </row>
    <row r="318" spans="1:14">
      <c r="A318" s="28">
        <v>308</v>
      </c>
      <c r="B318" s="28" t="s">
        <v>2102</v>
      </c>
      <c r="C318" s="7" t="s">
        <v>1412</v>
      </c>
      <c r="D318" s="33">
        <v>102204373</v>
      </c>
      <c r="E318" s="33">
        <v>95065002</v>
      </c>
      <c r="F318" s="8">
        <f>INDEX('Rubro por CUI'!$E$5:$E$454,MATCH("001|2187217",'Rubro por CUI'!$N$5:$N$454,0))</f>
        <v>0.0</v>
      </c>
      <c r="G318" s="8">
        <f>INDEX('Rubro por CUI'!$F$5:$F$454,MATCH("001|2187217",'Rubro por CUI'!$N$5:$N$454,0))</f>
        <v>0.0</v>
      </c>
      <c r="H318" s="8">
        <f>INDEX('Rubro por CUI'!$G$5:$G$454,MATCH("001|2187217",'Rubro por CUI'!$N$5:$N$454,0))</f>
        <v>1332387.0</v>
      </c>
      <c r="I318" s="8">
        <f>INDEX('Rubro por CUI'!$H$5:$H$454,MATCH("001|2187217",'Rubro por CUI'!$N$5:$N$454,0))</f>
        <v>0.0</v>
      </c>
      <c r="J318" s="8">
        <f>INDEX('Rubro por CUI'!$I$5:$I$454,MATCH("001|2187217",'Rubro por CUI'!$N$5:$N$454,0))</f>
        <v>0.0</v>
      </c>
      <c r="K318" s="8">
        <f>L318-SUM(F318:J318)</f>
        <v>0.0</v>
      </c>
      <c r="L318" s="8">
        <f>SUMIFS(Base!$N$5:$N$504,Base!$A$5:$A$504,"001",Base!$F$5:$F$504,"2187217")</f>
        <v>1332387.0</v>
      </c>
      <c r="M318" s="8">
        <f>D318-E318-L318</f>
        <v>5806984.0</v>
      </c>
      <c r="N318" s="7" t="s">
        <v>89</v>
      </c>
    </row>
    <row r="319" spans="1:14">
      <c r="A319" s="28">
        <v>309</v>
      </c>
      <c r="B319" s="28" t="s">
        <v>2103</v>
      </c>
      <c r="C319" s="7" t="s">
        <v>1399</v>
      </c>
      <c r="D319" s="33">
        <v>34949772</v>
      </c>
      <c r="E319" s="33">
        <v>33985398</v>
      </c>
      <c r="F319" s="8">
        <f>INDEX('Rubro por CUI'!$E$5:$E$454,MATCH("001|2324613",'Rubro por CUI'!$N$5:$N$454,0))</f>
        <v>0.0</v>
      </c>
      <c r="G319" s="8">
        <f>INDEX('Rubro por CUI'!$F$5:$F$454,MATCH("001|2324613",'Rubro por CUI'!$N$5:$N$454,0))</f>
        <v>0.0</v>
      </c>
      <c r="H319" s="8">
        <f>INDEX('Rubro por CUI'!$G$5:$G$454,MATCH("001|2324613",'Rubro por CUI'!$N$5:$N$454,0))</f>
        <v>550560.0</v>
      </c>
      <c r="I319" s="8">
        <f>INDEX('Rubro por CUI'!$H$5:$H$454,MATCH("001|2324613",'Rubro por CUI'!$N$5:$N$454,0))</f>
        <v>0.0</v>
      </c>
      <c r="J319" s="8">
        <f>INDEX('Rubro por CUI'!$I$5:$I$454,MATCH("001|2324613",'Rubro por CUI'!$N$5:$N$454,0))</f>
        <v>0.0</v>
      </c>
      <c r="K319" s="8">
        <f>L319-SUM(F319:J319)</f>
        <v>0.0</v>
      </c>
      <c r="L319" s="8">
        <f>SUMIFS(Base!$N$5:$N$504,Base!$A$5:$A$504,"001",Base!$F$5:$F$504,"2324613")</f>
        <v>550560.0</v>
      </c>
      <c r="M319" s="8">
        <f>D319-E319-L319</f>
        <v>413814.0</v>
      </c>
      <c r="N319" s="7" t="s">
        <v>89</v>
      </c>
    </row>
    <row r="320" spans="1:14">
      <c r="A320" s="28">
        <v>310</v>
      </c>
      <c r="B320" s="28" t="s">
        <v>2104</v>
      </c>
      <c r="C320" s="7" t="s">
        <v>1115</v>
      </c>
      <c r="D320" s="7" t="s">
        <v>99</v>
      </c>
      <c r="E320" s="7" t="s">
        <v>99</v>
      </c>
      <c r="F320" s="8">
        <f>INDEX('Rubro por CUI'!$E$5:$E$454,MATCH("001|2717164",'Rubro por CUI'!$N$5:$N$454,0))</f>
        <v>0.0</v>
      </c>
      <c r="G320" s="8">
        <f>INDEX('Rubro por CUI'!$F$5:$F$454,MATCH("001|2717164",'Rubro por CUI'!$N$5:$N$454,0))</f>
        <v>0.0</v>
      </c>
      <c r="H320" s="8">
        <f>INDEX('Rubro por CUI'!$G$5:$G$454,MATCH("001|2717164",'Rubro por CUI'!$N$5:$N$454,0))</f>
        <v>160000.0</v>
      </c>
      <c r="I320" s="8">
        <f>INDEX('Rubro por CUI'!$H$5:$H$454,MATCH("001|2717164",'Rubro por CUI'!$N$5:$N$454,0))</f>
        <v>0.0</v>
      </c>
      <c r="J320" s="8">
        <f>INDEX('Rubro por CUI'!$I$5:$I$454,MATCH("001|2717164",'Rubro por CUI'!$N$5:$N$454,0))</f>
        <v>0.0</v>
      </c>
      <c r="K320" s="8">
        <f>L320-SUM(F320:J320)</f>
        <v>0.0</v>
      </c>
      <c r="L320" s="8">
        <f>SUMIFS(Base!$N$5:$N$504,Base!$A$5:$A$504,"001",Base!$F$5:$F$504,"2717164")</f>
        <v>160000.0</v>
      </c>
      <c r="M320" s="7" t="s">
        <v>99</v>
      </c>
      <c r="N320" s="7" t="s">
        <v>1796</v>
      </c>
    </row>
    <row r="321" spans="1:14">
      <c r="A321" s="28">
        <v>311</v>
      </c>
      <c r="B321" s="28" t="s">
        <v>2105</v>
      </c>
      <c r="C321" s="7" t="s">
        <v>1408</v>
      </c>
      <c r="D321" s="33">
        <v>14088781</v>
      </c>
      <c r="E321" s="33">
        <v>317340</v>
      </c>
      <c r="F321" s="8">
        <f>INDEX('Rubro por CUI'!$E$5:$E$454,MATCH("001|2603160",'Rubro por CUI'!$N$5:$N$454,0))</f>
        <v>0.0</v>
      </c>
      <c r="G321" s="8">
        <f>INDEX('Rubro por CUI'!$F$5:$F$454,MATCH("001|2603160",'Rubro por CUI'!$N$5:$N$454,0))</f>
        <v>0.0</v>
      </c>
      <c r="H321" s="8">
        <f>INDEX('Rubro por CUI'!$G$5:$G$454,MATCH("001|2603160",'Rubro por CUI'!$N$5:$N$454,0))</f>
        <v>100000.0</v>
      </c>
      <c r="I321" s="8">
        <f>INDEX('Rubro por CUI'!$H$5:$H$454,MATCH("001|2603160",'Rubro por CUI'!$N$5:$N$454,0))</f>
        <v>0.0</v>
      </c>
      <c r="J321" s="8">
        <f>INDEX('Rubro por CUI'!$I$5:$I$454,MATCH("001|2603160",'Rubro por CUI'!$N$5:$N$454,0))</f>
        <v>0.0</v>
      </c>
      <c r="K321" s="8">
        <f>L321-SUM(F321:J321)</f>
        <v>0.0</v>
      </c>
      <c r="L321" s="8">
        <f>SUMIFS(Base!$N$5:$N$504,Base!$A$5:$A$504,"001",Base!$F$5:$F$504,"2603160")</f>
        <v>100000.0</v>
      </c>
      <c r="M321" s="8">
        <f>D321-E321-L321</f>
        <v>13671441.0</v>
      </c>
      <c r="N321" s="7" t="s">
        <v>89</v>
      </c>
    </row>
    <row r="322" spans="1:14">
      <c r="A322" s="28">
        <v>312</v>
      </c>
      <c r="B322" s="28" t="s">
        <v>2106</v>
      </c>
      <c r="C322" s="7" t="s">
        <v>1118</v>
      </c>
      <c r="D322" s="7" t="s">
        <v>99</v>
      </c>
      <c r="E322" s="7" t="s">
        <v>99</v>
      </c>
      <c r="F322" s="8">
        <f>INDEX('Rubro por CUI'!$E$5:$E$454,MATCH("001|2676438",'Rubro por CUI'!$N$5:$N$454,0))</f>
        <v>0.0</v>
      </c>
      <c r="G322" s="8">
        <f>INDEX('Rubro por CUI'!$F$5:$F$454,MATCH("001|2676438",'Rubro por CUI'!$N$5:$N$454,0))</f>
        <v>0.0</v>
      </c>
      <c r="H322" s="8">
        <f>INDEX('Rubro por CUI'!$G$5:$G$454,MATCH("001|2676438",'Rubro por CUI'!$N$5:$N$454,0))</f>
        <v>83160.0</v>
      </c>
      <c r="I322" s="8">
        <f>INDEX('Rubro por CUI'!$H$5:$H$454,MATCH("001|2676438",'Rubro por CUI'!$N$5:$N$454,0))</f>
        <v>0.0</v>
      </c>
      <c r="J322" s="8">
        <f>INDEX('Rubro por CUI'!$I$5:$I$454,MATCH("001|2676438",'Rubro por CUI'!$N$5:$N$454,0))</f>
        <v>0.0</v>
      </c>
      <c r="K322" s="8">
        <f>L322-SUM(F322:J322)</f>
        <v>0.0</v>
      </c>
      <c r="L322" s="8">
        <f>SUMIFS(Base!$N$5:$N$504,Base!$A$5:$A$504,"001",Base!$F$5:$F$504,"2676438")</f>
        <v>83160.0</v>
      </c>
      <c r="M322" s="7" t="s">
        <v>99</v>
      </c>
      <c r="N322" s="7" t="s">
        <v>1796</v>
      </c>
    </row>
    <row r="323" spans="1:14">
      <c r="A323" s="28">
        <v>313</v>
      </c>
      <c r="B323" s="28" t="s">
        <v>2107</v>
      </c>
      <c r="C323" s="7" t="s">
        <v>1069</v>
      </c>
      <c r="D323" s="33">
        <v>3850781</v>
      </c>
      <c r="E323" s="33">
        <v>3695812</v>
      </c>
      <c r="F323" s="8">
        <f>INDEX('Rubro por CUI'!$E$5:$E$454,MATCH("001|2393101",'Rubro por CUI'!$N$5:$N$454,0))</f>
        <v>0.0</v>
      </c>
      <c r="G323" s="8">
        <f>INDEX('Rubro por CUI'!$F$5:$F$454,MATCH("001|2393101",'Rubro por CUI'!$N$5:$N$454,0))</f>
        <v>0.0</v>
      </c>
      <c r="H323" s="8">
        <f>INDEX('Rubro por CUI'!$G$5:$G$454,MATCH("001|2393101",'Rubro por CUI'!$N$5:$N$454,0))</f>
        <v>0.0</v>
      </c>
      <c r="I323" s="8">
        <f>INDEX('Rubro por CUI'!$H$5:$H$454,MATCH("001|2393101",'Rubro por CUI'!$N$5:$N$454,0))</f>
        <v>0.0</v>
      </c>
      <c r="J323" s="8">
        <f>INDEX('Rubro por CUI'!$I$5:$I$454,MATCH("001|2393101",'Rubro por CUI'!$N$5:$N$454,0))</f>
        <v>0.0</v>
      </c>
      <c r="K323" s="8">
        <f>L323-SUM(F323:J323)</f>
        <v>0.0</v>
      </c>
      <c r="L323" s="8">
        <f>SUMIFS(Base!$N$5:$N$504,Base!$A$5:$A$504,"001",Base!$F$5:$F$504,"2393101")</f>
        <v>0.0</v>
      </c>
      <c r="M323" s="8">
        <f>D323-E323-L323</f>
        <v>154969.0</v>
      </c>
      <c r="N323" s="7" t="s">
        <v>89</v>
      </c>
    </row>
    <row r="324" spans="1:14">
      <c r="A324" s="28">
        <v>314</v>
      </c>
      <c r="B324" s="28" t="s">
        <v>2108</v>
      </c>
      <c r="C324" s="7" t="s">
        <v>1072</v>
      </c>
      <c r="D324" s="33">
        <v>64876594</v>
      </c>
      <c r="E324" s="33">
        <v>599325</v>
      </c>
      <c r="F324" s="8">
        <f>INDEX('Rubro por CUI'!$E$5:$E$454,MATCH("001|2411317",'Rubro por CUI'!$N$5:$N$454,0))</f>
        <v>0.0</v>
      </c>
      <c r="G324" s="8">
        <f>INDEX('Rubro por CUI'!$F$5:$F$454,MATCH("001|2411317",'Rubro por CUI'!$N$5:$N$454,0))</f>
        <v>0.0</v>
      </c>
      <c r="H324" s="8">
        <f>INDEX('Rubro por CUI'!$G$5:$G$454,MATCH("001|2411317",'Rubro por CUI'!$N$5:$N$454,0))</f>
        <v>0.0</v>
      </c>
      <c r="I324" s="8">
        <f>INDEX('Rubro por CUI'!$H$5:$H$454,MATCH("001|2411317",'Rubro por CUI'!$N$5:$N$454,0))</f>
        <v>0.0</v>
      </c>
      <c r="J324" s="8">
        <f>INDEX('Rubro por CUI'!$I$5:$I$454,MATCH("001|2411317",'Rubro por CUI'!$N$5:$N$454,0))</f>
        <v>0.0</v>
      </c>
      <c r="K324" s="8">
        <f>L324-SUM(F324:J324)</f>
        <v>0.0</v>
      </c>
      <c r="L324" s="8">
        <f>SUMIFS(Base!$N$5:$N$504,Base!$A$5:$A$504,"001",Base!$F$5:$F$504,"2411317")</f>
        <v>0.0</v>
      </c>
      <c r="M324" s="8">
        <f>D324-E324-L324</f>
        <v>64277269.0</v>
      </c>
      <c r="N324" s="7" t="s">
        <v>89</v>
      </c>
    </row>
    <row r="325" spans="1:14">
      <c r="A325" s="25" t="s">
        <v>359</v>
      </c>
      <c r="B325" s="25"/>
      <c r="C325" s="25"/>
      <c r="D325" s="26">
        <f>SUM(D326:D328)</f>
        <v>8079874.0</v>
      </c>
      <c r="E325" s="26">
        <f>SUM(E326:E328)</f>
        <v>6334976.0</v>
      </c>
      <c r="F325" s="26">
        <f>SUM(F326:F328)</f>
        <v>0.0</v>
      </c>
      <c r="G325" s="26">
        <f>SUM(G326:G328)</f>
        <v>0.0</v>
      </c>
      <c r="H325" s="26">
        <f>SUM(H326:H328)</f>
        <v>232742.0</v>
      </c>
      <c r="I325" s="26">
        <f>SUM(I326:I328)</f>
        <v>0.0</v>
      </c>
      <c r="J325" s="26">
        <f>SUM(J326:J328)</f>
        <v>0.0</v>
      </c>
      <c r="K325" s="26">
        <f>SUM(K326:K328)</f>
        <v>0.0</v>
      </c>
      <c r="L325" s="26">
        <f>SUM(L326:L328)</f>
        <v>232742.0</v>
      </c>
      <c r="M325" s="26">
        <f>SUM(M326:M328)</f>
        <v>1645668.0</v>
      </c>
      <c r="N325" s="25"/>
    </row>
    <row r="326" spans="1:14">
      <c r="A326" s="28">
        <v>315</v>
      </c>
      <c r="B326" s="28" t="s">
        <v>2109</v>
      </c>
      <c r="C326" s="7" t="s">
        <v>365</v>
      </c>
      <c r="D326" s="7" t="s">
        <v>99</v>
      </c>
      <c r="E326" s="7" t="s">
        <v>99</v>
      </c>
      <c r="F326" s="8">
        <f>INDEX('Rubro por CUI'!$E$5:$E$454,MATCH("001|2194989",'Rubro por CUI'!$N$5:$N$454,0))</f>
        <v>0.0</v>
      </c>
      <c r="G326" s="8">
        <f>INDEX('Rubro por CUI'!$F$5:$F$454,MATCH("001|2194989",'Rubro por CUI'!$N$5:$N$454,0))</f>
        <v>0.0</v>
      </c>
      <c r="H326" s="8">
        <f>INDEX('Rubro por CUI'!$G$5:$G$454,MATCH("001|2194989",'Rubro por CUI'!$N$5:$N$454,0))</f>
        <v>133512.0</v>
      </c>
      <c r="I326" s="8">
        <f>INDEX('Rubro por CUI'!$H$5:$H$454,MATCH("001|2194989",'Rubro por CUI'!$N$5:$N$454,0))</f>
        <v>0.0</v>
      </c>
      <c r="J326" s="8">
        <f>INDEX('Rubro por CUI'!$I$5:$I$454,MATCH("001|2194989",'Rubro por CUI'!$N$5:$N$454,0))</f>
        <v>0.0</v>
      </c>
      <c r="K326" s="8">
        <f>L326-SUM(F326:J326)</f>
        <v>0.0</v>
      </c>
      <c r="L326" s="8">
        <f>SUMIFS(Base!$N$5:$N$504,Base!$A$5:$A$504,"001",Base!$F$5:$F$504,"2194989")</f>
        <v>133512.0</v>
      </c>
      <c r="M326" s="7" t="s">
        <v>99</v>
      </c>
      <c r="N326" s="7" t="s">
        <v>1796</v>
      </c>
    </row>
    <row r="327" spans="1:14">
      <c r="A327" s="28">
        <v>316</v>
      </c>
      <c r="B327" s="28" t="s">
        <v>2110</v>
      </c>
      <c r="C327" s="7" t="s">
        <v>362</v>
      </c>
      <c r="D327" s="33">
        <v>6413708</v>
      </c>
      <c r="E327" s="33">
        <v>6227371</v>
      </c>
      <c r="F327" s="8">
        <f>INDEX('Rubro por CUI'!$E$5:$E$454,MATCH("001|2230752",'Rubro por CUI'!$N$5:$N$454,0))</f>
        <v>0.0</v>
      </c>
      <c r="G327" s="8">
        <f>INDEX('Rubro por CUI'!$F$5:$F$454,MATCH("001|2230752",'Rubro por CUI'!$N$5:$N$454,0))</f>
        <v>0.0</v>
      </c>
      <c r="H327" s="8">
        <f>INDEX('Rubro por CUI'!$G$5:$G$454,MATCH("001|2230752",'Rubro por CUI'!$N$5:$N$454,0))</f>
        <v>99230.0</v>
      </c>
      <c r="I327" s="8">
        <f>INDEX('Rubro por CUI'!$H$5:$H$454,MATCH("001|2230752",'Rubro por CUI'!$N$5:$N$454,0))</f>
        <v>0.0</v>
      </c>
      <c r="J327" s="8">
        <f>INDEX('Rubro por CUI'!$I$5:$I$454,MATCH("001|2230752",'Rubro por CUI'!$N$5:$N$454,0))</f>
        <v>0.0</v>
      </c>
      <c r="K327" s="8">
        <f>L327-SUM(F327:J327)</f>
        <v>0.0</v>
      </c>
      <c r="L327" s="8">
        <f>SUMIFS(Base!$N$5:$N$504,Base!$A$5:$A$504,"001",Base!$F$5:$F$504,"2230752")</f>
        <v>99230.0</v>
      </c>
      <c r="M327" s="8">
        <f>D327-E327-L327</f>
        <v>87107.0</v>
      </c>
      <c r="N327" s="7" t="s">
        <v>89</v>
      </c>
    </row>
    <row r="328" spans="1:14">
      <c r="A328" s="28">
        <v>317</v>
      </c>
      <c r="B328" s="28" t="s">
        <v>2111</v>
      </c>
      <c r="C328" s="7" t="s">
        <v>1566</v>
      </c>
      <c r="D328" s="33">
        <v>1666166</v>
      </c>
      <c r="E328" s="33">
        <v>107605</v>
      </c>
      <c r="F328" s="8">
        <f>INDEX('Rubro por CUI'!$E$5:$E$454,MATCH("001|2608728",'Rubro por CUI'!$N$5:$N$454,0))</f>
        <v>0.0</v>
      </c>
      <c r="G328" s="8">
        <f>INDEX('Rubro por CUI'!$F$5:$F$454,MATCH("001|2608728",'Rubro por CUI'!$N$5:$N$454,0))</f>
        <v>0.0</v>
      </c>
      <c r="H328" s="8">
        <f>INDEX('Rubro por CUI'!$G$5:$G$454,MATCH("001|2608728",'Rubro por CUI'!$N$5:$N$454,0))</f>
        <v>0.0</v>
      </c>
      <c r="I328" s="8">
        <f>INDEX('Rubro por CUI'!$H$5:$H$454,MATCH("001|2608728",'Rubro por CUI'!$N$5:$N$454,0))</f>
        <v>0.0</v>
      </c>
      <c r="J328" s="8">
        <f>INDEX('Rubro por CUI'!$I$5:$I$454,MATCH("001|2608728",'Rubro por CUI'!$N$5:$N$454,0))</f>
        <v>0.0</v>
      </c>
      <c r="K328" s="8">
        <f>L328-SUM(F328:J328)</f>
        <v>0.0</v>
      </c>
      <c r="L328" s="8">
        <f>SUMIFS(Base!$N$5:$N$504,Base!$A$5:$A$504,"001",Base!$F$5:$F$504,"2608728")</f>
        <v>0.0</v>
      </c>
      <c r="M328" s="8">
        <f>D328-E328-L328</f>
        <v>1558561.0</v>
      </c>
      <c r="N328" s="7" t="s">
        <v>89</v>
      </c>
    </row>
    <row r="329" spans="1:14">
      <c r="A329" s="25" t="s">
        <v>589</v>
      </c>
      <c r="B329" s="25"/>
      <c r="C329" s="25"/>
      <c r="D329" s="26">
        <f>SUM(D330:D330)</f>
        <v>0</v>
      </c>
      <c r="E329" s="26">
        <f>SUM(E330:E330)</f>
        <v>0</v>
      </c>
      <c r="F329" s="26">
        <f>SUM(F330:F330)</f>
        <v>0.0</v>
      </c>
      <c r="G329" s="26">
        <f>SUM(G330:G330)</f>
        <v>0.0</v>
      </c>
      <c r="H329" s="26">
        <f>SUM(H330:H330)</f>
        <v>11000.0</v>
      </c>
      <c r="I329" s="26">
        <f>SUM(I330:I330)</f>
        <v>0.0</v>
      </c>
      <c r="J329" s="26">
        <f>SUM(J330:J330)</f>
        <v>0.0</v>
      </c>
      <c r="K329" s="26">
        <f>SUM(K330:K330)</f>
        <v>0.0</v>
      </c>
      <c r="L329" s="26">
        <f>SUM(L330:L330)</f>
        <v>11000.0</v>
      </c>
      <c r="M329" s="26">
        <f>SUM(M330:M330)</f>
        <v>0</v>
      </c>
      <c r="N329" s="25"/>
    </row>
    <row r="330" spans="1:14">
      <c r="A330" s="28">
        <v>318</v>
      </c>
      <c r="B330" s="28" t="s">
        <v>2112</v>
      </c>
      <c r="C330" s="7" t="s">
        <v>592</v>
      </c>
      <c r="D330" s="7" t="s">
        <v>99</v>
      </c>
      <c r="E330" s="7" t="s">
        <v>99</v>
      </c>
      <c r="F330" s="8">
        <f>INDEX('Rubro por CUI'!$E$5:$E$454,MATCH("001|2492442",'Rubro por CUI'!$N$5:$N$454,0))</f>
        <v>0.0</v>
      </c>
      <c r="G330" s="8">
        <f>INDEX('Rubro por CUI'!$F$5:$F$454,MATCH("001|2492442",'Rubro por CUI'!$N$5:$N$454,0))</f>
        <v>0.0</v>
      </c>
      <c r="H330" s="8">
        <f>INDEX('Rubro por CUI'!$G$5:$G$454,MATCH("001|2492442",'Rubro por CUI'!$N$5:$N$454,0))</f>
        <v>11000.0</v>
      </c>
      <c r="I330" s="8">
        <f>INDEX('Rubro por CUI'!$H$5:$H$454,MATCH("001|2492442",'Rubro por CUI'!$N$5:$N$454,0))</f>
        <v>0.0</v>
      </c>
      <c r="J330" s="8">
        <f>INDEX('Rubro por CUI'!$I$5:$I$454,MATCH("001|2492442",'Rubro por CUI'!$N$5:$N$454,0))</f>
        <v>0.0</v>
      </c>
      <c r="K330" s="8">
        <f>L330-SUM(F330:J330)</f>
        <v>0.0</v>
      </c>
      <c r="L330" s="8">
        <f>SUMIFS(Base!$N$5:$N$504,Base!$A$5:$A$504,"001",Base!$F$5:$F$504,"2492442")</f>
        <v>11000.0</v>
      </c>
      <c r="M330" s="7" t="s">
        <v>99</v>
      </c>
      <c r="N330" s="7" t="s">
        <v>1796</v>
      </c>
    </row>
    <row r="331" spans="1:14">
      <c r="A331" s="25" t="s">
        <v>715</v>
      </c>
      <c r="B331" s="25"/>
      <c r="C331" s="25"/>
      <c r="D331" s="26">
        <f>SUM(D332:D332)</f>
        <v>0</v>
      </c>
      <c r="E331" s="26">
        <f>SUM(E332:E332)</f>
        <v>0</v>
      </c>
      <c r="F331" s="26">
        <f>SUM(F332:F332)</f>
        <v>0.0</v>
      </c>
      <c r="G331" s="26">
        <f>SUM(G332:G332)</f>
        <v>0.0</v>
      </c>
      <c r="H331" s="26">
        <f>SUM(H332:H332)</f>
        <v>200000.0</v>
      </c>
      <c r="I331" s="26">
        <f>SUM(I332:I332)</f>
        <v>300000.0</v>
      </c>
      <c r="J331" s="26">
        <f>SUM(J332:J332)</f>
        <v>0.0</v>
      </c>
      <c r="K331" s="26">
        <f>SUM(K332:K332)</f>
        <v>0.0</v>
      </c>
      <c r="L331" s="26">
        <f>SUM(L332:L332)</f>
        <v>500000.0</v>
      </c>
      <c r="M331" s="26">
        <f>SUM(M332:M332)</f>
        <v>0</v>
      </c>
      <c r="N331" s="25"/>
    </row>
    <row r="332" spans="1:14">
      <c r="A332" s="28">
        <v>319</v>
      </c>
      <c r="B332" s="28" t="s">
        <v>2113</v>
      </c>
      <c r="C332" s="7" t="s">
        <v>718</v>
      </c>
      <c r="D332" s="7" t="s">
        <v>99</v>
      </c>
      <c r="E332" s="7" t="s">
        <v>99</v>
      </c>
      <c r="F332" s="8">
        <f>INDEX('Rubro por CUI'!$E$5:$E$454,MATCH("001|2518131",'Rubro por CUI'!$N$5:$N$454,0))</f>
        <v>0.0</v>
      </c>
      <c r="G332" s="8">
        <f>INDEX('Rubro por CUI'!$F$5:$F$454,MATCH("001|2518131",'Rubro por CUI'!$N$5:$N$454,0))</f>
        <v>0.0</v>
      </c>
      <c r="H332" s="8">
        <f>INDEX('Rubro por CUI'!$G$5:$G$454,MATCH("001|2518131",'Rubro por CUI'!$N$5:$N$454,0))</f>
        <v>200000.0</v>
      </c>
      <c r="I332" s="8">
        <f>INDEX('Rubro por CUI'!$H$5:$H$454,MATCH("001|2518131",'Rubro por CUI'!$N$5:$N$454,0))</f>
        <v>300000.0</v>
      </c>
      <c r="J332" s="8">
        <f>INDEX('Rubro por CUI'!$I$5:$I$454,MATCH("001|2518131",'Rubro por CUI'!$N$5:$N$454,0))</f>
        <v>0.0</v>
      </c>
      <c r="K332" s="8">
        <f>L332-SUM(F332:J332)</f>
        <v>0.0</v>
      </c>
      <c r="L332" s="8">
        <f>SUMIFS(Base!$N$5:$N$504,Base!$A$5:$A$504,"001",Base!$F$5:$F$504,"2518131")</f>
        <v>500000.0</v>
      </c>
      <c r="M332" s="7" t="s">
        <v>99</v>
      </c>
      <c r="N332" s="7" t="s">
        <v>1796</v>
      </c>
    </row>
    <row r="333" spans="1:14">
      <c r="A333" s="25" t="s">
        <v>1078</v>
      </c>
      <c r="B333" s="25"/>
      <c r="C333" s="25"/>
      <c r="D333" s="26">
        <f>SUM(D334:D335)</f>
        <v>17402668.0</v>
      </c>
      <c r="E333" s="26">
        <f>SUM(E334:E335)</f>
        <v>465944.0</v>
      </c>
      <c r="F333" s="26">
        <f>SUM(F334:F335)</f>
        <v>0.0</v>
      </c>
      <c r="G333" s="26">
        <f>SUM(G334:G335)</f>
        <v>0.0</v>
      </c>
      <c r="H333" s="26">
        <f>SUM(H334:H335)</f>
        <v>1144638.0</v>
      </c>
      <c r="I333" s="26">
        <f>SUM(I334:I335)</f>
        <v>0.0</v>
      </c>
      <c r="J333" s="26">
        <f>SUM(J334:J335)</f>
        <v>0.0</v>
      </c>
      <c r="K333" s="26">
        <f>SUM(K334:K335)</f>
        <v>0.0</v>
      </c>
      <c r="L333" s="26">
        <f>SUM(L334:L335)</f>
        <v>1144638.0</v>
      </c>
      <c r="M333" s="26">
        <f>SUM(M334:M335)</f>
        <v>16890295.0</v>
      </c>
      <c r="N333" s="25"/>
    </row>
    <row r="334" spans="1:14">
      <c r="A334" s="28">
        <v>320</v>
      </c>
      <c r="B334" s="28" t="s">
        <v>2114</v>
      </c>
      <c r="C334" s="7" t="s">
        <v>1122</v>
      </c>
      <c r="D334" s="7" t="s">
        <v>99</v>
      </c>
      <c r="E334" s="7" t="s">
        <v>99</v>
      </c>
      <c r="F334" s="8">
        <f>INDEX('Rubro por CUI'!$E$5:$E$454,MATCH("001|2016766",'Rubro por CUI'!$N$5:$N$454,0))</f>
        <v>0.0</v>
      </c>
      <c r="G334" s="8">
        <f>INDEX('Rubro por CUI'!$F$5:$F$454,MATCH("001|2016766",'Rubro por CUI'!$N$5:$N$454,0))</f>
        <v>0.0</v>
      </c>
      <c r="H334" s="8">
        <f>INDEX('Rubro por CUI'!$G$5:$G$454,MATCH("001|2016766",'Rubro por CUI'!$N$5:$N$454,0))</f>
        <v>1098209.0</v>
      </c>
      <c r="I334" s="8">
        <f>INDEX('Rubro por CUI'!$H$5:$H$454,MATCH("001|2016766",'Rubro por CUI'!$N$5:$N$454,0))</f>
        <v>0.0</v>
      </c>
      <c r="J334" s="8">
        <f>INDEX('Rubro por CUI'!$I$5:$I$454,MATCH("001|2016766",'Rubro por CUI'!$N$5:$N$454,0))</f>
        <v>0.0</v>
      </c>
      <c r="K334" s="8">
        <f>L334-SUM(F334:J334)</f>
        <v>0.0</v>
      </c>
      <c r="L334" s="8">
        <f>SUMIFS(Base!$N$5:$N$504,Base!$A$5:$A$504,"001",Base!$F$5:$F$504,"2016766")</f>
        <v>1098209.0</v>
      </c>
      <c r="M334" s="7" t="s">
        <v>99</v>
      </c>
      <c r="N334" s="7" t="s">
        <v>1796</v>
      </c>
    </row>
    <row r="335" spans="1:14">
      <c r="A335" s="28">
        <v>321</v>
      </c>
      <c r="B335" s="28" t="s">
        <v>2115</v>
      </c>
      <c r="C335" s="7" t="s">
        <v>1081</v>
      </c>
      <c r="D335" s="33">
        <v>17402668</v>
      </c>
      <c r="E335" s="33">
        <v>465944</v>
      </c>
      <c r="F335" s="8">
        <f>INDEX('Rubro por CUI'!$E$5:$E$454,MATCH("001|2343538",'Rubro por CUI'!$N$5:$N$454,0))</f>
        <v>0.0</v>
      </c>
      <c r="G335" s="8">
        <f>INDEX('Rubro por CUI'!$F$5:$F$454,MATCH("001|2343538",'Rubro por CUI'!$N$5:$N$454,0))</f>
        <v>0.0</v>
      </c>
      <c r="H335" s="8">
        <f>INDEX('Rubro por CUI'!$G$5:$G$454,MATCH("001|2343538",'Rubro por CUI'!$N$5:$N$454,0))</f>
        <v>46429.0</v>
      </c>
      <c r="I335" s="8">
        <f>INDEX('Rubro por CUI'!$H$5:$H$454,MATCH("001|2343538",'Rubro por CUI'!$N$5:$N$454,0))</f>
        <v>0.0</v>
      </c>
      <c r="J335" s="8">
        <f>INDEX('Rubro por CUI'!$I$5:$I$454,MATCH("001|2343538",'Rubro por CUI'!$N$5:$N$454,0))</f>
        <v>0.0</v>
      </c>
      <c r="K335" s="8">
        <f>L335-SUM(F335:J335)</f>
        <v>0.0</v>
      </c>
      <c r="L335" s="8">
        <f>SUMIFS(Base!$N$5:$N$504,Base!$A$5:$A$504,"001",Base!$F$5:$F$504,"2343538")</f>
        <v>46429.0</v>
      </c>
      <c r="M335" s="8">
        <f>D335-E335-L335</f>
        <v>16890295.0</v>
      </c>
      <c r="N335" s="7" t="s">
        <v>89</v>
      </c>
    </row>
    <row r="336" spans="1:14">
      <c r="A336" s="25" t="s">
        <v>1083</v>
      </c>
      <c r="B336" s="25"/>
      <c r="C336" s="25"/>
      <c r="D336" s="26">
        <f>SUM(D337:D341)</f>
        <v>34842577.0</v>
      </c>
      <c r="E336" s="26">
        <f>SUM(E337:E341)</f>
        <v>13420956.0</v>
      </c>
      <c r="F336" s="26">
        <f>SUM(F337:F341)</f>
        <v>0.0</v>
      </c>
      <c r="G336" s="26">
        <f>SUM(G337:G341)</f>
        <v>0.0</v>
      </c>
      <c r="H336" s="26">
        <f>SUM(H337:H341)</f>
        <v>4487423.0</v>
      </c>
      <c r="I336" s="26">
        <f>SUM(I337:I341)</f>
        <v>0.0</v>
      </c>
      <c r="J336" s="26">
        <f>SUM(J337:J341)</f>
        <v>0.0</v>
      </c>
      <c r="K336" s="26">
        <f>SUM(K337:K341)</f>
        <v>0.0</v>
      </c>
      <c r="L336" s="26">
        <f>SUM(L337:L341)</f>
        <v>4487423.0</v>
      </c>
      <c r="M336" s="26">
        <f>SUM(M337:M341)</f>
        <v>17412596.0</v>
      </c>
      <c r="N336" s="25"/>
    </row>
    <row r="337" spans="1:14">
      <c r="A337" s="28">
        <v>322</v>
      </c>
      <c r="B337" s="28" t="s">
        <v>2116</v>
      </c>
      <c r="C337" s="7" t="s">
        <v>1099</v>
      </c>
      <c r="D337" s="33">
        <v>18089713</v>
      </c>
      <c r="E337" s="33">
        <v>13420956</v>
      </c>
      <c r="F337" s="8">
        <f>INDEX('Rubro por CUI'!$E$5:$E$454,MATCH("001|2526527",'Rubro por CUI'!$N$5:$N$454,0))</f>
        <v>0.0</v>
      </c>
      <c r="G337" s="8">
        <f>INDEX('Rubro por CUI'!$F$5:$F$454,MATCH("001|2526527",'Rubro por CUI'!$N$5:$N$454,0))</f>
        <v>0.0</v>
      </c>
      <c r="H337" s="8">
        <f>INDEX('Rubro por CUI'!$G$5:$G$454,MATCH("001|2526527",'Rubro por CUI'!$N$5:$N$454,0))</f>
        <v>2659376.0</v>
      </c>
      <c r="I337" s="8">
        <f>INDEX('Rubro por CUI'!$H$5:$H$454,MATCH("001|2526527",'Rubro por CUI'!$N$5:$N$454,0))</f>
        <v>0.0</v>
      </c>
      <c r="J337" s="8">
        <f>INDEX('Rubro por CUI'!$I$5:$I$454,MATCH("001|2526527",'Rubro por CUI'!$N$5:$N$454,0))</f>
        <v>0.0</v>
      </c>
      <c r="K337" s="8">
        <f>L337-SUM(F337:J337)</f>
        <v>0.0</v>
      </c>
      <c r="L337" s="8">
        <f>SUMIFS(Base!$N$5:$N$504,Base!$A$5:$A$504,"001",Base!$F$5:$F$504,"2526527")</f>
        <v>2659376.0</v>
      </c>
      <c r="M337" s="8">
        <f>D337-E337-L337</f>
        <v>2009381.0</v>
      </c>
      <c r="N337" s="7" t="s">
        <v>89</v>
      </c>
    </row>
    <row r="338" spans="1:14">
      <c r="A338" s="28">
        <v>323</v>
      </c>
      <c r="B338" s="28" t="s">
        <v>2117</v>
      </c>
      <c r="C338" s="7" t="s">
        <v>1086</v>
      </c>
      <c r="D338" s="33">
        <v>16752864</v>
      </c>
      <c r="E338" s="33">
        <v>0</v>
      </c>
      <c r="F338" s="8">
        <f>INDEX('Rubro por CUI'!$E$5:$E$454,MATCH("001|2645524",'Rubro por CUI'!$N$5:$N$454,0))</f>
        <v>0.0</v>
      </c>
      <c r="G338" s="8">
        <f>INDEX('Rubro por CUI'!$F$5:$F$454,MATCH("001|2645524",'Rubro por CUI'!$N$5:$N$454,0))</f>
        <v>0.0</v>
      </c>
      <c r="H338" s="8">
        <f>INDEX('Rubro por CUI'!$G$5:$G$454,MATCH("001|2645524",'Rubro por CUI'!$N$5:$N$454,0))</f>
        <v>1349649.0</v>
      </c>
      <c r="I338" s="8">
        <f>INDEX('Rubro por CUI'!$H$5:$H$454,MATCH("001|2645524",'Rubro por CUI'!$N$5:$N$454,0))</f>
        <v>0.0</v>
      </c>
      <c r="J338" s="8">
        <f>INDEX('Rubro por CUI'!$I$5:$I$454,MATCH("001|2645524",'Rubro por CUI'!$N$5:$N$454,0))</f>
        <v>0.0</v>
      </c>
      <c r="K338" s="8">
        <f>L338-SUM(F338:J338)</f>
        <v>0.0</v>
      </c>
      <c r="L338" s="8">
        <f>SUMIFS(Base!$N$5:$N$504,Base!$A$5:$A$504,"001",Base!$F$5:$F$504,"2645524")</f>
        <v>1349649.0</v>
      </c>
      <c r="M338" s="8">
        <f>D338-E338-L338</f>
        <v>15403215.0</v>
      </c>
      <c r="N338" s="7" t="s">
        <v>89</v>
      </c>
    </row>
    <row r="339" spans="1:14">
      <c r="A339" s="28">
        <v>324</v>
      </c>
      <c r="B339" s="28" t="s">
        <v>2118</v>
      </c>
      <c r="C339" s="7" t="s">
        <v>1102</v>
      </c>
      <c r="D339" s="7" t="s">
        <v>99</v>
      </c>
      <c r="E339" s="7" t="s">
        <v>99</v>
      </c>
      <c r="F339" s="8">
        <f>INDEX('Rubro por CUI'!$E$5:$E$454,MATCH("001|2717147",'Rubro por CUI'!$N$5:$N$454,0))</f>
        <v>0.0</v>
      </c>
      <c r="G339" s="8">
        <f>INDEX('Rubro por CUI'!$F$5:$F$454,MATCH("001|2717147",'Rubro por CUI'!$N$5:$N$454,0))</f>
        <v>0.0</v>
      </c>
      <c r="H339" s="8">
        <f>INDEX('Rubro por CUI'!$G$5:$G$454,MATCH("001|2717147",'Rubro por CUI'!$N$5:$N$454,0))</f>
        <v>159946.0</v>
      </c>
      <c r="I339" s="8">
        <f>INDEX('Rubro por CUI'!$H$5:$H$454,MATCH("001|2717147",'Rubro por CUI'!$N$5:$N$454,0))</f>
        <v>0.0</v>
      </c>
      <c r="J339" s="8">
        <f>INDEX('Rubro por CUI'!$I$5:$I$454,MATCH("001|2717147",'Rubro por CUI'!$N$5:$N$454,0))</f>
        <v>0.0</v>
      </c>
      <c r="K339" s="8">
        <f>L339-SUM(F339:J339)</f>
        <v>0.0</v>
      </c>
      <c r="L339" s="8">
        <f>SUMIFS(Base!$N$5:$N$504,Base!$A$5:$A$504,"001",Base!$F$5:$F$504,"2717147")</f>
        <v>159946.0</v>
      </c>
      <c r="M339" s="7" t="s">
        <v>99</v>
      </c>
      <c r="N339" s="7" t="s">
        <v>1796</v>
      </c>
    </row>
    <row r="340" spans="1:14">
      <c r="A340" s="28">
        <v>325</v>
      </c>
      <c r="B340" s="28" t="s">
        <v>2119</v>
      </c>
      <c r="C340" s="7" t="s">
        <v>1109</v>
      </c>
      <c r="D340" s="7" t="s">
        <v>99</v>
      </c>
      <c r="E340" s="7" t="s">
        <v>99</v>
      </c>
      <c r="F340" s="8">
        <f>INDEX('Rubro por CUI'!$E$5:$E$454,MATCH("001|2723296",'Rubro por CUI'!$N$5:$N$454,0))</f>
        <v>0.0</v>
      </c>
      <c r="G340" s="8">
        <f>INDEX('Rubro por CUI'!$F$5:$F$454,MATCH("001|2723296",'Rubro por CUI'!$N$5:$N$454,0))</f>
        <v>0.0</v>
      </c>
      <c r="H340" s="8">
        <f>INDEX('Rubro por CUI'!$G$5:$G$454,MATCH("001|2723296",'Rubro por CUI'!$N$5:$N$454,0))</f>
        <v>159560.0</v>
      </c>
      <c r="I340" s="8">
        <f>INDEX('Rubro por CUI'!$H$5:$H$454,MATCH("001|2723296",'Rubro por CUI'!$N$5:$N$454,0))</f>
        <v>0.0</v>
      </c>
      <c r="J340" s="8">
        <f>INDEX('Rubro por CUI'!$I$5:$I$454,MATCH("001|2723296",'Rubro por CUI'!$N$5:$N$454,0))</f>
        <v>0.0</v>
      </c>
      <c r="K340" s="8">
        <f>L340-SUM(F340:J340)</f>
        <v>0.0</v>
      </c>
      <c r="L340" s="8">
        <f>SUMIFS(Base!$N$5:$N$504,Base!$A$5:$A$504,"001",Base!$F$5:$F$504,"2723296")</f>
        <v>159560.0</v>
      </c>
      <c r="M340" s="7" t="s">
        <v>99</v>
      </c>
      <c r="N340" s="7" t="s">
        <v>1796</v>
      </c>
    </row>
    <row r="341" spans="1:14">
      <c r="A341" s="28">
        <v>326</v>
      </c>
      <c r="B341" s="28" t="s">
        <v>2120</v>
      </c>
      <c r="C341" s="7" t="s">
        <v>1112</v>
      </c>
      <c r="D341" s="7" t="s">
        <v>99</v>
      </c>
      <c r="E341" s="7" t="s">
        <v>99</v>
      </c>
      <c r="F341" s="8">
        <f>INDEX('Rubro por CUI'!$E$5:$E$454,MATCH("001|2717175",'Rubro por CUI'!$N$5:$N$454,0))</f>
        <v>0.0</v>
      </c>
      <c r="G341" s="8">
        <f>INDEX('Rubro por CUI'!$F$5:$F$454,MATCH("001|2717175",'Rubro por CUI'!$N$5:$N$454,0))</f>
        <v>0.0</v>
      </c>
      <c r="H341" s="8">
        <f>INDEX('Rubro por CUI'!$G$5:$G$454,MATCH("001|2717175",'Rubro por CUI'!$N$5:$N$454,0))</f>
        <v>158892.0</v>
      </c>
      <c r="I341" s="8">
        <f>INDEX('Rubro por CUI'!$H$5:$H$454,MATCH("001|2717175",'Rubro por CUI'!$N$5:$N$454,0))</f>
        <v>0.0</v>
      </c>
      <c r="J341" s="8">
        <f>INDEX('Rubro por CUI'!$I$5:$I$454,MATCH("001|2717175",'Rubro por CUI'!$N$5:$N$454,0))</f>
        <v>0.0</v>
      </c>
      <c r="K341" s="8">
        <f>L341-SUM(F341:J341)</f>
        <v>0.0</v>
      </c>
      <c r="L341" s="8">
        <f>SUMIFS(Base!$N$5:$N$504,Base!$A$5:$A$504,"001",Base!$F$5:$F$504,"2717175")</f>
        <v>158892.0</v>
      </c>
      <c r="M341" s="7" t="s">
        <v>99</v>
      </c>
      <c r="N341" s="7" t="s">
        <v>1796</v>
      </c>
    </row>
    <row r="342" spans="1:14">
      <c r="A342" s="25" t="s">
        <v>1087</v>
      </c>
      <c r="B342" s="25"/>
      <c r="C342" s="25"/>
      <c r="D342" s="26">
        <f>SUM(D343:D350)</f>
        <v>205531988.0</v>
      </c>
      <c r="E342" s="26">
        <f>SUM(E343:E350)</f>
        <v>36685118.0</v>
      </c>
      <c r="F342" s="26">
        <f>SUM(F343:F350)</f>
        <v>0.0</v>
      </c>
      <c r="G342" s="26">
        <f>SUM(G343:G350)</f>
        <v>0.0</v>
      </c>
      <c r="H342" s="26">
        <f>SUM(H343:H350)</f>
        <v>334317.0</v>
      </c>
      <c r="I342" s="26">
        <f>SUM(I343:I350)</f>
        <v>0.0</v>
      </c>
      <c r="J342" s="26">
        <f>SUM(J343:J350)</f>
        <v>0.0</v>
      </c>
      <c r="K342" s="26">
        <f>SUM(K343:K350)</f>
        <v>0.0</v>
      </c>
      <c r="L342" s="26">
        <f>SUM(L343:L350)</f>
        <v>334317.0</v>
      </c>
      <c r="M342" s="26">
        <f>SUM(M343:M350)</f>
        <v>168612553.0</v>
      </c>
      <c r="N342" s="25"/>
    </row>
    <row r="343" spans="1:14">
      <c r="A343" s="28">
        <v>327</v>
      </c>
      <c r="B343" s="28" t="s">
        <v>2121</v>
      </c>
      <c r="C343" s="7" t="s">
        <v>1090</v>
      </c>
      <c r="D343" s="7" t="s">
        <v>99</v>
      </c>
      <c r="E343" s="7" t="s">
        <v>99</v>
      </c>
      <c r="F343" s="8">
        <f>INDEX('Rubro por CUI'!$E$5:$E$454,MATCH("001|2625216",'Rubro por CUI'!$N$5:$N$454,0))</f>
        <v>0.0</v>
      </c>
      <c r="G343" s="8">
        <f>INDEX('Rubro por CUI'!$F$5:$F$454,MATCH("001|2625216",'Rubro por CUI'!$N$5:$N$454,0))</f>
        <v>0.0</v>
      </c>
      <c r="H343" s="8">
        <f>INDEX('Rubro por CUI'!$G$5:$G$454,MATCH("001|2625216",'Rubro por CUI'!$N$5:$N$454,0))</f>
        <v>100000.0</v>
      </c>
      <c r="I343" s="8">
        <f>INDEX('Rubro por CUI'!$H$5:$H$454,MATCH("001|2625216",'Rubro por CUI'!$N$5:$N$454,0))</f>
        <v>0.0</v>
      </c>
      <c r="J343" s="8">
        <f>INDEX('Rubro por CUI'!$I$5:$I$454,MATCH("001|2625216",'Rubro por CUI'!$N$5:$N$454,0))</f>
        <v>0.0</v>
      </c>
      <c r="K343" s="8">
        <f>L343-SUM(F343:J343)</f>
        <v>0.0</v>
      </c>
      <c r="L343" s="8">
        <f>SUMIFS(Base!$N$5:$N$504,Base!$A$5:$A$504,"001",Base!$F$5:$F$504,"2625216")</f>
        <v>100000.0</v>
      </c>
      <c r="M343" s="7" t="s">
        <v>99</v>
      </c>
      <c r="N343" s="7" t="s">
        <v>1796</v>
      </c>
    </row>
    <row r="344" spans="1:14">
      <c r="A344" s="28">
        <v>328</v>
      </c>
      <c r="B344" s="28" t="s">
        <v>2122</v>
      </c>
      <c r="C344" s="7" t="s">
        <v>1381</v>
      </c>
      <c r="D344" s="33">
        <v>49368510</v>
      </c>
      <c r="E344" s="33">
        <v>662515</v>
      </c>
      <c r="F344" s="8">
        <f>INDEX('Rubro por CUI'!$E$5:$E$454,MATCH("001|2631070",'Rubro por CUI'!$N$5:$N$454,0))</f>
        <v>0.0</v>
      </c>
      <c r="G344" s="8">
        <f>INDEX('Rubro por CUI'!$F$5:$F$454,MATCH("001|2631070",'Rubro por CUI'!$N$5:$N$454,0))</f>
        <v>0.0</v>
      </c>
      <c r="H344" s="8">
        <f>INDEX('Rubro por CUI'!$G$5:$G$454,MATCH("001|2631070",'Rubro por CUI'!$N$5:$N$454,0))</f>
        <v>90586.0</v>
      </c>
      <c r="I344" s="8">
        <f>INDEX('Rubro por CUI'!$H$5:$H$454,MATCH("001|2631070",'Rubro por CUI'!$N$5:$N$454,0))</f>
        <v>0.0</v>
      </c>
      <c r="J344" s="8">
        <f>INDEX('Rubro por CUI'!$I$5:$I$454,MATCH("001|2631070",'Rubro por CUI'!$N$5:$N$454,0))</f>
        <v>0.0</v>
      </c>
      <c r="K344" s="8">
        <f>L344-SUM(F344:J344)</f>
        <v>0.0</v>
      </c>
      <c r="L344" s="8">
        <f>SUMIFS(Base!$N$5:$N$504,Base!$A$5:$A$504,"001",Base!$F$5:$F$504,"2631070")</f>
        <v>90586.0</v>
      </c>
      <c r="M344" s="8">
        <f>D344-E344-L344</f>
        <v>48615409.0</v>
      </c>
      <c r="N344" s="7" t="s">
        <v>89</v>
      </c>
    </row>
    <row r="345" spans="1:14">
      <c r="A345" s="28">
        <v>329</v>
      </c>
      <c r="B345" s="28" t="s">
        <v>2123</v>
      </c>
      <c r="C345" s="7" t="s">
        <v>1391</v>
      </c>
      <c r="D345" s="33">
        <v>30692250</v>
      </c>
      <c r="E345" s="33">
        <v>30463590</v>
      </c>
      <c r="F345" s="8">
        <f>INDEX('Rubro por CUI'!$E$5:$E$454,MATCH("001|2260735",'Rubro por CUI'!$N$5:$N$454,0))</f>
        <v>0.0</v>
      </c>
      <c r="G345" s="8">
        <f>INDEX('Rubro por CUI'!$F$5:$F$454,MATCH("001|2260735",'Rubro por CUI'!$N$5:$N$454,0))</f>
        <v>0.0</v>
      </c>
      <c r="H345" s="8">
        <f>INDEX('Rubro por CUI'!$G$5:$G$454,MATCH("001|2260735",'Rubro por CUI'!$N$5:$N$454,0))</f>
        <v>70632.0</v>
      </c>
      <c r="I345" s="8">
        <f>INDEX('Rubro por CUI'!$H$5:$H$454,MATCH("001|2260735",'Rubro por CUI'!$N$5:$N$454,0))</f>
        <v>0.0</v>
      </c>
      <c r="J345" s="8">
        <f>INDEX('Rubro por CUI'!$I$5:$I$454,MATCH("001|2260735",'Rubro por CUI'!$N$5:$N$454,0))</f>
        <v>0.0</v>
      </c>
      <c r="K345" s="8">
        <f>L345-SUM(F345:J345)</f>
        <v>0.0</v>
      </c>
      <c r="L345" s="8">
        <f>SUMIFS(Base!$N$5:$N$504,Base!$A$5:$A$504,"001",Base!$F$5:$F$504,"2260735")</f>
        <v>70632.0</v>
      </c>
      <c r="M345" s="8">
        <f>D345-E345-L345</f>
        <v>158028.0</v>
      </c>
      <c r="N345" s="7" t="s">
        <v>89</v>
      </c>
    </row>
    <row r="346" spans="1:14">
      <c r="A346" s="28">
        <v>330</v>
      </c>
      <c r="B346" s="28" t="s">
        <v>2124</v>
      </c>
      <c r="C346" s="7" t="s">
        <v>1375</v>
      </c>
      <c r="D346" s="33">
        <v>28966077</v>
      </c>
      <c r="E346" s="33">
        <v>1421462</v>
      </c>
      <c r="F346" s="8">
        <f>INDEX('Rubro por CUI'!$E$5:$E$454,MATCH("001|2533866",'Rubro por CUI'!$N$5:$N$454,0))</f>
        <v>0.0</v>
      </c>
      <c r="G346" s="8">
        <f>INDEX('Rubro por CUI'!$F$5:$F$454,MATCH("001|2533866",'Rubro por CUI'!$N$5:$N$454,0))</f>
        <v>0.0</v>
      </c>
      <c r="H346" s="8">
        <f>INDEX('Rubro por CUI'!$G$5:$G$454,MATCH("001|2533866",'Rubro por CUI'!$N$5:$N$454,0))</f>
        <v>32099.0</v>
      </c>
      <c r="I346" s="8">
        <f>INDEX('Rubro por CUI'!$H$5:$H$454,MATCH("001|2533866",'Rubro por CUI'!$N$5:$N$454,0))</f>
        <v>0.0</v>
      </c>
      <c r="J346" s="8">
        <f>INDEX('Rubro por CUI'!$I$5:$I$454,MATCH("001|2533866",'Rubro por CUI'!$N$5:$N$454,0))</f>
        <v>0.0</v>
      </c>
      <c r="K346" s="8">
        <f>L346-SUM(F346:J346)</f>
        <v>0.0</v>
      </c>
      <c r="L346" s="8">
        <f>SUMIFS(Base!$N$5:$N$504,Base!$A$5:$A$504,"001",Base!$F$5:$F$504,"2533866")</f>
        <v>32099.0</v>
      </c>
      <c r="M346" s="8">
        <f>D346-E346-L346</f>
        <v>27512516.0</v>
      </c>
      <c r="N346" s="7" t="s">
        <v>89</v>
      </c>
    </row>
    <row r="347" spans="1:14">
      <c r="A347" s="28">
        <v>331</v>
      </c>
      <c r="B347" s="28" t="s">
        <v>2125</v>
      </c>
      <c r="C347" s="7" t="s">
        <v>1378</v>
      </c>
      <c r="D347" s="33">
        <v>11664695</v>
      </c>
      <c r="E347" s="33">
        <v>3342630</v>
      </c>
      <c r="F347" s="8">
        <f>INDEX('Rubro por CUI'!$E$5:$E$454,MATCH("001|2250970",'Rubro por CUI'!$N$5:$N$454,0))</f>
        <v>0.0</v>
      </c>
      <c r="G347" s="8">
        <f>INDEX('Rubro por CUI'!$F$5:$F$454,MATCH("001|2250970",'Rubro por CUI'!$N$5:$N$454,0))</f>
        <v>0.0</v>
      </c>
      <c r="H347" s="8">
        <f>INDEX('Rubro por CUI'!$G$5:$G$454,MATCH("001|2250970",'Rubro por CUI'!$N$5:$N$454,0))</f>
        <v>30000.0</v>
      </c>
      <c r="I347" s="8">
        <f>INDEX('Rubro por CUI'!$H$5:$H$454,MATCH("001|2250970",'Rubro por CUI'!$N$5:$N$454,0))</f>
        <v>0.0</v>
      </c>
      <c r="J347" s="8">
        <f>INDEX('Rubro por CUI'!$I$5:$I$454,MATCH("001|2250970",'Rubro por CUI'!$N$5:$N$454,0))</f>
        <v>0.0</v>
      </c>
      <c r="K347" s="8">
        <f>L347-SUM(F347:J347)</f>
        <v>0.0</v>
      </c>
      <c r="L347" s="8">
        <f>SUMIFS(Base!$N$5:$N$504,Base!$A$5:$A$504,"001",Base!$F$5:$F$504,"2250970")</f>
        <v>30000.0</v>
      </c>
      <c r="M347" s="8">
        <f>D347-E347-L347</f>
        <v>8292065.0</v>
      </c>
      <c r="N347" s="7" t="s">
        <v>89</v>
      </c>
    </row>
    <row r="348" spans="1:14">
      <c r="A348" s="28">
        <v>332</v>
      </c>
      <c r="B348" s="28" t="s">
        <v>2126</v>
      </c>
      <c r="C348" s="7" t="s">
        <v>1395</v>
      </c>
      <c r="D348" s="33">
        <v>28123055</v>
      </c>
      <c r="E348" s="33">
        <v>0</v>
      </c>
      <c r="F348" s="8">
        <f>INDEX('Rubro por CUI'!$E$5:$E$454,MATCH("001|2684838",'Rubro por CUI'!$N$5:$N$454,0))</f>
        <v>0.0</v>
      </c>
      <c r="G348" s="8">
        <f>INDEX('Rubro por CUI'!$F$5:$F$454,MATCH("001|2684838",'Rubro por CUI'!$N$5:$N$454,0))</f>
        <v>0.0</v>
      </c>
      <c r="H348" s="8">
        <f>INDEX('Rubro por CUI'!$G$5:$G$454,MATCH("001|2684838",'Rubro por CUI'!$N$5:$N$454,0))</f>
        <v>11000.0</v>
      </c>
      <c r="I348" s="8">
        <f>INDEX('Rubro por CUI'!$H$5:$H$454,MATCH("001|2684838",'Rubro por CUI'!$N$5:$N$454,0))</f>
        <v>0.0</v>
      </c>
      <c r="J348" s="8">
        <f>INDEX('Rubro por CUI'!$I$5:$I$454,MATCH("001|2684838",'Rubro por CUI'!$N$5:$N$454,0))</f>
        <v>0.0</v>
      </c>
      <c r="K348" s="8">
        <f>L348-SUM(F348:J348)</f>
        <v>0.0</v>
      </c>
      <c r="L348" s="8">
        <f>SUMIFS(Base!$N$5:$N$504,Base!$A$5:$A$504,"001",Base!$F$5:$F$504,"2684838")</f>
        <v>11000.0</v>
      </c>
      <c r="M348" s="8">
        <f>D348-E348-L348</f>
        <v>28112055.0</v>
      </c>
      <c r="N348" s="7" t="s">
        <v>89</v>
      </c>
    </row>
    <row r="349" spans="1:14">
      <c r="A349" s="28">
        <v>333</v>
      </c>
      <c r="B349" s="28" t="s">
        <v>2127</v>
      </c>
      <c r="C349" s="7" t="s">
        <v>1384</v>
      </c>
      <c r="D349" s="33">
        <v>33995063</v>
      </c>
      <c r="E349" s="33">
        <v>383394</v>
      </c>
      <c r="F349" s="8">
        <f>INDEX('Rubro por CUI'!$E$5:$E$454,MATCH("001|2549395",'Rubro por CUI'!$N$5:$N$454,0))</f>
        <v>0.0</v>
      </c>
      <c r="G349" s="8">
        <f>INDEX('Rubro por CUI'!$F$5:$F$454,MATCH("001|2549395",'Rubro por CUI'!$N$5:$N$454,0))</f>
        <v>0.0</v>
      </c>
      <c r="H349" s="8">
        <f>INDEX('Rubro por CUI'!$G$5:$G$454,MATCH("001|2549395",'Rubro por CUI'!$N$5:$N$454,0))</f>
        <v>0.0</v>
      </c>
      <c r="I349" s="8">
        <f>INDEX('Rubro por CUI'!$H$5:$H$454,MATCH("001|2549395",'Rubro por CUI'!$N$5:$N$454,0))</f>
        <v>0.0</v>
      </c>
      <c r="J349" s="8">
        <f>INDEX('Rubro por CUI'!$I$5:$I$454,MATCH("001|2549395",'Rubro por CUI'!$N$5:$N$454,0))</f>
        <v>0.0</v>
      </c>
      <c r="K349" s="8">
        <f>L349-SUM(F349:J349)</f>
        <v>0.0</v>
      </c>
      <c r="L349" s="8">
        <f>SUMIFS(Base!$N$5:$N$504,Base!$A$5:$A$504,"001",Base!$F$5:$F$504,"2549395")</f>
        <v>0.0</v>
      </c>
      <c r="M349" s="8">
        <f>D349-E349-L349</f>
        <v>33611669.0</v>
      </c>
      <c r="N349" s="7" t="s">
        <v>89</v>
      </c>
    </row>
    <row r="350" spans="1:14">
      <c r="A350" s="28">
        <v>334</v>
      </c>
      <c r="B350" s="28" t="s">
        <v>2128</v>
      </c>
      <c r="C350" s="7" t="s">
        <v>1388</v>
      </c>
      <c r="D350" s="33">
        <v>22722338</v>
      </c>
      <c r="E350" s="33">
        <v>411527</v>
      </c>
      <c r="F350" s="8">
        <f>INDEX('Rubro por CUI'!$E$5:$E$454,MATCH("001|2566295",'Rubro por CUI'!$N$5:$N$454,0))</f>
        <v>0.0</v>
      </c>
      <c r="G350" s="8">
        <f>INDEX('Rubro por CUI'!$F$5:$F$454,MATCH("001|2566295",'Rubro por CUI'!$N$5:$N$454,0))</f>
        <v>0.0</v>
      </c>
      <c r="H350" s="8">
        <f>INDEX('Rubro por CUI'!$G$5:$G$454,MATCH("001|2566295",'Rubro por CUI'!$N$5:$N$454,0))</f>
        <v>0.0</v>
      </c>
      <c r="I350" s="8">
        <f>INDEX('Rubro por CUI'!$H$5:$H$454,MATCH("001|2566295",'Rubro por CUI'!$N$5:$N$454,0))</f>
        <v>0.0</v>
      </c>
      <c r="J350" s="8">
        <f>INDEX('Rubro por CUI'!$I$5:$I$454,MATCH("001|2566295",'Rubro por CUI'!$N$5:$N$454,0))</f>
        <v>0.0</v>
      </c>
      <c r="K350" s="8">
        <f>L350-SUM(F350:J350)</f>
        <v>0.0</v>
      </c>
      <c r="L350" s="8">
        <f>SUMIFS(Base!$N$5:$N$504,Base!$A$5:$A$504,"001",Base!$F$5:$F$504,"2566295")</f>
        <v>0.0</v>
      </c>
      <c r="M350" s="8">
        <f>D350-E350-L350</f>
        <v>22310811.0</v>
      </c>
      <c r="N350" s="7" t="s">
        <v>89</v>
      </c>
    </row>
    <row r="351" spans="1:14">
      <c r="A351" s="25" t="s">
        <v>1091</v>
      </c>
      <c r="B351" s="25"/>
      <c r="C351" s="25"/>
      <c r="D351" s="26">
        <f>SUM(D352:D352)</f>
        <v>13160803.0</v>
      </c>
      <c r="E351" s="26">
        <f>SUM(E352:E352)</f>
        <v>314713.0</v>
      </c>
      <c r="F351" s="26">
        <f>SUM(F352:F352)</f>
        <v>0.0</v>
      </c>
      <c r="G351" s="26">
        <f>SUM(G352:G352)</f>
        <v>0.0</v>
      </c>
      <c r="H351" s="26">
        <f>SUM(H352:H352)</f>
        <v>0.0</v>
      </c>
      <c r="I351" s="26">
        <f>SUM(I352:I352)</f>
        <v>0.0</v>
      </c>
      <c r="J351" s="26">
        <f>SUM(J352:J352)</f>
        <v>0.0</v>
      </c>
      <c r="K351" s="26">
        <f>SUM(K352:K352)</f>
        <v>0.0</v>
      </c>
      <c r="L351" s="26">
        <f>SUM(L352:L352)</f>
        <v>0.0</v>
      </c>
      <c r="M351" s="26">
        <f>SUM(M352:M352)</f>
        <v>12846090.0</v>
      </c>
      <c r="N351" s="25"/>
    </row>
    <row r="352" spans="1:14">
      <c r="A352" s="28">
        <v>335</v>
      </c>
      <c r="B352" s="28" t="s">
        <v>2129</v>
      </c>
      <c r="C352" s="7" t="s">
        <v>1094</v>
      </c>
      <c r="D352" s="33">
        <v>13160803</v>
      </c>
      <c r="E352" s="33">
        <v>314713</v>
      </c>
      <c r="F352" s="8">
        <f>INDEX('Rubro por CUI'!$E$5:$E$454,MATCH("001|2462296",'Rubro por CUI'!$N$5:$N$454,0))</f>
        <v>0.0</v>
      </c>
      <c r="G352" s="8">
        <f>INDEX('Rubro por CUI'!$F$5:$F$454,MATCH("001|2462296",'Rubro por CUI'!$N$5:$N$454,0))</f>
        <v>0.0</v>
      </c>
      <c r="H352" s="8">
        <f>INDEX('Rubro por CUI'!$G$5:$G$454,MATCH("001|2462296",'Rubro por CUI'!$N$5:$N$454,0))</f>
        <v>0.0</v>
      </c>
      <c r="I352" s="8">
        <f>INDEX('Rubro por CUI'!$H$5:$H$454,MATCH("001|2462296",'Rubro por CUI'!$N$5:$N$454,0))</f>
        <v>0.0</v>
      </c>
      <c r="J352" s="8">
        <f>INDEX('Rubro por CUI'!$I$5:$I$454,MATCH("001|2462296",'Rubro por CUI'!$N$5:$N$454,0))</f>
        <v>0.0</v>
      </c>
      <c r="K352" s="8">
        <f>L352-SUM(F352:J352)</f>
        <v>0.0</v>
      </c>
      <c r="L352" s="8">
        <f>SUMIFS(Base!$N$5:$N$504,Base!$A$5:$A$504,"001",Base!$F$5:$F$504,"2462296")</f>
        <v>0.0</v>
      </c>
      <c r="M352" s="8">
        <f>D352-E352-L352</f>
        <v>12846090.0</v>
      </c>
      <c r="N352" s="7" t="s">
        <v>89</v>
      </c>
    </row>
    <row r="353" spans="1:14">
      <c r="A353" s="25" t="s">
        <v>1128</v>
      </c>
      <c r="B353" s="25"/>
      <c r="C353" s="25"/>
      <c r="D353" s="26">
        <f>SUM(D354:D419)</f>
        <v>129061903.0</v>
      </c>
      <c r="E353" s="26">
        <f>SUM(E354:E419)</f>
        <v>14639357.0</v>
      </c>
      <c r="F353" s="26">
        <f>SUM(F354:F419)</f>
        <v>0.0</v>
      </c>
      <c r="G353" s="26">
        <f>SUM(G354:G419)</f>
        <v>0.0</v>
      </c>
      <c r="H353" s="26">
        <f>SUM(H354:H419)</f>
        <v>10396003.0</v>
      </c>
      <c r="I353" s="26">
        <f>SUM(I354:I419)</f>
        <v>4271598.0</v>
      </c>
      <c r="J353" s="26">
        <f>SUM(J354:J419)</f>
        <v>0.0</v>
      </c>
      <c r="K353" s="26">
        <f>SUM(K354:K419)</f>
        <v>0.0</v>
      </c>
      <c r="L353" s="26">
        <f>SUM(L354:L419)</f>
        <v>14667601.0</v>
      </c>
      <c r="M353" s="26">
        <f>SUM(M354:M419)</f>
        <v>108306948.0</v>
      </c>
      <c r="N353" s="25"/>
    </row>
    <row r="354" spans="1:14">
      <c r="A354" s="28">
        <v>336</v>
      </c>
      <c r="B354" s="28" t="s">
        <v>2130</v>
      </c>
      <c r="C354" s="7" t="s">
        <v>1416</v>
      </c>
      <c r="D354" s="33">
        <v>42603143</v>
      </c>
      <c r="E354" s="33">
        <v>333584</v>
      </c>
      <c r="F354" s="8">
        <f>INDEX('Rubro por CUI'!$E$5:$E$454,MATCH("001|2603155",'Rubro por CUI'!$N$5:$N$454,0))</f>
        <v>0.0</v>
      </c>
      <c r="G354" s="8">
        <f>INDEX('Rubro por CUI'!$F$5:$F$454,MATCH("001|2603155",'Rubro por CUI'!$N$5:$N$454,0))</f>
        <v>0.0</v>
      </c>
      <c r="H354" s="8">
        <f>INDEX('Rubro por CUI'!$G$5:$G$454,MATCH("001|2603155",'Rubro por CUI'!$N$5:$N$454,0))</f>
        <v>1500000.0</v>
      </c>
      <c r="I354" s="8">
        <f>INDEX('Rubro por CUI'!$H$5:$H$454,MATCH("001|2603155",'Rubro por CUI'!$N$5:$N$454,0))</f>
        <v>2771598.0</v>
      </c>
      <c r="J354" s="8">
        <f>INDEX('Rubro por CUI'!$I$5:$I$454,MATCH("001|2603155",'Rubro por CUI'!$N$5:$N$454,0))</f>
        <v>0.0</v>
      </c>
      <c r="K354" s="8">
        <f>L354-SUM(F354:J354)</f>
        <v>0.0</v>
      </c>
      <c r="L354" s="8">
        <f>SUMIFS(Base!$N$5:$N$504,Base!$A$5:$A$504,"001",Base!$F$5:$F$504,"2603155")</f>
        <v>4271598.0</v>
      </c>
      <c r="M354" s="8">
        <f>D354-E354-L354</f>
        <v>37997961.0</v>
      </c>
      <c r="N354" s="7" t="s">
        <v>89</v>
      </c>
    </row>
    <row r="355" spans="1:14">
      <c r="A355" s="28">
        <v>337</v>
      </c>
      <c r="B355" s="28" t="s">
        <v>2131</v>
      </c>
      <c r="C355" s="7" t="s">
        <v>1371</v>
      </c>
      <c r="D355" s="33">
        <v>72313376</v>
      </c>
      <c r="E355" s="33">
        <v>495610</v>
      </c>
      <c r="F355" s="8">
        <f>INDEX('Rubro por CUI'!$E$5:$E$454,MATCH("001|2474102",'Rubro por CUI'!$N$5:$N$454,0))</f>
        <v>0.0</v>
      </c>
      <c r="G355" s="8">
        <f>INDEX('Rubro por CUI'!$F$5:$F$454,MATCH("001|2474102",'Rubro por CUI'!$N$5:$N$454,0))</f>
        <v>0.0</v>
      </c>
      <c r="H355" s="8">
        <f>INDEX('Rubro por CUI'!$G$5:$G$454,MATCH("001|2474102",'Rubro por CUI'!$N$5:$N$454,0))</f>
        <v>300000.0</v>
      </c>
      <c r="I355" s="8">
        <f>INDEX('Rubro por CUI'!$H$5:$H$454,MATCH("001|2474102",'Rubro por CUI'!$N$5:$N$454,0))</f>
        <v>1500000.0</v>
      </c>
      <c r="J355" s="8">
        <f>INDEX('Rubro por CUI'!$I$5:$I$454,MATCH("001|2474102",'Rubro por CUI'!$N$5:$N$454,0))</f>
        <v>0.0</v>
      </c>
      <c r="K355" s="8">
        <f>L355-SUM(F355:J355)</f>
        <v>0.0</v>
      </c>
      <c r="L355" s="8">
        <f>SUMIFS(Base!$N$5:$N$504,Base!$A$5:$A$504,"001",Base!$F$5:$F$504,"2474102")</f>
        <v>1800000.0</v>
      </c>
      <c r="M355" s="8">
        <f>D355-E355-L355</f>
        <v>70017766.0</v>
      </c>
      <c r="N355" s="7" t="s">
        <v>89</v>
      </c>
    </row>
    <row r="356" spans="1:14">
      <c r="A356" s="28">
        <v>338</v>
      </c>
      <c r="B356" s="28" t="s">
        <v>2132</v>
      </c>
      <c r="C356" s="7" t="s">
        <v>1131</v>
      </c>
      <c r="D356" s="7" t="s">
        <v>99</v>
      </c>
      <c r="E356" s="7" t="s">
        <v>99</v>
      </c>
      <c r="F356" s="8">
        <f>INDEX('Rubro por CUI'!$E$5:$E$454,MATCH("001|2717186",'Rubro por CUI'!$N$5:$N$454,0))</f>
        <v>0.0</v>
      </c>
      <c r="G356" s="8">
        <f>INDEX('Rubro por CUI'!$F$5:$F$454,MATCH("001|2717186",'Rubro por CUI'!$N$5:$N$454,0))</f>
        <v>0.0</v>
      </c>
      <c r="H356" s="8">
        <f>INDEX('Rubro por CUI'!$G$5:$G$454,MATCH("001|2717186",'Rubro por CUI'!$N$5:$N$454,0))</f>
        <v>350000.0</v>
      </c>
      <c r="I356" s="8">
        <f>INDEX('Rubro por CUI'!$H$5:$H$454,MATCH("001|2717186",'Rubro por CUI'!$N$5:$N$454,0))</f>
        <v>0.0</v>
      </c>
      <c r="J356" s="8">
        <f>INDEX('Rubro por CUI'!$I$5:$I$454,MATCH("001|2717186",'Rubro por CUI'!$N$5:$N$454,0))</f>
        <v>0.0</v>
      </c>
      <c r="K356" s="8">
        <f>L356-SUM(F356:J356)</f>
        <v>0.0</v>
      </c>
      <c r="L356" s="8">
        <f>SUMIFS(Base!$N$5:$N$504,Base!$A$5:$A$504,"001",Base!$F$5:$F$504,"2717186")</f>
        <v>350000.0</v>
      </c>
      <c r="M356" s="7" t="s">
        <v>99</v>
      </c>
      <c r="N356" s="7" t="s">
        <v>1796</v>
      </c>
    </row>
    <row r="357" spans="1:14">
      <c r="A357" s="28">
        <v>339</v>
      </c>
      <c r="B357" s="28" t="s">
        <v>2133</v>
      </c>
      <c r="C357" s="7" t="s">
        <v>1134</v>
      </c>
      <c r="D357" s="7" t="s">
        <v>99</v>
      </c>
      <c r="E357" s="7" t="s">
        <v>99</v>
      </c>
      <c r="F357" s="8">
        <f>INDEX('Rubro por CUI'!$E$5:$E$454,MATCH("001|2717193",'Rubro por CUI'!$N$5:$N$454,0))</f>
        <v>0.0</v>
      </c>
      <c r="G357" s="8">
        <f>INDEX('Rubro por CUI'!$F$5:$F$454,MATCH("001|2717193",'Rubro por CUI'!$N$5:$N$454,0))</f>
        <v>0.0</v>
      </c>
      <c r="H357" s="8">
        <f>INDEX('Rubro por CUI'!$G$5:$G$454,MATCH("001|2717193",'Rubro por CUI'!$N$5:$N$454,0))</f>
        <v>349950.0</v>
      </c>
      <c r="I357" s="8">
        <f>INDEX('Rubro por CUI'!$H$5:$H$454,MATCH("001|2717193",'Rubro por CUI'!$N$5:$N$454,0))</f>
        <v>0.0</v>
      </c>
      <c r="J357" s="8">
        <f>INDEX('Rubro por CUI'!$I$5:$I$454,MATCH("001|2717193",'Rubro por CUI'!$N$5:$N$454,0))</f>
        <v>0.0</v>
      </c>
      <c r="K357" s="8">
        <f>L357-SUM(F357:J357)</f>
        <v>0.0</v>
      </c>
      <c r="L357" s="8">
        <f>SUMIFS(Base!$N$5:$N$504,Base!$A$5:$A$504,"001",Base!$F$5:$F$504,"2717193")</f>
        <v>349950.0</v>
      </c>
      <c r="M357" s="7" t="s">
        <v>99</v>
      </c>
      <c r="N357" s="7" t="s">
        <v>1796</v>
      </c>
    </row>
    <row r="358" spans="1:14">
      <c r="A358" s="28">
        <v>340</v>
      </c>
      <c r="B358" s="28" t="s">
        <v>1698</v>
      </c>
      <c r="C358" s="7" t="s">
        <v>1137</v>
      </c>
      <c r="D358" s="7" t="s">
        <v>99</v>
      </c>
      <c r="E358" s="7" t="s">
        <v>99</v>
      </c>
      <c r="F358" s="8">
        <f>INDEX('Rubro por CUI'!$E$5:$E$454,MATCH("001|2717178",'Rubro por CUI'!$N$5:$N$454,0))</f>
        <v>0.0</v>
      </c>
      <c r="G358" s="8">
        <f>INDEX('Rubro por CUI'!$F$5:$F$454,MATCH("001|2717178",'Rubro por CUI'!$N$5:$N$454,0))</f>
        <v>0.0</v>
      </c>
      <c r="H358" s="8">
        <f>INDEX('Rubro por CUI'!$G$5:$G$454,MATCH("001|2717178",'Rubro por CUI'!$N$5:$N$454,0))</f>
        <v>349899.0</v>
      </c>
      <c r="I358" s="8">
        <f>INDEX('Rubro por CUI'!$H$5:$H$454,MATCH("001|2717178",'Rubro por CUI'!$N$5:$N$454,0))</f>
        <v>0.0</v>
      </c>
      <c r="J358" s="8">
        <f>INDEX('Rubro por CUI'!$I$5:$I$454,MATCH("001|2717178",'Rubro por CUI'!$N$5:$N$454,0))</f>
        <v>0.0</v>
      </c>
      <c r="K358" s="8">
        <f>L358-SUM(F358:J358)</f>
        <v>0.0</v>
      </c>
      <c r="L358" s="8">
        <f>SUMIFS(Base!$N$5:$N$504,Base!$A$5:$A$504,"001",Base!$F$5:$F$504,"2717178")</f>
        <v>349899.0</v>
      </c>
      <c r="M358" s="7" t="s">
        <v>99</v>
      </c>
      <c r="N358" s="7" t="s">
        <v>1796</v>
      </c>
    </row>
    <row r="359" spans="1:14">
      <c r="A359" s="28">
        <v>341</v>
      </c>
      <c r="B359" s="28" t="s">
        <v>2134</v>
      </c>
      <c r="C359" s="7" t="s">
        <v>1140</v>
      </c>
      <c r="D359" s="7" t="s">
        <v>99</v>
      </c>
      <c r="E359" s="7" t="s">
        <v>99</v>
      </c>
      <c r="F359" s="8">
        <f>INDEX('Rubro por CUI'!$E$5:$E$454,MATCH("001|2717158",'Rubro por CUI'!$N$5:$N$454,0))</f>
        <v>0.0</v>
      </c>
      <c r="G359" s="8">
        <f>INDEX('Rubro por CUI'!$F$5:$F$454,MATCH("001|2717158",'Rubro por CUI'!$N$5:$N$454,0))</f>
        <v>0.0</v>
      </c>
      <c r="H359" s="8">
        <f>INDEX('Rubro por CUI'!$G$5:$G$454,MATCH("001|2717158",'Rubro por CUI'!$N$5:$N$454,0))</f>
        <v>349792.0</v>
      </c>
      <c r="I359" s="8">
        <f>INDEX('Rubro por CUI'!$H$5:$H$454,MATCH("001|2717158",'Rubro por CUI'!$N$5:$N$454,0))</f>
        <v>0.0</v>
      </c>
      <c r="J359" s="8">
        <f>INDEX('Rubro por CUI'!$I$5:$I$454,MATCH("001|2717158",'Rubro por CUI'!$N$5:$N$454,0))</f>
        <v>0.0</v>
      </c>
      <c r="K359" s="8">
        <f>L359-SUM(F359:J359)</f>
        <v>0.0</v>
      </c>
      <c r="L359" s="8">
        <f>SUMIFS(Base!$N$5:$N$504,Base!$A$5:$A$504,"001",Base!$F$5:$F$504,"2717158")</f>
        <v>349792.0</v>
      </c>
      <c r="M359" s="7" t="s">
        <v>99</v>
      </c>
      <c r="N359" s="7" t="s">
        <v>1796</v>
      </c>
    </row>
    <row r="360" spans="1:14">
      <c r="A360" s="28">
        <v>342</v>
      </c>
      <c r="B360" s="28" t="s">
        <v>2135</v>
      </c>
      <c r="C360" s="7" t="s">
        <v>1143</v>
      </c>
      <c r="D360" s="7" t="s">
        <v>99</v>
      </c>
      <c r="E360" s="7" t="s">
        <v>99</v>
      </c>
      <c r="F360" s="8">
        <f>INDEX('Rubro por CUI'!$E$5:$E$454,MATCH("001|2717173",'Rubro por CUI'!$N$5:$N$454,0))</f>
        <v>0.0</v>
      </c>
      <c r="G360" s="8">
        <f>INDEX('Rubro por CUI'!$F$5:$F$454,MATCH("001|2717173",'Rubro por CUI'!$N$5:$N$454,0))</f>
        <v>0.0</v>
      </c>
      <c r="H360" s="8">
        <f>INDEX('Rubro por CUI'!$G$5:$G$454,MATCH("001|2717173",'Rubro por CUI'!$N$5:$N$454,0))</f>
        <v>349792.0</v>
      </c>
      <c r="I360" s="8">
        <f>INDEX('Rubro por CUI'!$H$5:$H$454,MATCH("001|2717173",'Rubro por CUI'!$N$5:$N$454,0))</f>
        <v>0.0</v>
      </c>
      <c r="J360" s="8">
        <f>INDEX('Rubro por CUI'!$I$5:$I$454,MATCH("001|2717173",'Rubro por CUI'!$N$5:$N$454,0))</f>
        <v>0.0</v>
      </c>
      <c r="K360" s="8">
        <f>L360-SUM(F360:J360)</f>
        <v>0.0</v>
      </c>
      <c r="L360" s="8">
        <f>SUMIFS(Base!$N$5:$N$504,Base!$A$5:$A$504,"001",Base!$F$5:$F$504,"2717173")</f>
        <v>349792.0</v>
      </c>
      <c r="M360" s="7" t="s">
        <v>99</v>
      </c>
      <c r="N360" s="7" t="s">
        <v>1796</v>
      </c>
    </row>
    <row r="361" spans="1:14">
      <c r="A361" s="28">
        <v>343</v>
      </c>
      <c r="B361" s="28" t="s">
        <v>2136</v>
      </c>
      <c r="C361" s="7" t="s">
        <v>1146</v>
      </c>
      <c r="D361" s="7" t="s">
        <v>99</v>
      </c>
      <c r="E361" s="7" t="s">
        <v>99</v>
      </c>
      <c r="F361" s="8">
        <f>INDEX('Rubro por CUI'!$E$5:$E$454,MATCH("001|2717189",'Rubro por CUI'!$N$5:$N$454,0))</f>
        <v>0.0</v>
      </c>
      <c r="G361" s="8">
        <f>INDEX('Rubro por CUI'!$F$5:$F$454,MATCH("001|2717189",'Rubro por CUI'!$N$5:$N$454,0))</f>
        <v>0.0</v>
      </c>
      <c r="H361" s="8">
        <f>INDEX('Rubro por CUI'!$G$5:$G$454,MATCH("001|2717189",'Rubro por CUI'!$N$5:$N$454,0))</f>
        <v>346711.0</v>
      </c>
      <c r="I361" s="8">
        <f>INDEX('Rubro por CUI'!$H$5:$H$454,MATCH("001|2717189",'Rubro por CUI'!$N$5:$N$454,0))</f>
        <v>0.0</v>
      </c>
      <c r="J361" s="8">
        <f>INDEX('Rubro por CUI'!$I$5:$I$454,MATCH("001|2717189",'Rubro por CUI'!$N$5:$N$454,0))</f>
        <v>0.0</v>
      </c>
      <c r="K361" s="8">
        <f>L361-SUM(F361:J361)</f>
        <v>0.0</v>
      </c>
      <c r="L361" s="8">
        <f>SUMIFS(Base!$N$5:$N$504,Base!$A$5:$A$504,"001",Base!$F$5:$F$504,"2717189")</f>
        <v>346711.0</v>
      </c>
      <c r="M361" s="7" t="s">
        <v>99</v>
      </c>
      <c r="N361" s="7" t="s">
        <v>1796</v>
      </c>
    </row>
    <row r="362" spans="1:14">
      <c r="A362" s="28">
        <v>344</v>
      </c>
      <c r="B362" s="28" t="s">
        <v>2137</v>
      </c>
      <c r="C362" s="7" t="s">
        <v>1149</v>
      </c>
      <c r="D362" s="7" t="s">
        <v>99</v>
      </c>
      <c r="E362" s="7" t="s">
        <v>99</v>
      </c>
      <c r="F362" s="8">
        <f>INDEX('Rubro por CUI'!$E$5:$E$454,MATCH("001|2717151",'Rubro por CUI'!$N$5:$N$454,0))</f>
        <v>0.0</v>
      </c>
      <c r="G362" s="8">
        <f>INDEX('Rubro por CUI'!$F$5:$F$454,MATCH("001|2717151",'Rubro por CUI'!$N$5:$N$454,0))</f>
        <v>0.0</v>
      </c>
      <c r="H362" s="8">
        <f>INDEX('Rubro por CUI'!$G$5:$G$454,MATCH("001|2717151",'Rubro por CUI'!$N$5:$N$454,0))</f>
        <v>269980.0</v>
      </c>
      <c r="I362" s="8">
        <f>INDEX('Rubro por CUI'!$H$5:$H$454,MATCH("001|2717151",'Rubro por CUI'!$N$5:$N$454,0))</f>
        <v>0.0</v>
      </c>
      <c r="J362" s="8">
        <f>INDEX('Rubro por CUI'!$I$5:$I$454,MATCH("001|2717151",'Rubro por CUI'!$N$5:$N$454,0))</f>
        <v>0.0</v>
      </c>
      <c r="K362" s="8">
        <f>L362-SUM(F362:J362)</f>
        <v>0.0</v>
      </c>
      <c r="L362" s="8">
        <f>SUMIFS(Base!$N$5:$N$504,Base!$A$5:$A$504,"001",Base!$F$5:$F$504,"2717151")</f>
        <v>269980.0</v>
      </c>
      <c r="M362" s="7" t="s">
        <v>99</v>
      </c>
      <c r="N362" s="7" t="s">
        <v>1796</v>
      </c>
    </row>
    <row r="363" spans="1:14">
      <c r="A363" s="28">
        <v>345</v>
      </c>
      <c r="B363" s="28" t="s">
        <v>2138</v>
      </c>
      <c r="C363" s="7" t="s">
        <v>1152</v>
      </c>
      <c r="D363" s="7" t="s">
        <v>99</v>
      </c>
      <c r="E363" s="7" t="s">
        <v>99</v>
      </c>
      <c r="F363" s="8">
        <f>INDEX('Rubro por CUI'!$E$5:$E$454,MATCH("001|2676440",'Rubro por CUI'!$N$5:$N$454,0))</f>
        <v>0.0</v>
      </c>
      <c r="G363" s="8">
        <f>INDEX('Rubro por CUI'!$F$5:$F$454,MATCH("001|2676440",'Rubro por CUI'!$N$5:$N$454,0))</f>
        <v>0.0</v>
      </c>
      <c r="H363" s="8">
        <f>INDEX('Rubro por CUI'!$G$5:$G$454,MATCH("001|2676440",'Rubro por CUI'!$N$5:$N$454,0))</f>
        <v>209400.0</v>
      </c>
      <c r="I363" s="8">
        <f>INDEX('Rubro por CUI'!$H$5:$H$454,MATCH("001|2676440",'Rubro por CUI'!$N$5:$N$454,0))</f>
        <v>0.0</v>
      </c>
      <c r="J363" s="8">
        <f>INDEX('Rubro por CUI'!$I$5:$I$454,MATCH("001|2676440",'Rubro por CUI'!$N$5:$N$454,0))</f>
        <v>0.0</v>
      </c>
      <c r="K363" s="8">
        <f>L363-SUM(F363:J363)</f>
        <v>0.0</v>
      </c>
      <c r="L363" s="8">
        <f>SUMIFS(Base!$N$5:$N$504,Base!$A$5:$A$504,"001",Base!$F$5:$F$504,"2676440")</f>
        <v>209400.0</v>
      </c>
      <c r="M363" s="7" t="s">
        <v>99</v>
      </c>
      <c r="N363" s="7" t="s">
        <v>1796</v>
      </c>
    </row>
    <row r="364" spans="1:14">
      <c r="A364" s="28">
        <v>346</v>
      </c>
      <c r="B364" s="28" t="s">
        <v>2139</v>
      </c>
      <c r="C364" s="7" t="s">
        <v>1155</v>
      </c>
      <c r="D364" s="7" t="s">
        <v>99</v>
      </c>
      <c r="E364" s="7" t="s">
        <v>99</v>
      </c>
      <c r="F364" s="8">
        <f>INDEX('Rubro por CUI'!$E$5:$E$454,MATCH("001|2717156",'Rubro por CUI'!$N$5:$N$454,0))</f>
        <v>0.0</v>
      </c>
      <c r="G364" s="8">
        <f>INDEX('Rubro por CUI'!$F$5:$F$454,MATCH("001|2717156",'Rubro por CUI'!$N$5:$N$454,0))</f>
        <v>0.0</v>
      </c>
      <c r="H364" s="8">
        <f>INDEX('Rubro por CUI'!$G$5:$G$454,MATCH("001|2717156",'Rubro por CUI'!$N$5:$N$454,0))</f>
        <v>160000.0</v>
      </c>
      <c r="I364" s="8">
        <f>INDEX('Rubro por CUI'!$H$5:$H$454,MATCH("001|2717156",'Rubro por CUI'!$N$5:$N$454,0))</f>
        <v>0.0</v>
      </c>
      <c r="J364" s="8">
        <f>INDEX('Rubro por CUI'!$I$5:$I$454,MATCH("001|2717156",'Rubro por CUI'!$N$5:$N$454,0))</f>
        <v>0.0</v>
      </c>
      <c r="K364" s="8">
        <f>L364-SUM(F364:J364)</f>
        <v>0.0</v>
      </c>
      <c r="L364" s="8">
        <f>SUMIFS(Base!$N$5:$N$504,Base!$A$5:$A$504,"001",Base!$F$5:$F$504,"2717156")</f>
        <v>160000.0</v>
      </c>
      <c r="M364" s="7" t="s">
        <v>99</v>
      </c>
      <c r="N364" s="7" t="s">
        <v>1796</v>
      </c>
    </row>
    <row r="365" spans="1:14">
      <c r="A365" s="28">
        <v>347</v>
      </c>
      <c r="B365" s="28" t="s">
        <v>2140</v>
      </c>
      <c r="C365" s="7" t="s">
        <v>1158</v>
      </c>
      <c r="D365" s="7" t="s">
        <v>99</v>
      </c>
      <c r="E365" s="7" t="s">
        <v>99</v>
      </c>
      <c r="F365" s="8">
        <f>INDEX('Rubro por CUI'!$E$5:$E$454,MATCH("001|2717157",'Rubro por CUI'!$N$5:$N$454,0))</f>
        <v>0.0</v>
      </c>
      <c r="G365" s="8">
        <f>INDEX('Rubro por CUI'!$F$5:$F$454,MATCH("001|2717157",'Rubro por CUI'!$N$5:$N$454,0))</f>
        <v>0.0</v>
      </c>
      <c r="H365" s="8">
        <f>INDEX('Rubro por CUI'!$G$5:$G$454,MATCH("001|2717157",'Rubro por CUI'!$N$5:$N$454,0))</f>
        <v>160000.0</v>
      </c>
      <c r="I365" s="8">
        <f>INDEX('Rubro por CUI'!$H$5:$H$454,MATCH("001|2717157",'Rubro por CUI'!$N$5:$N$454,0))</f>
        <v>0.0</v>
      </c>
      <c r="J365" s="8">
        <f>INDEX('Rubro por CUI'!$I$5:$I$454,MATCH("001|2717157",'Rubro por CUI'!$N$5:$N$454,0))</f>
        <v>0.0</v>
      </c>
      <c r="K365" s="8">
        <f>L365-SUM(F365:J365)</f>
        <v>0.0</v>
      </c>
      <c r="L365" s="8">
        <f>SUMIFS(Base!$N$5:$N$504,Base!$A$5:$A$504,"001",Base!$F$5:$F$504,"2717157")</f>
        <v>160000.0</v>
      </c>
      <c r="M365" s="7" t="s">
        <v>99</v>
      </c>
      <c r="N365" s="7" t="s">
        <v>1796</v>
      </c>
    </row>
    <row r="366" spans="1:14">
      <c r="A366" s="28">
        <v>348</v>
      </c>
      <c r="B366" s="28" t="s">
        <v>2141</v>
      </c>
      <c r="C366" s="7" t="s">
        <v>1161</v>
      </c>
      <c r="D366" s="7" t="s">
        <v>99</v>
      </c>
      <c r="E366" s="7" t="s">
        <v>99</v>
      </c>
      <c r="F366" s="8">
        <f>INDEX('Rubro por CUI'!$E$5:$E$454,MATCH("001|2717161",'Rubro por CUI'!$N$5:$N$454,0))</f>
        <v>0.0</v>
      </c>
      <c r="G366" s="8">
        <f>INDEX('Rubro por CUI'!$F$5:$F$454,MATCH("001|2717161",'Rubro por CUI'!$N$5:$N$454,0))</f>
        <v>0.0</v>
      </c>
      <c r="H366" s="8">
        <f>INDEX('Rubro por CUI'!$G$5:$G$454,MATCH("001|2717161",'Rubro por CUI'!$N$5:$N$454,0))</f>
        <v>160000.0</v>
      </c>
      <c r="I366" s="8">
        <f>INDEX('Rubro por CUI'!$H$5:$H$454,MATCH("001|2717161",'Rubro por CUI'!$N$5:$N$454,0))</f>
        <v>0.0</v>
      </c>
      <c r="J366" s="8">
        <f>INDEX('Rubro por CUI'!$I$5:$I$454,MATCH("001|2717161",'Rubro por CUI'!$N$5:$N$454,0))</f>
        <v>0.0</v>
      </c>
      <c r="K366" s="8">
        <f>L366-SUM(F366:J366)</f>
        <v>0.0</v>
      </c>
      <c r="L366" s="8">
        <f>SUMIFS(Base!$N$5:$N$504,Base!$A$5:$A$504,"001",Base!$F$5:$F$504,"2717161")</f>
        <v>160000.0</v>
      </c>
      <c r="M366" s="7" t="s">
        <v>99</v>
      </c>
      <c r="N366" s="7" t="s">
        <v>1796</v>
      </c>
    </row>
    <row r="367" spans="1:14">
      <c r="A367" s="28">
        <v>349</v>
      </c>
      <c r="B367" s="28" t="s">
        <v>2142</v>
      </c>
      <c r="C367" s="7" t="s">
        <v>1164</v>
      </c>
      <c r="D367" s="7" t="s">
        <v>99</v>
      </c>
      <c r="E367" s="7" t="s">
        <v>99</v>
      </c>
      <c r="F367" s="8">
        <f>INDEX('Rubro por CUI'!$E$5:$E$454,MATCH("001|2717169",'Rubro por CUI'!$N$5:$N$454,0))</f>
        <v>0.0</v>
      </c>
      <c r="G367" s="8">
        <f>INDEX('Rubro por CUI'!$F$5:$F$454,MATCH("001|2717169",'Rubro por CUI'!$N$5:$N$454,0))</f>
        <v>0.0</v>
      </c>
      <c r="H367" s="8">
        <f>INDEX('Rubro por CUI'!$G$5:$G$454,MATCH("001|2717169",'Rubro por CUI'!$N$5:$N$454,0))</f>
        <v>160000.0</v>
      </c>
      <c r="I367" s="8">
        <f>INDEX('Rubro por CUI'!$H$5:$H$454,MATCH("001|2717169",'Rubro por CUI'!$N$5:$N$454,0))</f>
        <v>0.0</v>
      </c>
      <c r="J367" s="8">
        <f>INDEX('Rubro por CUI'!$I$5:$I$454,MATCH("001|2717169",'Rubro por CUI'!$N$5:$N$454,0))</f>
        <v>0.0</v>
      </c>
      <c r="K367" s="8">
        <f>L367-SUM(F367:J367)</f>
        <v>0.0</v>
      </c>
      <c r="L367" s="8">
        <f>SUMIFS(Base!$N$5:$N$504,Base!$A$5:$A$504,"001",Base!$F$5:$F$504,"2717169")</f>
        <v>160000.0</v>
      </c>
      <c r="M367" s="7" t="s">
        <v>99</v>
      </c>
      <c r="N367" s="7" t="s">
        <v>1796</v>
      </c>
    </row>
    <row r="368" spans="1:14">
      <c r="A368" s="28">
        <v>350</v>
      </c>
      <c r="B368" s="28" t="s">
        <v>2143</v>
      </c>
      <c r="C368" s="7" t="s">
        <v>1167</v>
      </c>
      <c r="D368" s="7" t="s">
        <v>99</v>
      </c>
      <c r="E368" s="7" t="s">
        <v>99</v>
      </c>
      <c r="F368" s="8">
        <f>INDEX('Rubro por CUI'!$E$5:$E$454,MATCH("001|2717172",'Rubro por CUI'!$N$5:$N$454,0))</f>
        <v>0.0</v>
      </c>
      <c r="G368" s="8">
        <f>INDEX('Rubro por CUI'!$F$5:$F$454,MATCH("001|2717172",'Rubro por CUI'!$N$5:$N$454,0))</f>
        <v>0.0</v>
      </c>
      <c r="H368" s="8">
        <f>INDEX('Rubro por CUI'!$G$5:$G$454,MATCH("001|2717172",'Rubro por CUI'!$N$5:$N$454,0))</f>
        <v>160000.0</v>
      </c>
      <c r="I368" s="8">
        <f>INDEX('Rubro por CUI'!$H$5:$H$454,MATCH("001|2717172",'Rubro por CUI'!$N$5:$N$454,0))</f>
        <v>0.0</v>
      </c>
      <c r="J368" s="8">
        <f>INDEX('Rubro por CUI'!$I$5:$I$454,MATCH("001|2717172",'Rubro por CUI'!$N$5:$N$454,0))</f>
        <v>0.0</v>
      </c>
      <c r="K368" s="8">
        <f>L368-SUM(F368:J368)</f>
        <v>0.0</v>
      </c>
      <c r="L368" s="8">
        <f>SUMIFS(Base!$N$5:$N$504,Base!$A$5:$A$504,"001",Base!$F$5:$F$504,"2717172")</f>
        <v>160000.0</v>
      </c>
      <c r="M368" s="7" t="s">
        <v>99</v>
      </c>
      <c r="N368" s="7" t="s">
        <v>1796</v>
      </c>
    </row>
    <row r="369" spans="1:14">
      <c r="A369" s="28">
        <v>351</v>
      </c>
      <c r="B369" s="28" t="s">
        <v>2144</v>
      </c>
      <c r="C369" s="7" t="s">
        <v>1170</v>
      </c>
      <c r="D369" s="7" t="s">
        <v>99</v>
      </c>
      <c r="E369" s="7" t="s">
        <v>99</v>
      </c>
      <c r="F369" s="8">
        <f>INDEX('Rubro por CUI'!$E$5:$E$454,MATCH("001|2717177",'Rubro por CUI'!$N$5:$N$454,0))</f>
        <v>0.0</v>
      </c>
      <c r="G369" s="8">
        <f>INDEX('Rubro por CUI'!$F$5:$F$454,MATCH("001|2717177",'Rubro por CUI'!$N$5:$N$454,0))</f>
        <v>0.0</v>
      </c>
      <c r="H369" s="8">
        <f>INDEX('Rubro por CUI'!$G$5:$G$454,MATCH("001|2717177",'Rubro por CUI'!$N$5:$N$454,0))</f>
        <v>160000.0</v>
      </c>
      <c r="I369" s="8">
        <f>INDEX('Rubro por CUI'!$H$5:$H$454,MATCH("001|2717177",'Rubro por CUI'!$N$5:$N$454,0))</f>
        <v>0.0</v>
      </c>
      <c r="J369" s="8">
        <f>INDEX('Rubro por CUI'!$I$5:$I$454,MATCH("001|2717177",'Rubro por CUI'!$N$5:$N$454,0))</f>
        <v>0.0</v>
      </c>
      <c r="K369" s="8">
        <f>L369-SUM(F369:J369)</f>
        <v>0.0</v>
      </c>
      <c r="L369" s="8">
        <f>SUMIFS(Base!$N$5:$N$504,Base!$A$5:$A$504,"001",Base!$F$5:$F$504,"2717177")</f>
        <v>160000.0</v>
      </c>
      <c r="M369" s="7" t="s">
        <v>99</v>
      </c>
      <c r="N369" s="7" t="s">
        <v>1796</v>
      </c>
    </row>
    <row r="370" spans="1:14">
      <c r="A370" s="28">
        <v>352</v>
      </c>
      <c r="B370" s="28" t="s">
        <v>2145</v>
      </c>
      <c r="C370" s="7" t="s">
        <v>1173</v>
      </c>
      <c r="D370" s="7" t="s">
        <v>99</v>
      </c>
      <c r="E370" s="7" t="s">
        <v>99</v>
      </c>
      <c r="F370" s="8">
        <f>INDEX('Rubro por CUI'!$E$5:$E$454,MATCH("001|2717188",'Rubro por CUI'!$N$5:$N$454,0))</f>
        <v>0.0</v>
      </c>
      <c r="G370" s="8">
        <f>INDEX('Rubro por CUI'!$F$5:$F$454,MATCH("001|2717188",'Rubro por CUI'!$N$5:$N$454,0))</f>
        <v>0.0</v>
      </c>
      <c r="H370" s="8">
        <f>INDEX('Rubro por CUI'!$G$5:$G$454,MATCH("001|2717188",'Rubro por CUI'!$N$5:$N$454,0))</f>
        <v>160000.0</v>
      </c>
      <c r="I370" s="8">
        <f>INDEX('Rubro por CUI'!$H$5:$H$454,MATCH("001|2717188",'Rubro por CUI'!$N$5:$N$454,0))</f>
        <v>0.0</v>
      </c>
      <c r="J370" s="8">
        <f>INDEX('Rubro por CUI'!$I$5:$I$454,MATCH("001|2717188",'Rubro por CUI'!$N$5:$N$454,0))</f>
        <v>0.0</v>
      </c>
      <c r="K370" s="8">
        <f>L370-SUM(F370:J370)</f>
        <v>0.0</v>
      </c>
      <c r="L370" s="8">
        <f>SUMIFS(Base!$N$5:$N$504,Base!$A$5:$A$504,"001",Base!$F$5:$F$504,"2717188")</f>
        <v>160000.0</v>
      </c>
      <c r="M370" s="7" t="s">
        <v>99</v>
      </c>
      <c r="N370" s="7" t="s">
        <v>1796</v>
      </c>
    </row>
    <row r="371" spans="1:14">
      <c r="A371" s="28">
        <v>353</v>
      </c>
      <c r="B371" s="28" t="s">
        <v>2146</v>
      </c>
      <c r="C371" s="7" t="s">
        <v>1176</v>
      </c>
      <c r="D371" s="7" t="s">
        <v>99</v>
      </c>
      <c r="E371" s="7" t="s">
        <v>99</v>
      </c>
      <c r="F371" s="8">
        <f>INDEX('Rubro por CUI'!$E$5:$E$454,MATCH("001|2717192",'Rubro por CUI'!$N$5:$N$454,0))</f>
        <v>0.0</v>
      </c>
      <c r="G371" s="8">
        <f>INDEX('Rubro por CUI'!$F$5:$F$454,MATCH("001|2717192",'Rubro por CUI'!$N$5:$N$454,0))</f>
        <v>0.0</v>
      </c>
      <c r="H371" s="8">
        <f>INDEX('Rubro por CUI'!$G$5:$G$454,MATCH("001|2717192",'Rubro por CUI'!$N$5:$N$454,0))</f>
        <v>160000.0</v>
      </c>
      <c r="I371" s="8">
        <f>INDEX('Rubro por CUI'!$H$5:$H$454,MATCH("001|2717192",'Rubro por CUI'!$N$5:$N$454,0))</f>
        <v>0.0</v>
      </c>
      <c r="J371" s="8">
        <f>INDEX('Rubro por CUI'!$I$5:$I$454,MATCH("001|2717192",'Rubro por CUI'!$N$5:$N$454,0))</f>
        <v>0.0</v>
      </c>
      <c r="K371" s="8">
        <f>L371-SUM(F371:J371)</f>
        <v>0.0</v>
      </c>
      <c r="L371" s="8">
        <f>SUMIFS(Base!$N$5:$N$504,Base!$A$5:$A$504,"001",Base!$F$5:$F$504,"2717192")</f>
        <v>160000.0</v>
      </c>
      <c r="M371" s="7" t="s">
        <v>99</v>
      </c>
      <c r="N371" s="7" t="s">
        <v>1796</v>
      </c>
    </row>
    <row r="372" spans="1:14">
      <c r="A372" s="28">
        <v>354</v>
      </c>
      <c r="B372" s="28" t="s">
        <v>2147</v>
      </c>
      <c r="C372" s="7" t="s">
        <v>1179</v>
      </c>
      <c r="D372" s="7" t="s">
        <v>99</v>
      </c>
      <c r="E372" s="7" t="s">
        <v>99</v>
      </c>
      <c r="F372" s="8">
        <f>INDEX('Rubro por CUI'!$E$5:$E$454,MATCH("001|2717194",'Rubro por CUI'!$N$5:$N$454,0))</f>
        <v>0.0</v>
      </c>
      <c r="G372" s="8">
        <f>INDEX('Rubro por CUI'!$F$5:$F$454,MATCH("001|2717194",'Rubro por CUI'!$N$5:$N$454,0))</f>
        <v>0.0</v>
      </c>
      <c r="H372" s="8">
        <f>INDEX('Rubro por CUI'!$G$5:$G$454,MATCH("001|2717194",'Rubro por CUI'!$N$5:$N$454,0))</f>
        <v>160000.0</v>
      </c>
      <c r="I372" s="8">
        <f>INDEX('Rubro por CUI'!$H$5:$H$454,MATCH("001|2717194",'Rubro por CUI'!$N$5:$N$454,0))</f>
        <v>0.0</v>
      </c>
      <c r="J372" s="8">
        <f>INDEX('Rubro por CUI'!$I$5:$I$454,MATCH("001|2717194",'Rubro por CUI'!$N$5:$N$454,0))</f>
        <v>0.0</v>
      </c>
      <c r="K372" s="8">
        <f>L372-SUM(F372:J372)</f>
        <v>0.0</v>
      </c>
      <c r="L372" s="8">
        <f>SUMIFS(Base!$N$5:$N$504,Base!$A$5:$A$504,"001",Base!$F$5:$F$504,"2717194")</f>
        <v>160000.0</v>
      </c>
      <c r="M372" s="7" t="s">
        <v>99</v>
      </c>
      <c r="N372" s="7" t="s">
        <v>1796</v>
      </c>
    </row>
    <row r="373" spans="1:14">
      <c r="A373" s="28">
        <v>355</v>
      </c>
      <c r="B373" s="28" t="s">
        <v>2148</v>
      </c>
      <c r="C373" s="7" t="s">
        <v>1314</v>
      </c>
      <c r="D373" s="7" t="s">
        <v>99</v>
      </c>
      <c r="E373" s="7" t="s">
        <v>99</v>
      </c>
      <c r="F373" s="8">
        <f>INDEX('Rubro por CUI'!$E$5:$E$454,MATCH("001|2717181",'Rubro por CUI'!$N$5:$N$454,0))</f>
        <v>0.0</v>
      </c>
      <c r="G373" s="8">
        <f>INDEX('Rubro por CUI'!$F$5:$F$454,MATCH("001|2717181",'Rubro por CUI'!$N$5:$N$454,0))</f>
        <v>0.0</v>
      </c>
      <c r="H373" s="8">
        <f>INDEX('Rubro por CUI'!$G$5:$G$454,MATCH("001|2717181",'Rubro por CUI'!$N$5:$N$454,0))</f>
        <v>159978.0</v>
      </c>
      <c r="I373" s="8">
        <f>INDEX('Rubro por CUI'!$H$5:$H$454,MATCH("001|2717181",'Rubro por CUI'!$N$5:$N$454,0))</f>
        <v>0.0</v>
      </c>
      <c r="J373" s="8">
        <f>INDEX('Rubro por CUI'!$I$5:$I$454,MATCH("001|2717181",'Rubro por CUI'!$N$5:$N$454,0))</f>
        <v>0.0</v>
      </c>
      <c r="K373" s="8">
        <f>L373-SUM(F373:J373)</f>
        <v>0.0</v>
      </c>
      <c r="L373" s="8">
        <f>SUMIFS(Base!$N$5:$N$504,Base!$A$5:$A$504,"001",Base!$F$5:$F$504,"2717181")</f>
        <v>159978.0</v>
      </c>
      <c r="M373" s="7" t="s">
        <v>99</v>
      </c>
      <c r="N373" s="7" t="s">
        <v>1796</v>
      </c>
    </row>
    <row r="374" spans="1:14">
      <c r="A374" s="28">
        <v>356</v>
      </c>
      <c r="B374" s="28" t="s">
        <v>2149</v>
      </c>
      <c r="C374" s="7" t="s">
        <v>1266</v>
      </c>
      <c r="D374" s="7" t="s">
        <v>99</v>
      </c>
      <c r="E374" s="7" t="s">
        <v>99</v>
      </c>
      <c r="F374" s="8">
        <f>INDEX('Rubro por CUI'!$E$5:$E$454,MATCH("001|2717160",'Rubro por CUI'!$N$5:$N$454,0))</f>
        <v>0.0</v>
      </c>
      <c r="G374" s="8">
        <f>INDEX('Rubro por CUI'!$F$5:$F$454,MATCH("001|2717160",'Rubro por CUI'!$N$5:$N$454,0))</f>
        <v>0.0</v>
      </c>
      <c r="H374" s="8">
        <f>INDEX('Rubro por CUI'!$G$5:$G$454,MATCH("001|2717160",'Rubro por CUI'!$N$5:$N$454,0))</f>
        <v>159890.0</v>
      </c>
      <c r="I374" s="8">
        <f>INDEX('Rubro por CUI'!$H$5:$H$454,MATCH("001|2717160",'Rubro por CUI'!$N$5:$N$454,0))</f>
        <v>0.0</v>
      </c>
      <c r="J374" s="8">
        <f>INDEX('Rubro por CUI'!$I$5:$I$454,MATCH("001|2717160",'Rubro por CUI'!$N$5:$N$454,0))</f>
        <v>0.0</v>
      </c>
      <c r="K374" s="8">
        <f>L374-SUM(F374:J374)</f>
        <v>0.0</v>
      </c>
      <c r="L374" s="8">
        <f>SUMIFS(Base!$N$5:$N$504,Base!$A$5:$A$504,"001",Base!$F$5:$F$504,"2717160")</f>
        <v>159890.0</v>
      </c>
      <c r="M374" s="7" t="s">
        <v>99</v>
      </c>
      <c r="N374" s="7" t="s">
        <v>1796</v>
      </c>
    </row>
    <row r="375" spans="1:14">
      <c r="A375" s="28">
        <v>357</v>
      </c>
      <c r="B375" s="28" t="s">
        <v>2150</v>
      </c>
      <c r="C375" s="7" t="s">
        <v>1311</v>
      </c>
      <c r="D375" s="7" t="s">
        <v>99</v>
      </c>
      <c r="E375" s="7" t="s">
        <v>99</v>
      </c>
      <c r="F375" s="8">
        <f>INDEX('Rubro por CUI'!$E$5:$E$454,MATCH("001|2717191",'Rubro por CUI'!$N$5:$N$454,0))</f>
        <v>0.0</v>
      </c>
      <c r="G375" s="8">
        <f>INDEX('Rubro por CUI'!$F$5:$F$454,MATCH("001|2717191",'Rubro por CUI'!$N$5:$N$454,0))</f>
        <v>0.0</v>
      </c>
      <c r="H375" s="8">
        <f>INDEX('Rubro por CUI'!$G$5:$G$454,MATCH("001|2717191",'Rubro por CUI'!$N$5:$N$454,0))</f>
        <v>159880.0</v>
      </c>
      <c r="I375" s="8">
        <f>INDEX('Rubro por CUI'!$H$5:$H$454,MATCH("001|2717191",'Rubro por CUI'!$N$5:$N$454,0))</f>
        <v>0.0</v>
      </c>
      <c r="J375" s="8">
        <f>INDEX('Rubro por CUI'!$I$5:$I$454,MATCH("001|2717191",'Rubro por CUI'!$N$5:$N$454,0))</f>
        <v>0.0</v>
      </c>
      <c r="K375" s="8">
        <f>L375-SUM(F375:J375)</f>
        <v>0.0</v>
      </c>
      <c r="L375" s="8">
        <f>SUMIFS(Base!$N$5:$N$504,Base!$A$5:$A$504,"001",Base!$F$5:$F$504,"2717191")</f>
        <v>159880.0</v>
      </c>
      <c r="M375" s="7" t="s">
        <v>99</v>
      </c>
      <c r="N375" s="7" t="s">
        <v>1796</v>
      </c>
    </row>
    <row r="376" spans="1:14">
      <c r="A376" s="28">
        <v>358</v>
      </c>
      <c r="B376" s="28" t="s">
        <v>2151</v>
      </c>
      <c r="C376" s="7" t="s">
        <v>1293</v>
      </c>
      <c r="D376" s="7" t="s">
        <v>99</v>
      </c>
      <c r="E376" s="7" t="s">
        <v>99</v>
      </c>
      <c r="F376" s="8">
        <f>INDEX('Rubro por CUI'!$E$5:$E$454,MATCH("001|2717176",'Rubro por CUI'!$N$5:$N$454,0))</f>
        <v>0.0</v>
      </c>
      <c r="G376" s="8">
        <f>INDEX('Rubro por CUI'!$F$5:$F$454,MATCH("001|2717176",'Rubro por CUI'!$N$5:$N$454,0))</f>
        <v>0.0</v>
      </c>
      <c r="H376" s="8">
        <f>INDEX('Rubro por CUI'!$G$5:$G$454,MATCH("001|2717176",'Rubro por CUI'!$N$5:$N$454,0))</f>
        <v>159876.0</v>
      </c>
      <c r="I376" s="8">
        <f>INDEX('Rubro por CUI'!$H$5:$H$454,MATCH("001|2717176",'Rubro por CUI'!$N$5:$N$454,0))</f>
        <v>0.0</v>
      </c>
      <c r="J376" s="8">
        <f>INDEX('Rubro por CUI'!$I$5:$I$454,MATCH("001|2717176",'Rubro por CUI'!$N$5:$N$454,0))</f>
        <v>0.0</v>
      </c>
      <c r="K376" s="8">
        <f>L376-SUM(F376:J376)</f>
        <v>0.0</v>
      </c>
      <c r="L376" s="8">
        <f>SUMIFS(Base!$N$5:$N$504,Base!$A$5:$A$504,"001",Base!$F$5:$F$504,"2717176")</f>
        <v>159876.0</v>
      </c>
      <c r="M376" s="7" t="s">
        <v>99</v>
      </c>
      <c r="N376" s="7" t="s">
        <v>1796</v>
      </c>
    </row>
    <row r="377" spans="1:14">
      <c r="A377" s="28">
        <v>359</v>
      </c>
      <c r="B377" s="28" t="s">
        <v>2152</v>
      </c>
      <c r="C377" s="7" t="s">
        <v>1281</v>
      </c>
      <c r="D377" s="7" t="s">
        <v>99</v>
      </c>
      <c r="E377" s="7" t="s">
        <v>99</v>
      </c>
      <c r="F377" s="8">
        <f>INDEX('Rubro por CUI'!$E$5:$E$454,MATCH("001|2717168",'Rubro por CUI'!$N$5:$N$454,0))</f>
        <v>0.0</v>
      </c>
      <c r="G377" s="8">
        <f>INDEX('Rubro por CUI'!$F$5:$F$454,MATCH("001|2717168",'Rubro por CUI'!$N$5:$N$454,0))</f>
        <v>0.0</v>
      </c>
      <c r="H377" s="8">
        <f>INDEX('Rubro por CUI'!$G$5:$G$454,MATCH("001|2717168",'Rubro por CUI'!$N$5:$N$454,0))</f>
        <v>159862.0</v>
      </c>
      <c r="I377" s="8">
        <f>INDEX('Rubro por CUI'!$H$5:$H$454,MATCH("001|2717168",'Rubro por CUI'!$N$5:$N$454,0))</f>
        <v>0.0</v>
      </c>
      <c r="J377" s="8">
        <f>INDEX('Rubro por CUI'!$I$5:$I$454,MATCH("001|2717168",'Rubro por CUI'!$N$5:$N$454,0))</f>
        <v>0.0</v>
      </c>
      <c r="K377" s="8">
        <f>L377-SUM(F377:J377)</f>
        <v>0.0</v>
      </c>
      <c r="L377" s="8">
        <f>SUMIFS(Base!$N$5:$N$504,Base!$A$5:$A$504,"001",Base!$F$5:$F$504,"2717168")</f>
        <v>159862.0</v>
      </c>
      <c r="M377" s="7" t="s">
        <v>99</v>
      </c>
      <c r="N377" s="7" t="s">
        <v>1796</v>
      </c>
    </row>
    <row r="378" spans="1:14">
      <c r="A378" s="28">
        <v>360</v>
      </c>
      <c r="B378" s="28" t="s">
        <v>2153</v>
      </c>
      <c r="C378" s="7" t="s">
        <v>1308</v>
      </c>
      <c r="D378" s="7" t="s">
        <v>99</v>
      </c>
      <c r="E378" s="7" t="s">
        <v>99</v>
      </c>
      <c r="F378" s="8">
        <f>INDEX('Rubro por CUI'!$E$5:$E$454,MATCH("001|2717190",'Rubro por CUI'!$N$5:$N$454,0))</f>
        <v>0.0</v>
      </c>
      <c r="G378" s="8">
        <f>INDEX('Rubro por CUI'!$F$5:$F$454,MATCH("001|2717190",'Rubro por CUI'!$N$5:$N$454,0))</f>
        <v>0.0</v>
      </c>
      <c r="H378" s="8">
        <f>INDEX('Rubro por CUI'!$G$5:$G$454,MATCH("001|2717190",'Rubro por CUI'!$N$5:$N$454,0))</f>
        <v>159830.0</v>
      </c>
      <c r="I378" s="8">
        <f>INDEX('Rubro por CUI'!$H$5:$H$454,MATCH("001|2717190",'Rubro por CUI'!$N$5:$N$454,0))</f>
        <v>0.0</v>
      </c>
      <c r="J378" s="8">
        <f>INDEX('Rubro por CUI'!$I$5:$I$454,MATCH("001|2717190",'Rubro por CUI'!$N$5:$N$454,0))</f>
        <v>0.0</v>
      </c>
      <c r="K378" s="8">
        <f>L378-SUM(F378:J378)</f>
        <v>0.0</v>
      </c>
      <c r="L378" s="8">
        <f>SUMIFS(Base!$N$5:$N$504,Base!$A$5:$A$504,"001",Base!$F$5:$F$504,"2717190")</f>
        <v>159830.0</v>
      </c>
      <c r="M378" s="7" t="s">
        <v>99</v>
      </c>
      <c r="N378" s="7" t="s">
        <v>1796</v>
      </c>
    </row>
    <row r="379" spans="1:14">
      <c r="A379" s="28">
        <v>361</v>
      </c>
      <c r="B379" s="28" t="s">
        <v>2154</v>
      </c>
      <c r="C379" s="7" t="s">
        <v>1287</v>
      </c>
      <c r="D379" s="7" t="s">
        <v>99</v>
      </c>
      <c r="E379" s="7" t="s">
        <v>99</v>
      </c>
      <c r="F379" s="8">
        <f>INDEX('Rubro por CUI'!$E$5:$E$454,MATCH("001|2717171",'Rubro por CUI'!$N$5:$N$454,0))</f>
        <v>0.0</v>
      </c>
      <c r="G379" s="8">
        <f>INDEX('Rubro por CUI'!$F$5:$F$454,MATCH("001|2717171",'Rubro por CUI'!$N$5:$N$454,0))</f>
        <v>0.0</v>
      </c>
      <c r="H379" s="8">
        <f>INDEX('Rubro por CUI'!$G$5:$G$454,MATCH("001|2717171",'Rubro por CUI'!$N$5:$N$454,0))</f>
        <v>159720.0</v>
      </c>
      <c r="I379" s="8">
        <f>INDEX('Rubro por CUI'!$H$5:$H$454,MATCH("001|2717171",'Rubro por CUI'!$N$5:$N$454,0))</f>
        <v>0.0</v>
      </c>
      <c r="J379" s="8">
        <f>INDEX('Rubro por CUI'!$I$5:$I$454,MATCH("001|2717171",'Rubro por CUI'!$N$5:$N$454,0))</f>
        <v>0.0</v>
      </c>
      <c r="K379" s="8">
        <f>L379-SUM(F379:J379)</f>
        <v>0.0</v>
      </c>
      <c r="L379" s="8">
        <f>SUMIFS(Base!$N$5:$N$504,Base!$A$5:$A$504,"001",Base!$F$5:$F$504,"2717171")</f>
        <v>159720.0</v>
      </c>
      <c r="M379" s="7" t="s">
        <v>99</v>
      </c>
      <c r="N379" s="7" t="s">
        <v>1796</v>
      </c>
    </row>
    <row r="380" spans="1:14">
      <c r="A380" s="28">
        <v>362</v>
      </c>
      <c r="B380" s="28" t="s">
        <v>2155</v>
      </c>
      <c r="C380" s="7" t="s">
        <v>1254</v>
      </c>
      <c r="D380" s="7" t="s">
        <v>99</v>
      </c>
      <c r="E380" s="7" t="s">
        <v>99</v>
      </c>
      <c r="F380" s="8">
        <f>INDEX('Rubro por CUI'!$E$5:$E$454,MATCH("001|2717153",'Rubro por CUI'!$N$5:$N$454,0))</f>
        <v>0.0</v>
      </c>
      <c r="G380" s="8">
        <f>INDEX('Rubro por CUI'!$F$5:$F$454,MATCH("001|2717153",'Rubro por CUI'!$N$5:$N$454,0))</f>
        <v>0.0</v>
      </c>
      <c r="H380" s="8">
        <f>INDEX('Rubro por CUI'!$G$5:$G$454,MATCH("001|2717153",'Rubro por CUI'!$N$5:$N$454,0))</f>
        <v>159613.0</v>
      </c>
      <c r="I380" s="8">
        <f>INDEX('Rubro por CUI'!$H$5:$H$454,MATCH("001|2717153",'Rubro por CUI'!$N$5:$N$454,0))</f>
        <v>0.0</v>
      </c>
      <c r="J380" s="8">
        <f>INDEX('Rubro por CUI'!$I$5:$I$454,MATCH("001|2717153",'Rubro por CUI'!$N$5:$N$454,0))</f>
        <v>0.0</v>
      </c>
      <c r="K380" s="8">
        <f>L380-SUM(F380:J380)</f>
        <v>0.0</v>
      </c>
      <c r="L380" s="8">
        <f>SUMIFS(Base!$N$5:$N$504,Base!$A$5:$A$504,"001",Base!$F$5:$F$504,"2717153")</f>
        <v>159613.0</v>
      </c>
      <c r="M380" s="7" t="s">
        <v>99</v>
      </c>
      <c r="N380" s="7" t="s">
        <v>1796</v>
      </c>
    </row>
    <row r="381" spans="1:14">
      <c r="A381" s="28">
        <v>363</v>
      </c>
      <c r="B381" s="28" t="s">
        <v>2156</v>
      </c>
      <c r="C381" s="7" t="s">
        <v>1305</v>
      </c>
      <c r="D381" s="7" t="s">
        <v>99</v>
      </c>
      <c r="E381" s="7" t="s">
        <v>99</v>
      </c>
      <c r="F381" s="8">
        <f>INDEX('Rubro por CUI'!$E$5:$E$454,MATCH("001|2717187",'Rubro por CUI'!$N$5:$N$454,0))</f>
        <v>0.0</v>
      </c>
      <c r="G381" s="8">
        <f>INDEX('Rubro por CUI'!$F$5:$F$454,MATCH("001|2717187",'Rubro por CUI'!$N$5:$N$454,0))</f>
        <v>0.0</v>
      </c>
      <c r="H381" s="8">
        <f>INDEX('Rubro por CUI'!$G$5:$G$454,MATCH("001|2717187",'Rubro por CUI'!$N$5:$N$454,0))</f>
        <v>159584.0</v>
      </c>
      <c r="I381" s="8">
        <f>INDEX('Rubro por CUI'!$H$5:$H$454,MATCH("001|2717187",'Rubro por CUI'!$N$5:$N$454,0))</f>
        <v>0.0</v>
      </c>
      <c r="J381" s="8">
        <f>INDEX('Rubro por CUI'!$I$5:$I$454,MATCH("001|2717187",'Rubro por CUI'!$N$5:$N$454,0))</f>
        <v>0.0</v>
      </c>
      <c r="K381" s="8">
        <f>L381-SUM(F381:J381)</f>
        <v>0.0</v>
      </c>
      <c r="L381" s="8">
        <f>SUMIFS(Base!$N$5:$N$504,Base!$A$5:$A$504,"001",Base!$F$5:$F$504,"2717187")</f>
        <v>159584.0</v>
      </c>
      <c r="M381" s="7" t="s">
        <v>99</v>
      </c>
      <c r="N381" s="7" t="s">
        <v>1796</v>
      </c>
    </row>
    <row r="382" spans="1:14">
      <c r="A382" s="28">
        <v>364</v>
      </c>
      <c r="B382" s="28" t="s">
        <v>2157</v>
      </c>
      <c r="C382" s="7" t="s">
        <v>1257</v>
      </c>
      <c r="D382" s="7" t="s">
        <v>99</v>
      </c>
      <c r="E382" s="7" t="s">
        <v>99</v>
      </c>
      <c r="F382" s="8">
        <f>INDEX('Rubro por CUI'!$E$5:$E$454,MATCH("001|2717154",'Rubro por CUI'!$N$5:$N$454,0))</f>
        <v>0.0</v>
      </c>
      <c r="G382" s="8">
        <f>INDEX('Rubro por CUI'!$F$5:$F$454,MATCH("001|2717154",'Rubro por CUI'!$N$5:$N$454,0))</f>
        <v>0.0</v>
      </c>
      <c r="H382" s="8">
        <f>INDEX('Rubro por CUI'!$G$5:$G$454,MATCH("001|2717154",'Rubro por CUI'!$N$5:$N$454,0))</f>
        <v>159555.0</v>
      </c>
      <c r="I382" s="8">
        <f>INDEX('Rubro por CUI'!$H$5:$H$454,MATCH("001|2717154",'Rubro por CUI'!$N$5:$N$454,0))</f>
        <v>0.0</v>
      </c>
      <c r="J382" s="8">
        <f>INDEX('Rubro por CUI'!$I$5:$I$454,MATCH("001|2717154",'Rubro por CUI'!$N$5:$N$454,0))</f>
        <v>0.0</v>
      </c>
      <c r="K382" s="8">
        <f>L382-SUM(F382:J382)</f>
        <v>0.0</v>
      </c>
      <c r="L382" s="8">
        <f>SUMIFS(Base!$N$5:$N$504,Base!$A$5:$A$504,"001",Base!$F$5:$F$504,"2717154")</f>
        <v>159555.0</v>
      </c>
      <c r="M382" s="7" t="s">
        <v>99</v>
      </c>
      <c r="N382" s="7" t="s">
        <v>1796</v>
      </c>
    </row>
    <row r="383" spans="1:14">
      <c r="A383" s="28">
        <v>365</v>
      </c>
      <c r="B383" s="28" t="s">
        <v>2158</v>
      </c>
      <c r="C383" s="7" t="s">
        <v>1245</v>
      </c>
      <c r="D383" s="7" t="s">
        <v>99</v>
      </c>
      <c r="E383" s="7" t="s">
        <v>99</v>
      </c>
      <c r="F383" s="8">
        <f>INDEX('Rubro por CUI'!$E$5:$E$454,MATCH("001|2717148",'Rubro por CUI'!$N$5:$N$454,0))</f>
        <v>0.0</v>
      </c>
      <c r="G383" s="8">
        <f>INDEX('Rubro por CUI'!$F$5:$F$454,MATCH("001|2717148",'Rubro por CUI'!$N$5:$N$454,0))</f>
        <v>0.0</v>
      </c>
      <c r="H383" s="8">
        <f>INDEX('Rubro por CUI'!$G$5:$G$454,MATCH("001|2717148",'Rubro por CUI'!$N$5:$N$454,0))</f>
        <v>159547.0</v>
      </c>
      <c r="I383" s="8">
        <f>INDEX('Rubro por CUI'!$H$5:$H$454,MATCH("001|2717148",'Rubro por CUI'!$N$5:$N$454,0))</f>
        <v>0.0</v>
      </c>
      <c r="J383" s="8">
        <f>INDEX('Rubro por CUI'!$I$5:$I$454,MATCH("001|2717148",'Rubro por CUI'!$N$5:$N$454,0))</f>
        <v>0.0</v>
      </c>
      <c r="K383" s="8">
        <f>L383-SUM(F383:J383)</f>
        <v>0.0</v>
      </c>
      <c r="L383" s="8">
        <f>SUMIFS(Base!$N$5:$N$504,Base!$A$5:$A$504,"001",Base!$F$5:$F$504,"2717148")</f>
        <v>159547.0</v>
      </c>
      <c r="M383" s="7" t="s">
        <v>99</v>
      </c>
      <c r="N383" s="7" t="s">
        <v>1796</v>
      </c>
    </row>
    <row r="384" spans="1:14">
      <c r="A384" s="28">
        <v>366</v>
      </c>
      <c r="B384" s="28" t="s">
        <v>2159</v>
      </c>
      <c r="C384" s="7" t="s">
        <v>1251</v>
      </c>
      <c r="D384" s="7" t="s">
        <v>99</v>
      </c>
      <c r="E384" s="7" t="s">
        <v>99</v>
      </c>
      <c r="F384" s="8">
        <f>INDEX('Rubro por CUI'!$E$5:$E$454,MATCH("001|2717152",'Rubro por CUI'!$N$5:$N$454,0))</f>
        <v>0.0</v>
      </c>
      <c r="G384" s="8">
        <f>INDEX('Rubro por CUI'!$F$5:$F$454,MATCH("001|2717152",'Rubro por CUI'!$N$5:$N$454,0))</f>
        <v>0.0</v>
      </c>
      <c r="H384" s="8">
        <f>INDEX('Rubro por CUI'!$G$5:$G$454,MATCH("001|2717152",'Rubro por CUI'!$N$5:$N$454,0))</f>
        <v>159352.0</v>
      </c>
      <c r="I384" s="8">
        <f>INDEX('Rubro por CUI'!$H$5:$H$454,MATCH("001|2717152",'Rubro por CUI'!$N$5:$N$454,0))</f>
        <v>0.0</v>
      </c>
      <c r="J384" s="8">
        <f>INDEX('Rubro por CUI'!$I$5:$I$454,MATCH("001|2717152",'Rubro por CUI'!$N$5:$N$454,0))</f>
        <v>0.0</v>
      </c>
      <c r="K384" s="8">
        <f>L384-SUM(F384:J384)</f>
        <v>0.0</v>
      </c>
      <c r="L384" s="8">
        <f>SUMIFS(Base!$N$5:$N$504,Base!$A$5:$A$504,"001",Base!$F$5:$F$504,"2717152")</f>
        <v>159352.0</v>
      </c>
      <c r="M384" s="7" t="s">
        <v>99</v>
      </c>
      <c r="N384" s="7" t="s">
        <v>1796</v>
      </c>
    </row>
    <row r="385" spans="1:14">
      <c r="A385" s="28">
        <v>367</v>
      </c>
      <c r="B385" s="28" t="s">
        <v>2160</v>
      </c>
      <c r="C385" s="7" t="s">
        <v>1269</v>
      </c>
      <c r="D385" s="7" t="s">
        <v>99</v>
      </c>
      <c r="E385" s="7" t="s">
        <v>99</v>
      </c>
      <c r="F385" s="8">
        <f>INDEX('Rubro por CUI'!$E$5:$E$454,MATCH("001|2717162",'Rubro por CUI'!$N$5:$N$454,0))</f>
        <v>0.0</v>
      </c>
      <c r="G385" s="8">
        <f>INDEX('Rubro por CUI'!$F$5:$F$454,MATCH("001|2717162",'Rubro por CUI'!$N$5:$N$454,0))</f>
        <v>0.0</v>
      </c>
      <c r="H385" s="8">
        <f>INDEX('Rubro por CUI'!$G$5:$G$454,MATCH("001|2717162",'Rubro por CUI'!$N$5:$N$454,0))</f>
        <v>159321.0</v>
      </c>
      <c r="I385" s="8">
        <f>INDEX('Rubro por CUI'!$H$5:$H$454,MATCH("001|2717162",'Rubro por CUI'!$N$5:$N$454,0))</f>
        <v>0.0</v>
      </c>
      <c r="J385" s="8">
        <f>INDEX('Rubro por CUI'!$I$5:$I$454,MATCH("001|2717162",'Rubro por CUI'!$N$5:$N$454,0))</f>
        <v>0.0</v>
      </c>
      <c r="K385" s="8">
        <f>L385-SUM(F385:J385)</f>
        <v>0.0</v>
      </c>
      <c r="L385" s="8">
        <f>SUMIFS(Base!$N$5:$N$504,Base!$A$5:$A$504,"001",Base!$F$5:$F$504,"2717162")</f>
        <v>159321.0</v>
      </c>
      <c r="M385" s="7" t="s">
        <v>99</v>
      </c>
      <c r="N385" s="7" t="s">
        <v>1796</v>
      </c>
    </row>
    <row r="386" spans="1:14">
      <c r="A386" s="28">
        <v>368</v>
      </c>
      <c r="B386" s="28" t="s">
        <v>2161</v>
      </c>
      <c r="C386" s="7" t="s">
        <v>1278</v>
      </c>
      <c r="D386" s="7" t="s">
        <v>99</v>
      </c>
      <c r="E386" s="7" t="s">
        <v>99</v>
      </c>
      <c r="F386" s="8">
        <f>INDEX('Rubro por CUI'!$E$5:$E$454,MATCH("001|2717167",'Rubro por CUI'!$N$5:$N$454,0))</f>
        <v>0.0</v>
      </c>
      <c r="G386" s="8">
        <f>INDEX('Rubro por CUI'!$F$5:$F$454,MATCH("001|2717167",'Rubro por CUI'!$N$5:$N$454,0))</f>
        <v>0.0</v>
      </c>
      <c r="H386" s="8">
        <f>INDEX('Rubro por CUI'!$G$5:$G$454,MATCH("001|2717167",'Rubro por CUI'!$N$5:$N$454,0))</f>
        <v>159060.0</v>
      </c>
      <c r="I386" s="8">
        <f>INDEX('Rubro por CUI'!$H$5:$H$454,MATCH("001|2717167",'Rubro por CUI'!$N$5:$N$454,0))</f>
        <v>0.0</v>
      </c>
      <c r="J386" s="8">
        <f>INDEX('Rubro por CUI'!$I$5:$I$454,MATCH("001|2717167",'Rubro por CUI'!$N$5:$N$454,0))</f>
        <v>0.0</v>
      </c>
      <c r="K386" s="8">
        <f>L386-SUM(F386:J386)</f>
        <v>0.0</v>
      </c>
      <c r="L386" s="8">
        <f>SUMIFS(Base!$N$5:$N$504,Base!$A$5:$A$504,"001",Base!$F$5:$F$504,"2717167")</f>
        <v>159060.0</v>
      </c>
      <c r="M386" s="7" t="s">
        <v>99</v>
      </c>
      <c r="N386" s="7" t="s">
        <v>1796</v>
      </c>
    </row>
    <row r="387" spans="1:14">
      <c r="A387" s="28">
        <v>369</v>
      </c>
      <c r="B387" s="28" t="s">
        <v>2162</v>
      </c>
      <c r="C387" s="7" t="s">
        <v>1302</v>
      </c>
      <c r="D387" s="7" t="s">
        <v>99</v>
      </c>
      <c r="E387" s="7" t="s">
        <v>99</v>
      </c>
      <c r="F387" s="8">
        <f>INDEX('Rubro por CUI'!$E$5:$E$454,MATCH("001|2717184",'Rubro por CUI'!$N$5:$N$454,0))</f>
        <v>0.0</v>
      </c>
      <c r="G387" s="8">
        <f>INDEX('Rubro por CUI'!$F$5:$F$454,MATCH("001|2717184",'Rubro por CUI'!$N$5:$N$454,0))</f>
        <v>0.0</v>
      </c>
      <c r="H387" s="8">
        <f>INDEX('Rubro por CUI'!$G$5:$G$454,MATCH("001|2717184",'Rubro por CUI'!$N$5:$N$454,0))</f>
        <v>159041.0</v>
      </c>
      <c r="I387" s="8">
        <f>INDEX('Rubro por CUI'!$H$5:$H$454,MATCH("001|2717184",'Rubro por CUI'!$N$5:$N$454,0))</f>
        <v>0.0</v>
      </c>
      <c r="J387" s="8">
        <f>INDEX('Rubro por CUI'!$I$5:$I$454,MATCH("001|2717184",'Rubro por CUI'!$N$5:$N$454,0))</f>
        <v>0.0</v>
      </c>
      <c r="K387" s="8">
        <f>L387-SUM(F387:J387)</f>
        <v>0.0</v>
      </c>
      <c r="L387" s="8">
        <f>SUMIFS(Base!$N$5:$N$504,Base!$A$5:$A$504,"001",Base!$F$5:$F$504,"2717184")</f>
        <v>159041.0</v>
      </c>
      <c r="M387" s="7" t="s">
        <v>99</v>
      </c>
      <c r="N387" s="7" t="s">
        <v>1796</v>
      </c>
    </row>
    <row r="388" spans="1:14">
      <c r="A388" s="28">
        <v>370</v>
      </c>
      <c r="B388" s="28" t="s">
        <v>2163</v>
      </c>
      <c r="C388" s="7" t="s">
        <v>1290</v>
      </c>
      <c r="D388" s="7" t="s">
        <v>99</v>
      </c>
      <c r="E388" s="7" t="s">
        <v>99</v>
      </c>
      <c r="F388" s="8">
        <f>INDEX('Rubro por CUI'!$E$5:$E$454,MATCH("001|2717174",'Rubro por CUI'!$N$5:$N$454,0))</f>
        <v>0.0</v>
      </c>
      <c r="G388" s="8">
        <f>INDEX('Rubro por CUI'!$F$5:$F$454,MATCH("001|2717174",'Rubro por CUI'!$N$5:$N$454,0))</f>
        <v>0.0</v>
      </c>
      <c r="H388" s="8">
        <f>INDEX('Rubro por CUI'!$G$5:$G$454,MATCH("001|2717174",'Rubro por CUI'!$N$5:$N$454,0))</f>
        <v>159007.0</v>
      </c>
      <c r="I388" s="8">
        <f>INDEX('Rubro por CUI'!$H$5:$H$454,MATCH("001|2717174",'Rubro por CUI'!$N$5:$N$454,0))</f>
        <v>0.0</v>
      </c>
      <c r="J388" s="8">
        <f>INDEX('Rubro por CUI'!$I$5:$I$454,MATCH("001|2717174",'Rubro por CUI'!$N$5:$N$454,0))</f>
        <v>0.0</v>
      </c>
      <c r="K388" s="8">
        <f>L388-SUM(F388:J388)</f>
        <v>0.0</v>
      </c>
      <c r="L388" s="8">
        <f>SUMIFS(Base!$N$5:$N$504,Base!$A$5:$A$504,"001",Base!$F$5:$F$504,"2717174")</f>
        <v>159007.0</v>
      </c>
      <c r="M388" s="7" t="s">
        <v>99</v>
      </c>
      <c r="N388" s="7" t="s">
        <v>1796</v>
      </c>
    </row>
    <row r="389" spans="1:14">
      <c r="A389" s="28">
        <v>371</v>
      </c>
      <c r="B389" s="28" t="s">
        <v>2164</v>
      </c>
      <c r="C389" s="7" t="s">
        <v>1248</v>
      </c>
      <c r="D389" s="7" t="s">
        <v>99</v>
      </c>
      <c r="E389" s="7" t="s">
        <v>99</v>
      </c>
      <c r="F389" s="8">
        <f>INDEX('Rubro por CUI'!$E$5:$E$454,MATCH("001|2717149",'Rubro por CUI'!$N$5:$N$454,0))</f>
        <v>0.0</v>
      </c>
      <c r="G389" s="8">
        <f>INDEX('Rubro por CUI'!$F$5:$F$454,MATCH("001|2717149",'Rubro por CUI'!$N$5:$N$454,0))</f>
        <v>0.0</v>
      </c>
      <c r="H389" s="8">
        <f>INDEX('Rubro por CUI'!$G$5:$G$454,MATCH("001|2717149",'Rubro por CUI'!$N$5:$N$454,0))</f>
        <v>158642.0</v>
      </c>
      <c r="I389" s="8">
        <f>INDEX('Rubro por CUI'!$H$5:$H$454,MATCH("001|2717149",'Rubro por CUI'!$N$5:$N$454,0))</f>
        <v>0.0</v>
      </c>
      <c r="J389" s="8">
        <f>INDEX('Rubro por CUI'!$I$5:$I$454,MATCH("001|2717149",'Rubro por CUI'!$N$5:$N$454,0))</f>
        <v>0.0</v>
      </c>
      <c r="K389" s="8">
        <f>L389-SUM(F389:J389)</f>
        <v>0.0</v>
      </c>
      <c r="L389" s="8">
        <f>SUMIFS(Base!$N$5:$N$504,Base!$A$5:$A$504,"001",Base!$F$5:$F$504,"2717149")</f>
        <v>158642.0</v>
      </c>
      <c r="M389" s="7" t="s">
        <v>99</v>
      </c>
      <c r="N389" s="7" t="s">
        <v>1796</v>
      </c>
    </row>
    <row r="390" spans="1:14">
      <c r="A390" s="28">
        <v>372</v>
      </c>
      <c r="B390" s="28" t="s">
        <v>2165</v>
      </c>
      <c r="C390" s="7" t="s">
        <v>1299</v>
      </c>
      <c r="D390" s="7" t="s">
        <v>99</v>
      </c>
      <c r="E390" s="7" t="s">
        <v>99</v>
      </c>
      <c r="F390" s="8">
        <f>INDEX('Rubro por CUI'!$E$5:$E$454,MATCH("001|2717180",'Rubro por CUI'!$N$5:$N$454,0))</f>
        <v>0.0</v>
      </c>
      <c r="G390" s="8">
        <f>INDEX('Rubro por CUI'!$F$5:$F$454,MATCH("001|2717180",'Rubro por CUI'!$N$5:$N$454,0))</f>
        <v>0.0</v>
      </c>
      <c r="H390" s="8">
        <f>INDEX('Rubro por CUI'!$G$5:$G$454,MATCH("001|2717180",'Rubro por CUI'!$N$5:$N$454,0))</f>
        <v>158640.0</v>
      </c>
      <c r="I390" s="8">
        <f>INDEX('Rubro por CUI'!$H$5:$H$454,MATCH("001|2717180",'Rubro por CUI'!$N$5:$N$454,0))</f>
        <v>0.0</v>
      </c>
      <c r="J390" s="8">
        <f>INDEX('Rubro por CUI'!$I$5:$I$454,MATCH("001|2717180",'Rubro por CUI'!$N$5:$N$454,0))</f>
        <v>0.0</v>
      </c>
      <c r="K390" s="8">
        <f>L390-SUM(F390:J390)</f>
        <v>0.0</v>
      </c>
      <c r="L390" s="8">
        <f>SUMIFS(Base!$N$5:$N$504,Base!$A$5:$A$504,"001",Base!$F$5:$F$504,"2717180")</f>
        <v>158640.0</v>
      </c>
      <c r="M390" s="7" t="s">
        <v>99</v>
      </c>
      <c r="N390" s="7" t="s">
        <v>1796</v>
      </c>
    </row>
    <row r="391" spans="1:14">
      <c r="A391" s="28">
        <v>373</v>
      </c>
      <c r="B391" s="28" t="s">
        <v>2166</v>
      </c>
      <c r="C391" s="7" t="s">
        <v>1296</v>
      </c>
      <c r="D391" s="7" t="s">
        <v>99</v>
      </c>
      <c r="E391" s="7" t="s">
        <v>99</v>
      </c>
      <c r="F391" s="8">
        <f>INDEX('Rubro por CUI'!$E$5:$E$454,MATCH("001|2717179",'Rubro por CUI'!$N$5:$N$454,0))</f>
        <v>0.0</v>
      </c>
      <c r="G391" s="8">
        <f>INDEX('Rubro por CUI'!$F$5:$F$454,MATCH("001|2717179",'Rubro por CUI'!$N$5:$N$454,0))</f>
        <v>0.0</v>
      </c>
      <c r="H391" s="8">
        <f>INDEX('Rubro por CUI'!$G$5:$G$454,MATCH("001|2717179",'Rubro por CUI'!$N$5:$N$454,0))</f>
        <v>158527.0</v>
      </c>
      <c r="I391" s="8">
        <f>INDEX('Rubro por CUI'!$H$5:$H$454,MATCH("001|2717179",'Rubro por CUI'!$N$5:$N$454,0))</f>
        <v>0.0</v>
      </c>
      <c r="J391" s="8">
        <f>INDEX('Rubro por CUI'!$I$5:$I$454,MATCH("001|2717179",'Rubro por CUI'!$N$5:$N$454,0))</f>
        <v>0.0</v>
      </c>
      <c r="K391" s="8">
        <f>L391-SUM(F391:J391)</f>
        <v>0.0</v>
      </c>
      <c r="L391" s="8">
        <f>SUMIFS(Base!$N$5:$N$504,Base!$A$5:$A$504,"001",Base!$F$5:$F$504,"2717179")</f>
        <v>158527.0</v>
      </c>
      <c r="M391" s="7" t="s">
        <v>99</v>
      </c>
      <c r="N391" s="7" t="s">
        <v>1796</v>
      </c>
    </row>
    <row r="392" spans="1:14">
      <c r="A392" s="28">
        <v>374</v>
      </c>
      <c r="B392" s="28" t="s">
        <v>2167</v>
      </c>
      <c r="C392" s="7" t="s">
        <v>1284</v>
      </c>
      <c r="D392" s="7" t="s">
        <v>99</v>
      </c>
      <c r="E392" s="7" t="s">
        <v>99</v>
      </c>
      <c r="F392" s="8">
        <f>INDEX('Rubro por CUI'!$E$5:$E$454,MATCH("001|2717170",'Rubro por CUI'!$N$5:$N$454,0))</f>
        <v>0.0</v>
      </c>
      <c r="G392" s="8">
        <f>INDEX('Rubro por CUI'!$F$5:$F$454,MATCH("001|2717170",'Rubro por CUI'!$N$5:$N$454,0))</f>
        <v>0.0</v>
      </c>
      <c r="H392" s="8">
        <f>INDEX('Rubro por CUI'!$G$5:$G$454,MATCH("001|2717170",'Rubro por CUI'!$N$5:$N$454,0))</f>
        <v>157300.0</v>
      </c>
      <c r="I392" s="8">
        <f>INDEX('Rubro por CUI'!$H$5:$H$454,MATCH("001|2717170",'Rubro por CUI'!$N$5:$N$454,0))</f>
        <v>0.0</v>
      </c>
      <c r="J392" s="8">
        <f>INDEX('Rubro por CUI'!$I$5:$I$454,MATCH("001|2717170",'Rubro por CUI'!$N$5:$N$454,0))</f>
        <v>0.0</v>
      </c>
      <c r="K392" s="8">
        <f>L392-SUM(F392:J392)</f>
        <v>0.0</v>
      </c>
      <c r="L392" s="8">
        <f>SUMIFS(Base!$N$5:$N$504,Base!$A$5:$A$504,"001",Base!$F$5:$F$504,"2717170")</f>
        <v>157300.0</v>
      </c>
      <c r="M392" s="7" t="s">
        <v>99</v>
      </c>
      <c r="N392" s="7" t="s">
        <v>1796</v>
      </c>
    </row>
    <row r="393" spans="1:14">
      <c r="A393" s="28">
        <v>375</v>
      </c>
      <c r="B393" s="28" t="s">
        <v>2168</v>
      </c>
      <c r="C393" s="7" t="s">
        <v>1275</v>
      </c>
      <c r="D393" s="7" t="s">
        <v>99</v>
      </c>
      <c r="E393" s="7" t="s">
        <v>99</v>
      </c>
      <c r="F393" s="8">
        <f>INDEX('Rubro por CUI'!$E$5:$E$454,MATCH("001|2717166",'Rubro por CUI'!$N$5:$N$454,0))</f>
        <v>0.0</v>
      </c>
      <c r="G393" s="8">
        <f>INDEX('Rubro por CUI'!$F$5:$F$454,MATCH("001|2717166",'Rubro por CUI'!$N$5:$N$454,0))</f>
        <v>0.0</v>
      </c>
      <c r="H393" s="8">
        <f>INDEX('Rubro por CUI'!$G$5:$G$454,MATCH("001|2717166",'Rubro por CUI'!$N$5:$N$454,0))</f>
        <v>155656.0</v>
      </c>
      <c r="I393" s="8">
        <f>INDEX('Rubro por CUI'!$H$5:$H$454,MATCH("001|2717166",'Rubro por CUI'!$N$5:$N$454,0))</f>
        <v>0.0</v>
      </c>
      <c r="J393" s="8">
        <f>INDEX('Rubro por CUI'!$I$5:$I$454,MATCH("001|2717166",'Rubro por CUI'!$N$5:$N$454,0))</f>
        <v>0.0</v>
      </c>
      <c r="K393" s="8">
        <f>L393-SUM(F393:J393)</f>
        <v>0.0</v>
      </c>
      <c r="L393" s="8">
        <f>SUMIFS(Base!$N$5:$N$504,Base!$A$5:$A$504,"001",Base!$F$5:$F$504,"2717166")</f>
        <v>155656.0</v>
      </c>
      <c r="M393" s="7" t="s">
        <v>99</v>
      </c>
      <c r="N393" s="7" t="s">
        <v>1796</v>
      </c>
    </row>
    <row r="394" spans="1:14">
      <c r="A394" s="28">
        <v>376</v>
      </c>
      <c r="B394" s="28" t="s">
        <v>2169</v>
      </c>
      <c r="C394" s="7" t="s">
        <v>1263</v>
      </c>
      <c r="D394" s="7" t="s">
        <v>99</v>
      </c>
      <c r="E394" s="7" t="s">
        <v>99</v>
      </c>
      <c r="F394" s="8">
        <f>INDEX('Rubro por CUI'!$E$5:$E$454,MATCH("001|2717159",'Rubro por CUI'!$N$5:$N$454,0))</f>
        <v>0.0</v>
      </c>
      <c r="G394" s="8">
        <f>INDEX('Rubro por CUI'!$F$5:$F$454,MATCH("001|2717159",'Rubro por CUI'!$N$5:$N$454,0))</f>
        <v>0.0</v>
      </c>
      <c r="H394" s="8">
        <f>INDEX('Rubro por CUI'!$G$5:$G$454,MATCH("001|2717159",'Rubro por CUI'!$N$5:$N$454,0))</f>
        <v>155278.0</v>
      </c>
      <c r="I394" s="8">
        <f>INDEX('Rubro por CUI'!$H$5:$H$454,MATCH("001|2717159",'Rubro por CUI'!$N$5:$N$454,0))</f>
        <v>0.0</v>
      </c>
      <c r="J394" s="8">
        <f>INDEX('Rubro por CUI'!$I$5:$I$454,MATCH("001|2717159",'Rubro por CUI'!$N$5:$N$454,0))</f>
        <v>0.0</v>
      </c>
      <c r="K394" s="8">
        <f>L394-SUM(F394:J394)</f>
        <v>0.0</v>
      </c>
      <c r="L394" s="8">
        <f>SUMIFS(Base!$N$5:$N$504,Base!$A$5:$A$504,"001",Base!$F$5:$F$504,"2717159")</f>
        <v>155278.0</v>
      </c>
      <c r="M394" s="7" t="s">
        <v>99</v>
      </c>
      <c r="N394" s="7" t="s">
        <v>1796</v>
      </c>
    </row>
    <row r="395" spans="1:14">
      <c r="A395" s="28">
        <v>377</v>
      </c>
      <c r="B395" s="28" t="s">
        <v>2170</v>
      </c>
      <c r="C395" s="7" t="s">
        <v>1260</v>
      </c>
      <c r="D395" s="7" t="s">
        <v>99</v>
      </c>
      <c r="E395" s="7" t="s">
        <v>99</v>
      </c>
      <c r="F395" s="8">
        <f>INDEX('Rubro por CUI'!$E$5:$E$454,MATCH("001|2717155",'Rubro por CUI'!$N$5:$N$454,0))</f>
        <v>0.0</v>
      </c>
      <c r="G395" s="8">
        <f>INDEX('Rubro por CUI'!$F$5:$F$454,MATCH("001|2717155",'Rubro por CUI'!$N$5:$N$454,0))</f>
        <v>0.0</v>
      </c>
      <c r="H395" s="8">
        <f>INDEX('Rubro por CUI'!$G$5:$G$454,MATCH("001|2717155",'Rubro por CUI'!$N$5:$N$454,0))</f>
        <v>154799.0</v>
      </c>
      <c r="I395" s="8">
        <f>INDEX('Rubro por CUI'!$H$5:$H$454,MATCH("001|2717155",'Rubro por CUI'!$N$5:$N$454,0))</f>
        <v>0.0</v>
      </c>
      <c r="J395" s="8">
        <f>INDEX('Rubro por CUI'!$I$5:$I$454,MATCH("001|2717155",'Rubro por CUI'!$N$5:$N$454,0))</f>
        <v>0.0</v>
      </c>
      <c r="K395" s="8">
        <f>L395-SUM(F395:J395)</f>
        <v>0.0</v>
      </c>
      <c r="L395" s="8">
        <f>SUMIFS(Base!$N$5:$N$504,Base!$A$5:$A$504,"001",Base!$F$5:$F$504,"2717155")</f>
        <v>154799.0</v>
      </c>
      <c r="M395" s="7" t="s">
        <v>99</v>
      </c>
      <c r="N395" s="7" t="s">
        <v>1796</v>
      </c>
    </row>
    <row r="396" spans="1:14">
      <c r="A396" s="28">
        <v>378</v>
      </c>
      <c r="B396" s="28" t="s">
        <v>2171</v>
      </c>
      <c r="C396" s="7" t="s">
        <v>1272</v>
      </c>
      <c r="D396" s="7" t="s">
        <v>99</v>
      </c>
      <c r="E396" s="7" t="s">
        <v>99</v>
      </c>
      <c r="F396" s="8">
        <f>INDEX('Rubro por CUI'!$E$5:$E$454,MATCH("001|2717165",'Rubro por CUI'!$N$5:$N$454,0))</f>
        <v>0.0</v>
      </c>
      <c r="G396" s="8">
        <f>INDEX('Rubro por CUI'!$F$5:$F$454,MATCH("001|2717165",'Rubro por CUI'!$N$5:$N$454,0))</f>
        <v>0.0</v>
      </c>
      <c r="H396" s="8">
        <f>INDEX('Rubro por CUI'!$G$5:$G$454,MATCH("001|2717165",'Rubro por CUI'!$N$5:$N$454,0))</f>
        <v>146532.0</v>
      </c>
      <c r="I396" s="8">
        <f>INDEX('Rubro por CUI'!$H$5:$H$454,MATCH("001|2717165",'Rubro por CUI'!$N$5:$N$454,0))</f>
        <v>0.0</v>
      </c>
      <c r="J396" s="8">
        <f>INDEX('Rubro por CUI'!$I$5:$I$454,MATCH("001|2717165",'Rubro por CUI'!$N$5:$N$454,0))</f>
        <v>0.0</v>
      </c>
      <c r="K396" s="8">
        <f>L396-SUM(F396:J396)</f>
        <v>0.0</v>
      </c>
      <c r="L396" s="8">
        <f>SUMIFS(Base!$N$5:$N$504,Base!$A$5:$A$504,"001",Base!$F$5:$F$504,"2717165")</f>
        <v>146532.0</v>
      </c>
      <c r="M396" s="7" t="s">
        <v>99</v>
      </c>
      <c r="N396" s="7" t="s">
        <v>1796</v>
      </c>
    </row>
    <row r="397" spans="1:14">
      <c r="A397" s="28">
        <v>379</v>
      </c>
      <c r="B397" s="28" t="s">
        <v>2172</v>
      </c>
      <c r="C397" s="7" t="s">
        <v>1239</v>
      </c>
      <c r="D397" s="7" t="s">
        <v>99</v>
      </c>
      <c r="E397" s="7" t="s">
        <v>99</v>
      </c>
      <c r="F397" s="8">
        <f>INDEX('Rubro por CUI'!$E$5:$E$454,MATCH("001|2681132",'Rubro por CUI'!$N$5:$N$454,0))</f>
        <v>0.0</v>
      </c>
      <c r="G397" s="8">
        <f>INDEX('Rubro por CUI'!$F$5:$F$454,MATCH("001|2681132",'Rubro por CUI'!$N$5:$N$454,0))</f>
        <v>0.0</v>
      </c>
      <c r="H397" s="8">
        <f>INDEX('Rubro por CUI'!$G$5:$G$454,MATCH("001|2681132",'Rubro por CUI'!$N$5:$N$454,0))</f>
        <v>87790.0</v>
      </c>
      <c r="I397" s="8">
        <f>INDEX('Rubro por CUI'!$H$5:$H$454,MATCH("001|2681132",'Rubro por CUI'!$N$5:$N$454,0))</f>
        <v>0.0</v>
      </c>
      <c r="J397" s="8">
        <f>INDEX('Rubro por CUI'!$I$5:$I$454,MATCH("001|2681132",'Rubro por CUI'!$N$5:$N$454,0))</f>
        <v>0.0</v>
      </c>
      <c r="K397" s="8">
        <f>L397-SUM(F397:J397)</f>
        <v>0.0</v>
      </c>
      <c r="L397" s="8">
        <f>SUMIFS(Base!$N$5:$N$504,Base!$A$5:$A$504,"001",Base!$F$5:$F$504,"2681132")</f>
        <v>87790.0</v>
      </c>
      <c r="M397" s="7" t="s">
        <v>99</v>
      </c>
      <c r="N397" s="7" t="s">
        <v>1796</v>
      </c>
    </row>
    <row r="398" spans="1:14">
      <c r="A398" s="28">
        <v>380</v>
      </c>
      <c r="B398" s="28" t="s">
        <v>2173</v>
      </c>
      <c r="C398" s="7" t="s">
        <v>1218</v>
      </c>
      <c r="D398" s="7" t="s">
        <v>99</v>
      </c>
      <c r="E398" s="7" t="s">
        <v>99</v>
      </c>
      <c r="F398" s="8">
        <f>INDEX('Rubro por CUI'!$E$5:$E$454,MATCH("001|2676432",'Rubro por CUI'!$N$5:$N$454,0))</f>
        <v>0.0</v>
      </c>
      <c r="G398" s="8">
        <f>INDEX('Rubro por CUI'!$F$5:$F$454,MATCH("001|2676432",'Rubro por CUI'!$N$5:$N$454,0))</f>
        <v>0.0</v>
      </c>
      <c r="H398" s="8">
        <f>INDEX('Rubro por CUI'!$G$5:$G$454,MATCH("001|2676432",'Rubro por CUI'!$N$5:$N$454,0))</f>
        <v>73915.0</v>
      </c>
      <c r="I398" s="8">
        <f>INDEX('Rubro por CUI'!$H$5:$H$454,MATCH("001|2676432",'Rubro por CUI'!$N$5:$N$454,0))</f>
        <v>0.0</v>
      </c>
      <c r="J398" s="8">
        <f>INDEX('Rubro por CUI'!$I$5:$I$454,MATCH("001|2676432",'Rubro por CUI'!$N$5:$N$454,0))</f>
        <v>0.0</v>
      </c>
      <c r="K398" s="8">
        <f>L398-SUM(F398:J398)</f>
        <v>0.0</v>
      </c>
      <c r="L398" s="8">
        <f>SUMIFS(Base!$N$5:$N$504,Base!$A$5:$A$504,"001",Base!$F$5:$F$504,"2676432")</f>
        <v>73915.0</v>
      </c>
      <c r="M398" s="7" t="s">
        <v>99</v>
      </c>
      <c r="N398" s="7" t="s">
        <v>1796</v>
      </c>
    </row>
    <row r="399" spans="1:14">
      <c r="A399" s="28">
        <v>381</v>
      </c>
      <c r="B399" s="28" t="s">
        <v>2174</v>
      </c>
      <c r="C399" s="7" t="s">
        <v>1212</v>
      </c>
      <c r="D399" s="7" t="s">
        <v>99</v>
      </c>
      <c r="E399" s="7" t="s">
        <v>99</v>
      </c>
      <c r="F399" s="8">
        <f>INDEX('Rubro por CUI'!$E$5:$E$454,MATCH("001|2676430",'Rubro por CUI'!$N$5:$N$454,0))</f>
        <v>0.0</v>
      </c>
      <c r="G399" s="8">
        <f>INDEX('Rubro por CUI'!$F$5:$F$454,MATCH("001|2676430",'Rubro por CUI'!$N$5:$N$454,0))</f>
        <v>0.0</v>
      </c>
      <c r="H399" s="8">
        <f>INDEX('Rubro por CUI'!$G$5:$G$454,MATCH("001|2676430",'Rubro por CUI'!$N$5:$N$454,0))</f>
        <v>73376.0</v>
      </c>
      <c r="I399" s="8">
        <f>INDEX('Rubro por CUI'!$H$5:$H$454,MATCH("001|2676430",'Rubro por CUI'!$N$5:$N$454,0))</f>
        <v>0.0</v>
      </c>
      <c r="J399" s="8">
        <f>INDEX('Rubro por CUI'!$I$5:$I$454,MATCH("001|2676430",'Rubro por CUI'!$N$5:$N$454,0))</f>
        <v>0.0</v>
      </c>
      <c r="K399" s="8">
        <f>L399-SUM(F399:J399)</f>
        <v>0.0</v>
      </c>
      <c r="L399" s="8">
        <f>SUMIFS(Base!$N$5:$N$504,Base!$A$5:$A$504,"001",Base!$F$5:$F$504,"2676430")</f>
        <v>73376.0</v>
      </c>
      <c r="M399" s="7" t="s">
        <v>99</v>
      </c>
      <c r="N399" s="7" t="s">
        <v>1796</v>
      </c>
    </row>
    <row r="400" spans="1:14">
      <c r="A400" s="28">
        <v>382</v>
      </c>
      <c r="B400" s="28" t="s">
        <v>2175</v>
      </c>
      <c r="C400" s="7" t="s">
        <v>1191</v>
      </c>
      <c r="D400" s="7" t="s">
        <v>99</v>
      </c>
      <c r="E400" s="7" t="s">
        <v>99</v>
      </c>
      <c r="F400" s="8">
        <f>INDEX('Rubro por CUI'!$E$5:$E$454,MATCH("001|2676418",'Rubro por CUI'!$N$5:$N$454,0))</f>
        <v>0.0</v>
      </c>
      <c r="G400" s="8">
        <f>INDEX('Rubro por CUI'!$F$5:$F$454,MATCH("001|2676418",'Rubro por CUI'!$N$5:$N$454,0))</f>
        <v>0.0</v>
      </c>
      <c r="H400" s="8">
        <f>INDEX('Rubro por CUI'!$G$5:$G$454,MATCH("001|2676418",'Rubro por CUI'!$N$5:$N$454,0))</f>
        <v>65438.0</v>
      </c>
      <c r="I400" s="8">
        <f>INDEX('Rubro por CUI'!$H$5:$H$454,MATCH("001|2676418",'Rubro por CUI'!$N$5:$N$454,0))</f>
        <v>0.0</v>
      </c>
      <c r="J400" s="8">
        <f>INDEX('Rubro por CUI'!$I$5:$I$454,MATCH("001|2676418",'Rubro por CUI'!$N$5:$N$454,0))</f>
        <v>0.0</v>
      </c>
      <c r="K400" s="8">
        <f>L400-SUM(F400:J400)</f>
        <v>0.0</v>
      </c>
      <c r="L400" s="8">
        <f>SUMIFS(Base!$N$5:$N$504,Base!$A$5:$A$504,"001",Base!$F$5:$F$504,"2676418")</f>
        <v>65438.0</v>
      </c>
      <c r="M400" s="7" t="s">
        <v>99</v>
      </c>
      <c r="N400" s="7" t="s">
        <v>1796</v>
      </c>
    </row>
    <row r="401" spans="1:14">
      <c r="A401" s="28">
        <v>383</v>
      </c>
      <c r="B401" s="28" t="s">
        <v>2176</v>
      </c>
      <c r="C401" s="7" t="s">
        <v>1188</v>
      </c>
      <c r="D401" s="7" t="s">
        <v>99</v>
      </c>
      <c r="E401" s="7" t="s">
        <v>99</v>
      </c>
      <c r="F401" s="8">
        <f>INDEX('Rubro por CUI'!$E$5:$E$454,MATCH("001|2680578",'Rubro por CUI'!$N$5:$N$454,0))</f>
        <v>0.0</v>
      </c>
      <c r="G401" s="8">
        <f>INDEX('Rubro por CUI'!$F$5:$F$454,MATCH("001|2680578",'Rubro por CUI'!$N$5:$N$454,0))</f>
        <v>0.0</v>
      </c>
      <c r="H401" s="8">
        <f>INDEX('Rubro por CUI'!$G$5:$G$454,MATCH("001|2680578",'Rubro por CUI'!$N$5:$N$454,0))</f>
        <v>63755.0</v>
      </c>
      <c r="I401" s="8">
        <f>INDEX('Rubro por CUI'!$H$5:$H$454,MATCH("001|2680578",'Rubro por CUI'!$N$5:$N$454,0))</f>
        <v>0.0</v>
      </c>
      <c r="J401" s="8">
        <f>INDEX('Rubro por CUI'!$I$5:$I$454,MATCH("001|2680578",'Rubro por CUI'!$N$5:$N$454,0))</f>
        <v>0.0</v>
      </c>
      <c r="K401" s="8">
        <f>L401-SUM(F401:J401)</f>
        <v>0.0</v>
      </c>
      <c r="L401" s="8">
        <f>SUMIFS(Base!$N$5:$N$504,Base!$A$5:$A$504,"001",Base!$F$5:$F$504,"2680578")</f>
        <v>63755.0</v>
      </c>
      <c r="M401" s="7" t="s">
        <v>99</v>
      </c>
      <c r="N401" s="7" t="s">
        <v>1796</v>
      </c>
    </row>
    <row r="402" spans="1:14">
      <c r="A402" s="28">
        <v>384</v>
      </c>
      <c r="B402" s="28" t="s">
        <v>2177</v>
      </c>
      <c r="C402" s="7" t="s">
        <v>1185</v>
      </c>
      <c r="D402" s="7" t="s">
        <v>99</v>
      </c>
      <c r="E402" s="7" t="s">
        <v>99</v>
      </c>
      <c r="F402" s="8">
        <f>INDEX('Rubro por CUI'!$E$5:$E$454,MATCH("001|2612541",'Rubro por CUI'!$N$5:$N$454,0))</f>
        <v>0.0</v>
      </c>
      <c r="G402" s="8">
        <f>INDEX('Rubro por CUI'!$F$5:$F$454,MATCH("001|2612541",'Rubro por CUI'!$N$5:$N$454,0))</f>
        <v>0.0</v>
      </c>
      <c r="H402" s="8">
        <f>INDEX('Rubro por CUI'!$G$5:$G$454,MATCH("001|2612541",'Rubro por CUI'!$N$5:$N$454,0))</f>
        <v>62000.0</v>
      </c>
      <c r="I402" s="8">
        <f>INDEX('Rubro por CUI'!$H$5:$H$454,MATCH("001|2612541",'Rubro por CUI'!$N$5:$N$454,0))</f>
        <v>0.0</v>
      </c>
      <c r="J402" s="8">
        <f>INDEX('Rubro por CUI'!$I$5:$I$454,MATCH("001|2612541",'Rubro por CUI'!$N$5:$N$454,0))</f>
        <v>0.0</v>
      </c>
      <c r="K402" s="8">
        <f>L402-SUM(F402:J402)</f>
        <v>0.0</v>
      </c>
      <c r="L402" s="8">
        <f>SUMIFS(Base!$N$5:$N$504,Base!$A$5:$A$504,"001",Base!$F$5:$F$504,"2612541")</f>
        <v>62000.0</v>
      </c>
      <c r="M402" s="7" t="s">
        <v>99</v>
      </c>
      <c r="N402" s="7" t="s">
        <v>1796</v>
      </c>
    </row>
    <row r="403" spans="1:14">
      <c r="A403" s="28">
        <v>385</v>
      </c>
      <c r="B403" s="28" t="s">
        <v>2178</v>
      </c>
      <c r="C403" s="7" t="s">
        <v>1182</v>
      </c>
      <c r="D403" s="7" t="s">
        <v>99</v>
      </c>
      <c r="E403" s="7" t="s">
        <v>99</v>
      </c>
      <c r="F403" s="8">
        <f>INDEX('Rubro por CUI'!$E$5:$E$454,MATCH("001|2612522",'Rubro por CUI'!$N$5:$N$454,0))</f>
        <v>0.0</v>
      </c>
      <c r="G403" s="8">
        <f>INDEX('Rubro por CUI'!$F$5:$F$454,MATCH("001|2612522",'Rubro por CUI'!$N$5:$N$454,0))</f>
        <v>0.0</v>
      </c>
      <c r="H403" s="8">
        <f>INDEX('Rubro por CUI'!$G$5:$G$454,MATCH("001|2612522",'Rubro por CUI'!$N$5:$N$454,0))</f>
        <v>61500.0</v>
      </c>
      <c r="I403" s="8">
        <f>INDEX('Rubro por CUI'!$H$5:$H$454,MATCH("001|2612522",'Rubro por CUI'!$N$5:$N$454,0))</f>
        <v>0.0</v>
      </c>
      <c r="J403" s="8">
        <f>INDEX('Rubro por CUI'!$I$5:$I$454,MATCH("001|2612522",'Rubro por CUI'!$N$5:$N$454,0))</f>
        <v>0.0</v>
      </c>
      <c r="K403" s="8">
        <f>L403-SUM(F403:J403)</f>
        <v>0.0</v>
      </c>
      <c r="L403" s="8">
        <f>SUMIFS(Base!$N$5:$N$504,Base!$A$5:$A$504,"001",Base!$F$5:$F$504,"2612522")</f>
        <v>61500.0</v>
      </c>
      <c r="M403" s="7" t="s">
        <v>99</v>
      </c>
      <c r="N403" s="7" t="s">
        <v>1796</v>
      </c>
    </row>
    <row r="404" spans="1:14">
      <c r="A404" s="28">
        <v>386</v>
      </c>
      <c r="B404" s="28" t="s">
        <v>2179</v>
      </c>
      <c r="C404" s="7" t="s">
        <v>1194</v>
      </c>
      <c r="D404" s="7" t="s">
        <v>99</v>
      </c>
      <c r="E404" s="7" t="s">
        <v>99</v>
      </c>
      <c r="F404" s="8">
        <f>INDEX('Rubro por CUI'!$E$5:$E$454,MATCH("001|2681120",'Rubro por CUI'!$N$5:$N$454,0))</f>
        <v>0.0</v>
      </c>
      <c r="G404" s="8">
        <f>INDEX('Rubro por CUI'!$F$5:$F$454,MATCH("001|2681120",'Rubro por CUI'!$N$5:$N$454,0))</f>
        <v>0.0</v>
      </c>
      <c r="H404" s="8">
        <f>INDEX('Rubro por CUI'!$G$5:$G$454,MATCH("001|2681120",'Rubro por CUI'!$N$5:$N$454,0))</f>
        <v>61200.0</v>
      </c>
      <c r="I404" s="8">
        <f>INDEX('Rubro por CUI'!$H$5:$H$454,MATCH("001|2681120",'Rubro por CUI'!$N$5:$N$454,0))</f>
        <v>0.0</v>
      </c>
      <c r="J404" s="8">
        <f>INDEX('Rubro por CUI'!$I$5:$I$454,MATCH("001|2681120",'Rubro por CUI'!$N$5:$N$454,0))</f>
        <v>0.0</v>
      </c>
      <c r="K404" s="8">
        <f>L404-SUM(F404:J404)</f>
        <v>0.0</v>
      </c>
      <c r="L404" s="8">
        <f>SUMIFS(Base!$N$5:$N$504,Base!$A$5:$A$504,"001",Base!$F$5:$F$504,"2681120")</f>
        <v>61200.0</v>
      </c>
      <c r="M404" s="7" t="s">
        <v>99</v>
      </c>
      <c r="N404" s="7" t="s">
        <v>1796</v>
      </c>
    </row>
    <row r="405" spans="1:14">
      <c r="A405" s="28">
        <v>387</v>
      </c>
      <c r="B405" s="28" t="s">
        <v>2180</v>
      </c>
      <c r="C405" s="7" t="s">
        <v>1230</v>
      </c>
      <c r="D405" s="7" t="s">
        <v>99</v>
      </c>
      <c r="E405" s="7" t="s">
        <v>99</v>
      </c>
      <c r="F405" s="8">
        <f>INDEX('Rubro por CUI'!$E$5:$E$454,MATCH("001|2676435",'Rubro por CUI'!$N$5:$N$454,0))</f>
        <v>0.0</v>
      </c>
      <c r="G405" s="8">
        <f>INDEX('Rubro por CUI'!$F$5:$F$454,MATCH("001|2676435",'Rubro por CUI'!$N$5:$N$454,0))</f>
        <v>0.0</v>
      </c>
      <c r="H405" s="8">
        <f>INDEX('Rubro por CUI'!$G$5:$G$454,MATCH("001|2676435",'Rubro por CUI'!$N$5:$N$454,0))</f>
        <v>57400.0</v>
      </c>
      <c r="I405" s="8">
        <f>INDEX('Rubro por CUI'!$H$5:$H$454,MATCH("001|2676435",'Rubro por CUI'!$N$5:$N$454,0))</f>
        <v>0.0</v>
      </c>
      <c r="J405" s="8">
        <f>INDEX('Rubro por CUI'!$I$5:$I$454,MATCH("001|2676435",'Rubro por CUI'!$N$5:$N$454,0))</f>
        <v>0.0</v>
      </c>
      <c r="K405" s="8">
        <f>L405-SUM(F405:J405)</f>
        <v>0.0</v>
      </c>
      <c r="L405" s="8">
        <f>SUMIFS(Base!$N$5:$N$504,Base!$A$5:$A$504,"001",Base!$F$5:$F$504,"2676435")</f>
        <v>57400.0</v>
      </c>
      <c r="M405" s="7" t="s">
        <v>99</v>
      </c>
      <c r="N405" s="7" t="s">
        <v>1796</v>
      </c>
    </row>
    <row r="406" spans="1:14">
      <c r="A406" s="28">
        <v>388</v>
      </c>
      <c r="B406" s="28" t="s">
        <v>2181</v>
      </c>
      <c r="C406" s="7" t="s">
        <v>1215</v>
      </c>
      <c r="D406" s="7" t="s">
        <v>99</v>
      </c>
      <c r="E406" s="7" t="s">
        <v>99</v>
      </c>
      <c r="F406" s="8">
        <f>INDEX('Rubro por CUI'!$E$5:$E$454,MATCH("001|2676431",'Rubro por CUI'!$N$5:$N$454,0))</f>
        <v>0.0</v>
      </c>
      <c r="G406" s="8">
        <f>INDEX('Rubro por CUI'!$F$5:$F$454,MATCH("001|2676431",'Rubro por CUI'!$N$5:$N$454,0))</f>
        <v>0.0</v>
      </c>
      <c r="H406" s="8">
        <f>INDEX('Rubro por CUI'!$G$5:$G$454,MATCH("001|2676431",'Rubro por CUI'!$N$5:$N$454,0))</f>
        <v>54964.0</v>
      </c>
      <c r="I406" s="8">
        <f>INDEX('Rubro por CUI'!$H$5:$H$454,MATCH("001|2676431",'Rubro por CUI'!$N$5:$N$454,0))</f>
        <v>0.0</v>
      </c>
      <c r="J406" s="8">
        <f>INDEX('Rubro por CUI'!$I$5:$I$454,MATCH("001|2676431",'Rubro por CUI'!$N$5:$N$454,0))</f>
        <v>0.0</v>
      </c>
      <c r="K406" s="8">
        <f>L406-SUM(F406:J406)</f>
        <v>0.0</v>
      </c>
      <c r="L406" s="8">
        <f>SUMIFS(Base!$N$5:$N$504,Base!$A$5:$A$504,"001",Base!$F$5:$F$504,"2676431")</f>
        <v>54964.0</v>
      </c>
      <c r="M406" s="7" t="s">
        <v>99</v>
      </c>
      <c r="N406" s="7" t="s">
        <v>1796</v>
      </c>
    </row>
    <row r="407" spans="1:14">
      <c r="A407" s="28">
        <v>389</v>
      </c>
      <c r="B407" s="28" t="s">
        <v>2182</v>
      </c>
      <c r="C407" s="7" t="s">
        <v>1317</v>
      </c>
      <c r="D407" s="33">
        <v>14145384</v>
      </c>
      <c r="E407" s="33">
        <v>13810163</v>
      </c>
      <c r="F407" s="8">
        <f>INDEX('Rubro por CUI'!$E$5:$E$454,MATCH("001|2326588",'Rubro por CUI'!$N$5:$N$454,0))</f>
        <v>0.0</v>
      </c>
      <c r="G407" s="8">
        <f>INDEX('Rubro por CUI'!$F$5:$F$454,MATCH("001|2326588",'Rubro por CUI'!$N$5:$N$454,0))</f>
        <v>0.0</v>
      </c>
      <c r="H407" s="8">
        <f>INDEX('Rubro por CUI'!$G$5:$G$454,MATCH("001|2326588",'Rubro por CUI'!$N$5:$N$454,0))</f>
        <v>44000.0</v>
      </c>
      <c r="I407" s="8">
        <f>INDEX('Rubro por CUI'!$H$5:$H$454,MATCH("001|2326588",'Rubro por CUI'!$N$5:$N$454,0))</f>
        <v>0.0</v>
      </c>
      <c r="J407" s="8">
        <f>INDEX('Rubro por CUI'!$I$5:$I$454,MATCH("001|2326588",'Rubro por CUI'!$N$5:$N$454,0))</f>
        <v>0.0</v>
      </c>
      <c r="K407" s="8">
        <f>L407-SUM(F407:J407)</f>
        <v>0.0</v>
      </c>
      <c r="L407" s="8">
        <f>SUMIFS(Base!$N$5:$N$504,Base!$A$5:$A$504,"001",Base!$F$5:$F$504,"2326588")</f>
        <v>44000.0</v>
      </c>
      <c r="M407" s="8">
        <f>D407-E407-L407</f>
        <v>291221.0</v>
      </c>
      <c r="N407" s="7" t="s">
        <v>89</v>
      </c>
    </row>
    <row r="408" spans="1:14">
      <c r="A408" s="28">
        <v>390</v>
      </c>
      <c r="B408" s="28" t="s">
        <v>2183</v>
      </c>
      <c r="C408" s="7" t="s">
        <v>1242</v>
      </c>
      <c r="D408" s="7" t="s">
        <v>99</v>
      </c>
      <c r="E408" s="7" t="s">
        <v>99</v>
      </c>
      <c r="F408" s="8">
        <f>INDEX('Rubro por CUI'!$E$5:$E$454,MATCH("001|2676433",'Rubro por CUI'!$N$5:$N$454,0))</f>
        <v>0.0</v>
      </c>
      <c r="G408" s="8">
        <f>INDEX('Rubro por CUI'!$F$5:$F$454,MATCH("001|2676433",'Rubro por CUI'!$N$5:$N$454,0))</f>
        <v>0.0</v>
      </c>
      <c r="H408" s="8">
        <f>INDEX('Rubro por CUI'!$G$5:$G$454,MATCH("001|2676433",'Rubro por CUI'!$N$5:$N$454,0))</f>
        <v>14715.0</v>
      </c>
      <c r="I408" s="8">
        <f>INDEX('Rubro por CUI'!$H$5:$H$454,MATCH("001|2676433",'Rubro por CUI'!$N$5:$N$454,0))</f>
        <v>0.0</v>
      </c>
      <c r="J408" s="8">
        <f>INDEX('Rubro por CUI'!$I$5:$I$454,MATCH("001|2676433",'Rubro por CUI'!$N$5:$N$454,0))</f>
        <v>0.0</v>
      </c>
      <c r="K408" s="8">
        <f>L408-SUM(F408:J408)</f>
        <v>0.0</v>
      </c>
      <c r="L408" s="8">
        <f>SUMIFS(Base!$N$5:$N$504,Base!$A$5:$A$504,"001",Base!$F$5:$F$504,"2676433")</f>
        <v>14715.0</v>
      </c>
      <c r="M408" s="7" t="s">
        <v>99</v>
      </c>
      <c r="N408" s="7" t="s">
        <v>1796</v>
      </c>
    </row>
    <row r="409" spans="1:14">
      <c r="A409" s="28">
        <v>391</v>
      </c>
      <c r="B409" s="28" t="s">
        <v>2184</v>
      </c>
      <c r="C409" s="7" t="s">
        <v>1227</v>
      </c>
      <c r="D409" s="7" t="s">
        <v>99</v>
      </c>
      <c r="E409" s="7" t="s">
        <v>99</v>
      </c>
      <c r="F409" s="8">
        <f>INDEX('Rubro por CUI'!$E$5:$E$454,MATCH("001|2681129",'Rubro por CUI'!$N$5:$N$454,0))</f>
        <v>0.0</v>
      </c>
      <c r="G409" s="8">
        <f>INDEX('Rubro por CUI'!$F$5:$F$454,MATCH("001|2681129",'Rubro por CUI'!$N$5:$N$454,0))</f>
        <v>0.0</v>
      </c>
      <c r="H409" s="8">
        <f>INDEX('Rubro por CUI'!$G$5:$G$454,MATCH("001|2681129",'Rubro por CUI'!$N$5:$N$454,0))</f>
        <v>12800.0</v>
      </c>
      <c r="I409" s="8">
        <f>INDEX('Rubro por CUI'!$H$5:$H$454,MATCH("001|2681129",'Rubro por CUI'!$N$5:$N$454,0))</f>
        <v>0.0</v>
      </c>
      <c r="J409" s="8">
        <f>INDEX('Rubro por CUI'!$I$5:$I$454,MATCH("001|2681129",'Rubro por CUI'!$N$5:$N$454,0))</f>
        <v>0.0</v>
      </c>
      <c r="K409" s="8">
        <f>L409-SUM(F409:J409)</f>
        <v>0.0</v>
      </c>
      <c r="L409" s="8">
        <f>SUMIFS(Base!$N$5:$N$504,Base!$A$5:$A$504,"001",Base!$F$5:$F$504,"2681129")</f>
        <v>12800.0</v>
      </c>
      <c r="M409" s="7" t="s">
        <v>99</v>
      </c>
      <c r="N409" s="7" t="s">
        <v>1796</v>
      </c>
    </row>
    <row r="410" spans="1:14">
      <c r="A410" s="28">
        <v>392</v>
      </c>
      <c r="B410" s="28" t="s">
        <v>2185</v>
      </c>
      <c r="C410" s="7" t="s">
        <v>1200</v>
      </c>
      <c r="D410" s="7" t="s">
        <v>99</v>
      </c>
      <c r="E410" s="7" t="s">
        <v>99</v>
      </c>
      <c r="F410" s="8">
        <f>INDEX('Rubro por CUI'!$E$5:$E$454,MATCH("001|2676424",'Rubro por CUI'!$N$5:$N$454,0))</f>
        <v>0.0</v>
      </c>
      <c r="G410" s="8">
        <f>INDEX('Rubro por CUI'!$F$5:$F$454,MATCH("001|2676424",'Rubro por CUI'!$N$5:$N$454,0))</f>
        <v>0.0</v>
      </c>
      <c r="H410" s="8">
        <f>INDEX('Rubro por CUI'!$G$5:$G$454,MATCH("001|2676424",'Rubro por CUI'!$N$5:$N$454,0))</f>
        <v>10692.0</v>
      </c>
      <c r="I410" s="8">
        <f>INDEX('Rubro por CUI'!$H$5:$H$454,MATCH("001|2676424",'Rubro por CUI'!$N$5:$N$454,0))</f>
        <v>0.0</v>
      </c>
      <c r="J410" s="8">
        <f>INDEX('Rubro por CUI'!$I$5:$I$454,MATCH("001|2676424",'Rubro por CUI'!$N$5:$N$454,0))</f>
        <v>0.0</v>
      </c>
      <c r="K410" s="8">
        <f>L410-SUM(F410:J410)</f>
        <v>0.0</v>
      </c>
      <c r="L410" s="8">
        <f>SUMIFS(Base!$N$5:$N$504,Base!$A$5:$A$504,"001",Base!$F$5:$F$504,"2676424")</f>
        <v>10692.0</v>
      </c>
      <c r="M410" s="7" t="s">
        <v>99</v>
      </c>
      <c r="N410" s="7" t="s">
        <v>1796</v>
      </c>
    </row>
    <row r="411" spans="1:14">
      <c r="A411" s="28">
        <v>393</v>
      </c>
      <c r="B411" s="28" t="s">
        <v>2186</v>
      </c>
      <c r="C411" s="7" t="s">
        <v>1203</v>
      </c>
      <c r="D411" s="7" t="s">
        <v>99</v>
      </c>
      <c r="E411" s="7" t="s">
        <v>99</v>
      </c>
      <c r="F411" s="8">
        <f>INDEX('Rubro por CUI'!$E$5:$E$454,MATCH("001|2681121",'Rubro por CUI'!$N$5:$N$454,0))</f>
        <v>0.0</v>
      </c>
      <c r="G411" s="8">
        <f>INDEX('Rubro por CUI'!$F$5:$F$454,MATCH("001|2681121",'Rubro por CUI'!$N$5:$N$454,0))</f>
        <v>0.0</v>
      </c>
      <c r="H411" s="8">
        <f>INDEX('Rubro por CUI'!$G$5:$G$454,MATCH("001|2681121",'Rubro por CUI'!$N$5:$N$454,0))</f>
        <v>7816.0</v>
      </c>
      <c r="I411" s="8">
        <f>INDEX('Rubro por CUI'!$H$5:$H$454,MATCH("001|2681121",'Rubro por CUI'!$N$5:$N$454,0))</f>
        <v>0.0</v>
      </c>
      <c r="J411" s="8">
        <f>INDEX('Rubro por CUI'!$I$5:$I$454,MATCH("001|2681121",'Rubro por CUI'!$N$5:$N$454,0))</f>
        <v>0.0</v>
      </c>
      <c r="K411" s="8">
        <f>L411-SUM(F411:J411)</f>
        <v>0.0</v>
      </c>
      <c r="L411" s="8">
        <f>SUMIFS(Base!$N$5:$N$504,Base!$A$5:$A$504,"001",Base!$F$5:$F$504,"2681121")</f>
        <v>7816.0</v>
      </c>
      <c r="M411" s="7" t="s">
        <v>99</v>
      </c>
      <c r="N411" s="7" t="s">
        <v>1796</v>
      </c>
    </row>
    <row r="412" spans="1:14">
      <c r="A412" s="28">
        <v>394</v>
      </c>
      <c r="B412" s="28" t="s">
        <v>2187</v>
      </c>
      <c r="C412" s="7" t="s">
        <v>1233</v>
      </c>
      <c r="D412" s="7" t="s">
        <v>99</v>
      </c>
      <c r="E412" s="7" t="s">
        <v>99</v>
      </c>
      <c r="F412" s="8">
        <f>INDEX('Rubro por CUI'!$E$5:$E$454,MATCH("001|2676436",'Rubro por CUI'!$N$5:$N$454,0))</f>
        <v>0.0</v>
      </c>
      <c r="G412" s="8">
        <f>INDEX('Rubro por CUI'!$F$5:$F$454,MATCH("001|2676436",'Rubro por CUI'!$N$5:$N$454,0))</f>
        <v>0.0</v>
      </c>
      <c r="H412" s="8">
        <f>INDEX('Rubro por CUI'!$G$5:$G$454,MATCH("001|2676436",'Rubro por CUI'!$N$5:$N$454,0))</f>
        <v>5898.0</v>
      </c>
      <c r="I412" s="8">
        <f>INDEX('Rubro por CUI'!$H$5:$H$454,MATCH("001|2676436",'Rubro por CUI'!$N$5:$N$454,0))</f>
        <v>0.0</v>
      </c>
      <c r="J412" s="8">
        <f>INDEX('Rubro por CUI'!$I$5:$I$454,MATCH("001|2676436",'Rubro por CUI'!$N$5:$N$454,0))</f>
        <v>0.0</v>
      </c>
      <c r="K412" s="8">
        <f>L412-SUM(F412:J412)</f>
        <v>0.0</v>
      </c>
      <c r="L412" s="8">
        <f>SUMIFS(Base!$N$5:$N$504,Base!$A$5:$A$504,"001",Base!$F$5:$F$504,"2676436")</f>
        <v>5898.0</v>
      </c>
      <c r="M412" s="7" t="s">
        <v>99</v>
      </c>
      <c r="N412" s="7" t="s">
        <v>1796</v>
      </c>
    </row>
    <row r="413" spans="1:14">
      <c r="A413" s="28">
        <v>395</v>
      </c>
      <c r="B413" s="28" t="s">
        <v>2188</v>
      </c>
      <c r="C413" s="7" t="s">
        <v>1221</v>
      </c>
      <c r="D413" s="7" t="s">
        <v>99</v>
      </c>
      <c r="E413" s="7" t="s">
        <v>99</v>
      </c>
      <c r="F413" s="8">
        <f>INDEX('Rubro por CUI'!$E$5:$E$454,MATCH("001|2681125",'Rubro por CUI'!$N$5:$N$454,0))</f>
        <v>0.0</v>
      </c>
      <c r="G413" s="8">
        <f>INDEX('Rubro por CUI'!$F$5:$F$454,MATCH("001|2681125",'Rubro por CUI'!$N$5:$N$454,0))</f>
        <v>0.0</v>
      </c>
      <c r="H413" s="8">
        <f>INDEX('Rubro por CUI'!$G$5:$G$454,MATCH("001|2681125",'Rubro por CUI'!$N$5:$N$454,0))</f>
        <v>5098.0</v>
      </c>
      <c r="I413" s="8">
        <f>INDEX('Rubro por CUI'!$H$5:$H$454,MATCH("001|2681125",'Rubro por CUI'!$N$5:$N$454,0))</f>
        <v>0.0</v>
      </c>
      <c r="J413" s="8">
        <f>INDEX('Rubro por CUI'!$I$5:$I$454,MATCH("001|2681125",'Rubro por CUI'!$N$5:$N$454,0))</f>
        <v>0.0</v>
      </c>
      <c r="K413" s="8">
        <f>L413-SUM(F413:J413)</f>
        <v>0.0</v>
      </c>
      <c r="L413" s="8">
        <f>SUMIFS(Base!$N$5:$N$504,Base!$A$5:$A$504,"001",Base!$F$5:$F$504,"2681125")</f>
        <v>5098.0</v>
      </c>
      <c r="M413" s="7" t="s">
        <v>99</v>
      </c>
      <c r="N413" s="7" t="s">
        <v>1796</v>
      </c>
    </row>
    <row r="414" spans="1:14">
      <c r="A414" s="28">
        <v>396</v>
      </c>
      <c r="B414" s="28" t="s">
        <v>2189</v>
      </c>
      <c r="C414" s="7" t="s">
        <v>1224</v>
      </c>
      <c r="D414" s="7" t="s">
        <v>99</v>
      </c>
      <c r="E414" s="7" t="s">
        <v>99</v>
      </c>
      <c r="F414" s="8">
        <f>INDEX('Rubro por CUI'!$E$5:$E$454,MATCH("001|2681128",'Rubro por CUI'!$N$5:$N$454,0))</f>
        <v>0.0</v>
      </c>
      <c r="G414" s="8">
        <f>INDEX('Rubro por CUI'!$F$5:$F$454,MATCH("001|2681128",'Rubro por CUI'!$N$5:$N$454,0))</f>
        <v>0.0</v>
      </c>
      <c r="H414" s="8">
        <f>INDEX('Rubro por CUI'!$G$5:$G$454,MATCH("001|2681128",'Rubro por CUI'!$N$5:$N$454,0))</f>
        <v>4800.0</v>
      </c>
      <c r="I414" s="8">
        <f>INDEX('Rubro por CUI'!$H$5:$H$454,MATCH("001|2681128",'Rubro por CUI'!$N$5:$N$454,0))</f>
        <v>0.0</v>
      </c>
      <c r="J414" s="8">
        <f>INDEX('Rubro por CUI'!$I$5:$I$454,MATCH("001|2681128",'Rubro por CUI'!$N$5:$N$454,0))</f>
        <v>0.0</v>
      </c>
      <c r="K414" s="8">
        <f>L414-SUM(F414:J414)</f>
        <v>0.0</v>
      </c>
      <c r="L414" s="8">
        <f>SUMIFS(Base!$N$5:$N$504,Base!$A$5:$A$504,"001",Base!$F$5:$F$504,"2681128")</f>
        <v>4800.0</v>
      </c>
      <c r="M414" s="7" t="s">
        <v>99</v>
      </c>
      <c r="N414" s="7" t="s">
        <v>1796</v>
      </c>
    </row>
    <row r="415" spans="1:14">
      <c r="A415" s="28">
        <v>397</v>
      </c>
      <c r="B415" s="28" t="s">
        <v>2190</v>
      </c>
      <c r="C415" s="7" t="s">
        <v>1206</v>
      </c>
      <c r="D415" s="7" t="s">
        <v>99</v>
      </c>
      <c r="E415" s="7" t="s">
        <v>99</v>
      </c>
      <c r="F415" s="8">
        <f>INDEX('Rubro por CUI'!$E$5:$E$454,MATCH("001|2676426",'Rubro por CUI'!$N$5:$N$454,0))</f>
        <v>0.0</v>
      </c>
      <c r="G415" s="8">
        <f>INDEX('Rubro por CUI'!$F$5:$F$454,MATCH("001|2676426",'Rubro por CUI'!$N$5:$N$454,0))</f>
        <v>0.0</v>
      </c>
      <c r="H415" s="8">
        <f>INDEX('Rubro por CUI'!$G$5:$G$454,MATCH("001|2676426",'Rubro por CUI'!$N$5:$N$454,0))</f>
        <v>3546.0</v>
      </c>
      <c r="I415" s="8">
        <f>INDEX('Rubro por CUI'!$H$5:$H$454,MATCH("001|2676426",'Rubro por CUI'!$N$5:$N$454,0))</f>
        <v>0.0</v>
      </c>
      <c r="J415" s="8">
        <f>INDEX('Rubro por CUI'!$I$5:$I$454,MATCH("001|2676426",'Rubro por CUI'!$N$5:$N$454,0))</f>
        <v>0.0</v>
      </c>
      <c r="K415" s="8">
        <f>L415-SUM(F415:J415)</f>
        <v>0.0</v>
      </c>
      <c r="L415" s="8">
        <f>SUMIFS(Base!$N$5:$N$504,Base!$A$5:$A$504,"001",Base!$F$5:$F$504,"2676426")</f>
        <v>3546.0</v>
      </c>
      <c r="M415" s="7" t="s">
        <v>99</v>
      </c>
      <c r="N415" s="7" t="s">
        <v>1796</v>
      </c>
    </row>
    <row r="416" spans="1:14">
      <c r="A416" s="28">
        <v>398</v>
      </c>
      <c r="B416" s="28" t="s">
        <v>2191</v>
      </c>
      <c r="C416" s="7" t="s">
        <v>1236</v>
      </c>
      <c r="D416" s="7" t="s">
        <v>99</v>
      </c>
      <c r="E416" s="7" t="s">
        <v>99</v>
      </c>
      <c r="F416" s="8">
        <f>INDEX('Rubro por CUI'!$E$5:$E$454,MATCH("001|2681276",'Rubro por CUI'!$N$5:$N$454,0))</f>
        <v>0.0</v>
      </c>
      <c r="G416" s="8">
        <f>INDEX('Rubro por CUI'!$F$5:$F$454,MATCH("001|2681276",'Rubro por CUI'!$N$5:$N$454,0))</f>
        <v>0.0</v>
      </c>
      <c r="H416" s="8">
        <f>INDEX('Rubro por CUI'!$G$5:$G$454,MATCH("001|2681276",'Rubro por CUI'!$N$5:$N$454,0))</f>
        <v>3000.0</v>
      </c>
      <c r="I416" s="8">
        <f>INDEX('Rubro por CUI'!$H$5:$H$454,MATCH("001|2681276",'Rubro por CUI'!$N$5:$N$454,0))</f>
        <v>0.0</v>
      </c>
      <c r="J416" s="8">
        <f>INDEX('Rubro por CUI'!$I$5:$I$454,MATCH("001|2681276",'Rubro por CUI'!$N$5:$N$454,0))</f>
        <v>0.0</v>
      </c>
      <c r="K416" s="8">
        <f>L416-SUM(F416:J416)</f>
        <v>0.0</v>
      </c>
      <c r="L416" s="8">
        <f>SUMIFS(Base!$N$5:$N$504,Base!$A$5:$A$504,"001",Base!$F$5:$F$504,"2681276")</f>
        <v>3000.0</v>
      </c>
      <c r="M416" s="7" t="s">
        <v>99</v>
      </c>
      <c r="N416" s="7" t="s">
        <v>1796</v>
      </c>
    </row>
    <row r="417" spans="1:14">
      <c r="A417" s="28">
        <v>399</v>
      </c>
      <c r="B417" s="28" t="s">
        <v>2192</v>
      </c>
      <c r="C417" s="7" t="s">
        <v>1197</v>
      </c>
      <c r="D417" s="7" t="s">
        <v>99</v>
      </c>
      <c r="E417" s="7" t="s">
        <v>99</v>
      </c>
      <c r="F417" s="8">
        <f>INDEX('Rubro por CUI'!$E$5:$E$454,MATCH("001|2676423",'Rubro por CUI'!$N$5:$N$454,0))</f>
        <v>0.0</v>
      </c>
      <c r="G417" s="8">
        <f>INDEX('Rubro por CUI'!$F$5:$F$454,MATCH("001|2676423",'Rubro por CUI'!$N$5:$N$454,0))</f>
        <v>0.0</v>
      </c>
      <c r="H417" s="8">
        <f>INDEX('Rubro por CUI'!$G$5:$G$454,MATCH("001|2676423",'Rubro por CUI'!$N$5:$N$454,0))</f>
        <v>2936.0</v>
      </c>
      <c r="I417" s="8">
        <f>INDEX('Rubro por CUI'!$H$5:$H$454,MATCH("001|2676423",'Rubro por CUI'!$N$5:$N$454,0))</f>
        <v>0.0</v>
      </c>
      <c r="J417" s="8">
        <f>INDEX('Rubro por CUI'!$I$5:$I$454,MATCH("001|2676423",'Rubro por CUI'!$N$5:$N$454,0))</f>
        <v>0.0</v>
      </c>
      <c r="K417" s="8">
        <f>L417-SUM(F417:J417)</f>
        <v>0.0</v>
      </c>
      <c r="L417" s="8">
        <f>SUMIFS(Base!$N$5:$N$504,Base!$A$5:$A$504,"001",Base!$F$5:$F$504,"2676423")</f>
        <v>2936.0</v>
      </c>
      <c r="M417" s="7" t="s">
        <v>99</v>
      </c>
      <c r="N417" s="7" t="s">
        <v>1796</v>
      </c>
    </row>
    <row r="418" spans="1:14">
      <c r="A418" s="28">
        <v>400</v>
      </c>
      <c r="B418" s="28" t="s">
        <v>2193</v>
      </c>
      <c r="C418" s="7" t="s">
        <v>1320</v>
      </c>
      <c r="D418" s="7" t="s">
        <v>99</v>
      </c>
      <c r="E418" s="7" t="s">
        <v>99</v>
      </c>
      <c r="F418" s="8">
        <f>INDEX('Rubro por CUI'!$E$5:$E$454,MATCH("001|2681133",'Rubro por CUI'!$N$5:$N$454,0))</f>
        <v>0.0</v>
      </c>
      <c r="G418" s="8">
        <f>INDEX('Rubro por CUI'!$F$5:$F$454,MATCH("001|2681133",'Rubro por CUI'!$N$5:$N$454,0))</f>
        <v>0.0</v>
      </c>
      <c r="H418" s="8">
        <f>INDEX('Rubro por CUI'!$G$5:$G$454,MATCH("001|2681133",'Rubro por CUI'!$N$5:$N$454,0))</f>
        <v>2795.0</v>
      </c>
      <c r="I418" s="8">
        <f>INDEX('Rubro por CUI'!$H$5:$H$454,MATCH("001|2681133",'Rubro por CUI'!$N$5:$N$454,0))</f>
        <v>0.0</v>
      </c>
      <c r="J418" s="8">
        <f>INDEX('Rubro por CUI'!$I$5:$I$454,MATCH("001|2681133",'Rubro por CUI'!$N$5:$N$454,0))</f>
        <v>0.0</v>
      </c>
      <c r="K418" s="8">
        <f>L418-SUM(F418:J418)</f>
        <v>0.0</v>
      </c>
      <c r="L418" s="8">
        <f>SUMIFS(Base!$N$5:$N$504,Base!$A$5:$A$504,"001",Base!$F$5:$F$504,"2681133")</f>
        <v>2795.0</v>
      </c>
      <c r="M418" s="7" t="s">
        <v>99</v>
      </c>
      <c r="N418" s="7" t="s">
        <v>1796</v>
      </c>
    </row>
    <row r="419" spans="1:14">
      <c r="A419" s="28">
        <v>401</v>
      </c>
      <c r="B419" s="28" t="s">
        <v>2194</v>
      </c>
      <c r="C419" s="7" t="s">
        <v>1209</v>
      </c>
      <c r="D419" s="7" t="s">
        <v>99</v>
      </c>
      <c r="E419" s="7" t="s">
        <v>99</v>
      </c>
      <c r="F419" s="8">
        <f>INDEX('Rubro por CUI'!$E$5:$E$454,MATCH("001|2676427",'Rubro por CUI'!$N$5:$N$454,0))</f>
        <v>0.0</v>
      </c>
      <c r="G419" s="8">
        <f>INDEX('Rubro por CUI'!$F$5:$F$454,MATCH("001|2676427",'Rubro por CUI'!$N$5:$N$454,0))</f>
        <v>0.0</v>
      </c>
      <c r="H419" s="8">
        <f>INDEX('Rubro por CUI'!$G$5:$G$454,MATCH("001|2676427",'Rubro por CUI'!$N$5:$N$454,0))</f>
        <v>2555.0</v>
      </c>
      <c r="I419" s="8">
        <f>INDEX('Rubro por CUI'!$H$5:$H$454,MATCH("001|2676427",'Rubro por CUI'!$N$5:$N$454,0))</f>
        <v>0.0</v>
      </c>
      <c r="J419" s="8">
        <f>INDEX('Rubro por CUI'!$I$5:$I$454,MATCH("001|2676427",'Rubro por CUI'!$N$5:$N$454,0))</f>
        <v>0.0</v>
      </c>
      <c r="K419" s="8">
        <f>L419-SUM(F419:J419)</f>
        <v>0.0</v>
      </c>
      <c r="L419" s="8">
        <f>SUMIFS(Base!$N$5:$N$504,Base!$A$5:$A$504,"001",Base!$F$5:$F$504,"2676427")</f>
        <v>2555.0</v>
      </c>
      <c r="M419" s="7" t="s">
        <v>99</v>
      </c>
      <c r="N419" s="7" t="s">
        <v>1796</v>
      </c>
    </row>
    <row r="420" spans="1:14">
      <c r="A420" s="25" t="s">
        <v>1321</v>
      </c>
      <c r="B420" s="25"/>
      <c r="C420" s="25"/>
      <c r="D420" s="26">
        <f>SUM(D421:D424)</f>
        <v>0</v>
      </c>
      <c r="E420" s="26">
        <f>SUM(E421:E424)</f>
        <v>0</v>
      </c>
      <c r="F420" s="26">
        <f>SUM(F421:F424)</f>
        <v>0.0</v>
      </c>
      <c r="G420" s="26">
        <f>SUM(G421:G424)</f>
        <v>0.0</v>
      </c>
      <c r="H420" s="26">
        <f>SUM(H421:H424)</f>
        <v>1054126.0</v>
      </c>
      <c r="I420" s="26">
        <f>SUM(I421:I424)</f>
        <v>0.0</v>
      </c>
      <c r="J420" s="26">
        <f>SUM(J421:J424)</f>
        <v>0.0</v>
      </c>
      <c r="K420" s="26">
        <f>SUM(K421:K424)</f>
        <v>0.0</v>
      </c>
      <c r="L420" s="26">
        <f>SUM(L421:L424)</f>
        <v>1054126.0</v>
      </c>
      <c r="M420" s="26">
        <f>SUM(M421:M424)</f>
        <v>0</v>
      </c>
      <c r="N420" s="25"/>
    </row>
    <row r="421" spans="1:14">
      <c r="A421" s="28">
        <v>402</v>
      </c>
      <c r="B421" s="28" t="s">
        <v>2195</v>
      </c>
      <c r="C421" s="7" t="s">
        <v>1330</v>
      </c>
      <c r="D421" s="7" t="s">
        <v>99</v>
      </c>
      <c r="E421" s="7" t="s">
        <v>99</v>
      </c>
      <c r="F421" s="8">
        <f>INDEX('Rubro por CUI'!$E$5:$E$454,MATCH("001|2717185",'Rubro por CUI'!$N$5:$N$454,0))</f>
        <v>0.0</v>
      </c>
      <c r="G421" s="8">
        <f>INDEX('Rubro por CUI'!$F$5:$F$454,MATCH("001|2717185",'Rubro por CUI'!$N$5:$N$454,0))</f>
        <v>0.0</v>
      </c>
      <c r="H421" s="8">
        <f>INDEX('Rubro por CUI'!$G$5:$G$454,MATCH("001|2717185",'Rubro por CUI'!$N$5:$N$454,0))</f>
        <v>349792.0</v>
      </c>
      <c r="I421" s="8">
        <f>INDEX('Rubro por CUI'!$H$5:$H$454,MATCH("001|2717185",'Rubro por CUI'!$N$5:$N$454,0))</f>
        <v>0.0</v>
      </c>
      <c r="J421" s="8">
        <f>INDEX('Rubro por CUI'!$I$5:$I$454,MATCH("001|2717185",'Rubro por CUI'!$N$5:$N$454,0))</f>
        <v>0.0</v>
      </c>
      <c r="K421" s="8">
        <f>L421-SUM(F421:J421)</f>
        <v>0.0</v>
      </c>
      <c r="L421" s="8">
        <f>SUMIFS(Base!$N$5:$N$504,Base!$A$5:$A$504,"001",Base!$F$5:$F$504,"2717185")</f>
        <v>349792.0</v>
      </c>
      <c r="M421" s="7" t="s">
        <v>99</v>
      </c>
      <c r="N421" s="7" t="s">
        <v>1796</v>
      </c>
    </row>
    <row r="422" spans="1:14">
      <c r="A422" s="28">
        <v>403</v>
      </c>
      <c r="B422" s="28" t="s">
        <v>2196</v>
      </c>
      <c r="C422" s="7" t="s">
        <v>1333</v>
      </c>
      <c r="D422" s="7" t="s">
        <v>99</v>
      </c>
      <c r="E422" s="7" t="s">
        <v>99</v>
      </c>
      <c r="F422" s="8">
        <f>INDEX('Rubro por CUI'!$E$5:$E$454,MATCH("001|2723300",'Rubro por CUI'!$N$5:$N$454,0))</f>
        <v>0.0</v>
      </c>
      <c r="G422" s="8">
        <f>INDEX('Rubro por CUI'!$F$5:$F$454,MATCH("001|2723300",'Rubro por CUI'!$N$5:$N$454,0))</f>
        <v>0.0</v>
      </c>
      <c r="H422" s="8">
        <f>INDEX('Rubro por CUI'!$G$5:$G$454,MATCH("001|2723300",'Rubro por CUI'!$N$5:$N$454,0))</f>
        <v>349668.0</v>
      </c>
      <c r="I422" s="8">
        <f>INDEX('Rubro por CUI'!$H$5:$H$454,MATCH("001|2723300",'Rubro por CUI'!$N$5:$N$454,0))</f>
        <v>0.0</v>
      </c>
      <c r="J422" s="8">
        <f>INDEX('Rubro por CUI'!$I$5:$I$454,MATCH("001|2723300",'Rubro por CUI'!$N$5:$N$454,0))</f>
        <v>0.0</v>
      </c>
      <c r="K422" s="8">
        <f>L422-SUM(F422:J422)</f>
        <v>0.0</v>
      </c>
      <c r="L422" s="8">
        <f>SUMIFS(Base!$N$5:$N$504,Base!$A$5:$A$504,"001",Base!$F$5:$F$504,"2723300")</f>
        <v>349668.0</v>
      </c>
      <c r="M422" s="7" t="s">
        <v>99</v>
      </c>
      <c r="N422" s="7" t="s">
        <v>1796</v>
      </c>
    </row>
    <row r="423" spans="1:14">
      <c r="A423" s="28">
        <v>404</v>
      </c>
      <c r="B423" s="28" t="s">
        <v>2197</v>
      </c>
      <c r="C423" s="7" t="s">
        <v>1324</v>
      </c>
      <c r="D423" s="7" t="s">
        <v>99</v>
      </c>
      <c r="E423" s="7" t="s">
        <v>99</v>
      </c>
      <c r="F423" s="8">
        <f>INDEX('Rubro por CUI'!$E$5:$E$454,MATCH("001|2681278",'Rubro por CUI'!$N$5:$N$454,0))</f>
        <v>0.0</v>
      </c>
      <c r="G423" s="8">
        <f>INDEX('Rubro por CUI'!$F$5:$F$454,MATCH("001|2681278",'Rubro por CUI'!$N$5:$N$454,0))</f>
        <v>0.0</v>
      </c>
      <c r="H423" s="8">
        <f>INDEX('Rubro por CUI'!$G$5:$G$454,MATCH("001|2681278",'Rubro por CUI'!$N$5:$N$454,0))</f>
        <v>179500.0</v>
      </c>
      <c r="I423" s="8">
        <f>INDEX('Rubro por CUI'!$H$5:$H$454,MATCH("001|2681278",'Rubro por CUI'!$N$5:$N$454,0))</f>
        <v>0.0</v>
      </c>
      <c r="J423" s="8">
        <f>INDEX('Rubro por CUI'!$I$5:$I$454,MATCH("001|2681278",'Rubro por CUI'!$N$5:$N$454,0))</f>
        <v>0.0</v>
      </c>
      <c r="K423" s="8">
        <f>L423-SUM(F423:J423)</f>
        <v>0.0</v>
      </c>
      <c r="L423" s="8">
        <f>SUMIFS(Base!$N$5:$N$504,Base!$A$5:$A$504,"001",Base!$F$5:$F$504,"2681278")</f>
        <v>179500.0</v>
      </c>
      <c r="M423" s="7" t="s">
        <v>99</v>
      </c>
      <c r="N423" s="7" t="s">
        <v>1796</v>
      </c>
    </row>
    <row r="424" spans="1:14">
      <c r="A424" s="28">
        <v>405</v>
      </c>
      <c r="B424" s="28" t="s">
        <v>2198</v>
      </c>
      <c r="C424" s="7" t="s">
        <v>1327</v>
      </c>
      <c r="D424" s="7" t="s">
        <v>99</v>
      </c>
      <c r="E424" s="7" t="s">
        <v>99</v>
      </c>
      <c r="F424" s="8">
        <f>INDEX('Rubro por CUI'!$E$5:$E$454,MATCH("001|2681123",'Rubro por CUI'!$N$5:$N$454,0))</f>
        <v>0.0</v>
      </c>
      <c r="G424" s="8">
        <f>INDEX('Rubro por CUI'!$F$5:$F$454,MATCH("001|2681123",'Rubro por CUI'!$N$5:$N$454,0))</f>
        <v>0.0</v>
      </c>
      <c r="H424" s="8">
        <f>INDEX('Rubro por CUI'!$G$5:$G$454,MATCH("001|2681123",'Rubro por CUI'!$N$5:$N$454,0))</f>
        <v>175166.0</v>
      </c>
      <c r="I424" s="8">
        <f>INDEX('Rubro por CUI'!$H$5:$H$454,MATCH("001|2681123",'Rubro por CUI'!$N$5:$N$454,0))</f>
        <v>0.0</v>
      </c>
      <c r="J424" s="8">
        <f>INDEX('Rubro por CUI'!$I$5:$I$454,MATCH("001|2681123",'Rubro por CUI'!$N$5:$N$454,0))</f>
        <v>0.0</v>
      </c>
      <c r="K424" s="8">
        <f>L424-SUM(F424:J424)</f>
        <v>0.0</v>
      </c>
      <c r="L424" s="8">
        <f>SUMIFS(Base!$N$5:$N$504,Base!$A$5:$A$504,"001",Base!$F$5:$F$504,"2681123")</f>
        <v>175166.0</v>
      </c>
      <c r="M424" s="7" t="s">
        <v>99</v>
      </c>
      <c r="N424" s="7" t="s">
        <v>1796</v>
      </c>
    </row>
    <row r="425" spans="1:14">
      <c r="A425" s="25" t="s">
        <v>1334</v>
      </c>
      <c r="B425" s="25"/>
      <c r="C425" s="25"/>
      <c r="D425" s="26">
        <f>SUM(D426:D432)</f>
        <v>0</v>
      </c>
      <c r="E425" s="26">
        <f>SUM(E426:E432)</f>
        <v>0</v>
      </c>
      <c r="F425" s="26">
        <f>SUM(F426:F432)</f>
        <v>0.0</v>
      </c>
      <c r="G425" s="26">
        <f>SUM(G426:G432)</f>
        <v>0.0</v>
      </c>
      <c r="H425" s="26">
        <f>SUM(H426:H432)</f>
        <v>1308816.0</v>
      </c>
      <c r="I425" s="26">
        <f>SUM(I426:I432)</f>
        <v>0.0</v>
      </c>
      <c r="J425" s="26">
        <f>SUM(J426:J432)</f>
        <v>0.0</v>
      </c>
      <c r="K425" s="26">
        <f>SUM(K426:K432)</f>
        <v>0.0</v>
      </c>
      <c r="L425" s="26">
        <f>SUM(L426:L432)</f>
        <v>1308816.0</v>
      </c>
      <c r="M425" s="26">
        <f>SUM(M426:M432)</f>
        <v>0</v>
      </c>
      <c r="N425" s="25"/>
    </row>
    <row r="426" spans="1:14">
      <c r="A426" s="28">
        <v>406</v>
      </c>
      <c r="B426" s="28" t="s">
        <v>2199</v>
      </c>
      <c r="C426" s="7" t="s">
        <v>1355</v>
      </c>
      <c r="D426" s="7" t="s">
        <v>99</v>
      </c>
      <c r="E426" s="7" t="s">
        <v>99</v>
      </c>
      <c r="F426" s="8">
        <f>INDEX('Rubro por CUI'!$E$5:$E$454,MATCH("001|2723299",'Rubro por CUI'!$N$5:$N$454,0))</f>
        <v>0.0</v>
      </c>
      <c r="G426" s="8">
        <f>INDEX('Rubro por CUI'!$F$5:$F$454,MATCH("001|2723299",'Rubro por CUI'!$N$5:$N$454,0))</f>
        <v>0.0</v>
      </c>
      <c r="H426" s="8">
        <f>INDEX('Rubro por CUI'!$G$5:$G$454,MATCH("001|2723299",'Rubro por CUI'!$N$5:$N$454,0))</f>
        <v>350000.0</v>
      </c>
      <c r="I426" s="8">
        <f>INDEX('Rubro por CUI'!$H$5:$H$454,MATCH("001|2723299",'Rubro por CUI'!$N$5:$N$454,0))</f>
        <v>0.0</v>
      </c>
      <c r="J426" s="8">
        <f>INDEX('Rubro por CUI'!$I$5:$I$454,MATCH("001|2723299",'Rubro por CUI'!$N$5:$N$454,0))</f>
        <v>0.0</v>
      </c>
      <c r="K426" s="8">
        <f>L426-SUM(F426:J426)</f>
        <v>0.0</v>
      </c>
      <c r="L426" s="8">
        <f>SUMIFS(Base!$N$5:$N$504,Base!$A$5:$A$504,"001",Base!$F$5:$F$504,"2723299")</f>
        <v>350000.0</v>
      </c>
      <c r="M426" s="7" t="s">
        <v>99</v>
      </c>
      <c r="N426" s="7" t="s">
        <v>1796</v>
      </c>
    </row>
    <row r="427" spans="1:14">
      <c r="A427" s="28">
        <v>407</v>
      </c>
      <c r="B427" s="28" t="s">
        <v>2200</v>
      </c>
      <c r="C427" s="7" t="s">
        <v>1340</v>
      </c>
      <c r="D427" s="7" t="s">
        <v>99</v>
      </c>
      <c r="E427" s="7" t="s">
        <v>99</v>
      </c>
      <c r="F427" s="8">
        <f>INDEX('Rubro por CUI'!$E$5:$E$454,MATCH("001|2681274",'Rubro por CUI'!$N$5:$N$454,0))</f>
        <v>0.0</v>
      </c>
      <c r="G427" s="8">
        <f>INDEX('Rubro por CUI'!$F$5:$F$454,MATCH("001|2681274",'Rubro por CUI'!$N$5:$N$454,0))</f>
        <v>0.0</v>
      </c>
      <c r="H427" s="8">
        <f>INDEX('Rubro por CUI'!$G$5:$G$454,MATCH("001|2681274",'Rubro por CUI'!$N$5:$N$454,0))</f>
        <v>335890.0</v>
      </c>
      <c r="I427" s="8">
        <f>INDEX('Rubro por CUI'!$H$5:$H$454,MATCH("001|2681274",'Rubro por CUI'!$N$5:$N$454,0))</f>
        <v>0.0</v>
      </c>
      <c r="J427" s="8">
        <f>INDEX('Rubro por CUI'!$I$5:$I$454,MATCH("001|2681274",'Rubro por CUI'!$N$5:$N$454,0))</f>
        <v>0.0</v>
      </c>
      <c r="K427" s="8">
        <f>L427-SUM(F427:J427)</f>
        <v>0.0</v>
      </c>
      <c r="L427" s="8">
        <f>SUMIFS(Base!$N$5:$N$504,Base!$A$5:$A$504,"001",Base!$F$5:$F$504,"2681274")</f>
        <v>335890.0</v>
      </c>
      <c r="M427" s="7" t="s">
        <v>99</v>
      </c>
      <c r="N427" s="7" t="s">
        <v>1796</v>
      </c>
    </row>
    <row r="428" spans="1:14">
      <c r="A428" s="28">
        <v>408</v>
      </c>
      <c r="B428" s="28" t="s">
        <v>2201</v>
      </c>
      <c r="C428" s="7" t="s">
        <v>1349</v>
      </c>
      <c r="D428" s="7" t="s">
        <v>99</v>
      </c>
      <c r="E428" s="7" t="s">
        <v>99</v>
      </c>
      <c r="F428" s="8">
        <f>INDEX('Rubro por CUI'!$E$5:$E$454,MATCH("001|2723295",'Rubro por CUI'!$N$5:$N$454,0))</f>
        <v>0.0</v>
      </c>
      <c r="G428" s="8">
        <f>INDEX('Rubro por CUI'!$F$5:$F$454,MATCH("001|2723295",'Rubro por CUI'!$N$5:$N$454,0))</f>
        <v>0.0</v>
      </c>
      <c r="H428" s="8">
        <f>INDEX('Rubro por CUI'!$G$5:$G$454,MATCH("001|2723295",'Rubro por CUI'!$N$5:$N$454,0))</f>
        <v>160000.0</v>
      </c>
      <c r="I428" s="8">
        <f>INDEX('Rubro por CUI'!$H$5:$H$454,MATCH("001|2723295",'Rubro por CUI'!$N$5:$N$454,0))</f>
        <v>0.0</v>
      </c>
      <c r="J428" s="8">
        <f>INDEX('Rubro por CUI'!$I$5:$I$454,MATCH("001|2723295",'Rubro por CUI'!$N$5:$N$454,0))</f>
        <v>0.0</v>
      </c>
      <c r="K428" s="8">
        <f>L428-SUM(F428:J428)</f>
        <v>0.0</v>
      </c>
      <c r="L428" s="8">
        <f>SUMIFS(Base!$N$5:$N$504,Base!$A$5:$A$504,"001",Base!$F$5:$F$504,"2723295")</f>
        <v>160000.0</v>
      </c>
      <c r="M428" s="7" t="s">
        <v>99</v>
      </c>
      <c r="N428" s="7" t="s">
        <v>1796</v>
      </c>
    </row>
    <row r="429" spans="1:14">
      <c r="A429" s="28">
        <v>409</v>
      </c>
      <c r="B429" s="28" t="s">
        <v>2202</v>
      </c>
      <c r="C429" s="7" t="s">
        <v>1346</v>
      </c>
      <c r="D429" s="7" t="s">
        <v>99</v>
      </c>
      <c r="E429" s="7" t="s">
        <v>99</v>
      </c>
      <c r="F429" s="8">
        <f>INDEX('Rubro por CUI'!$E$5:$E$454,MATCH("001|2717150",'Rubro por CUI'!$N$5:$N$454,0))</f>
        <v>0.0</v>
      </c>
      <c r="G429" s="8">
        <f>INDEX('Rubro por CUI'!$F$5:$F$454,MATCH("001|2717150",'Rubro por CUI'!$N$5:$N$454,0))</f>
        <v>0.0</v>
      </c>
      <c r="H429" s="8">
        <f>INDEX('Rubro por CUI'!$G$5:$G$454,MATCH("001|2717150",'Rubro por CUI'!$N$5:$N$454,0))</f>
        <v>159345.0</v>
      </c>
      <c r="I429" s="8">
        <f>INDEX('Rubro por CUI'!$H$5:$H$454,MATCH("001|2717150",'Rubro por CUI'!$N$5:$N$454,0))</f>
        <v>0.0</v>
      </c>
      <c r="J429" s="8">
        <f>INDEX('Rubro por CUI'!$I$5:$I$454,MATCH("001|2717150",'Rubro por CUI'!$N$5:$N$454,0))</f>
        <v>0.0</v>
      </c>
      <c r="K429" s="8">
        <f>L429-SUM(F429:J429)</f>
        <v>0.0</v>
      </c>
      <c r="L429" s="8">
        <f>SUMIFS(Base!$N$5:$N$504,Base!$A$5:$A$504,"001",Base!$F$5:$F$504,"2717150")</f>
        <v>159345.0</v>
      </c>
      <c r="M429" s="7" t="s">
        <v>99</v>
      </c>
      <c r="N429" s="7" t="s">
        <v>1796</v>
      </c>
    </row>
    <row r="430" spans="1:14">
      <c r="A430" s="28">
        <v>410</v>
      </c>
      <c r="B430" s="28" t="s">
        <v>2203</v>
      </c>
      <c r="C430" s="7" t="s">
        <v>1343</v>
      </c>
      <c r="D430" s="7" t="s">
        <v>99</v>
      </c>
      <c r="E430" s="7" t="s">
        <v>99</v>
      </c>
      <c r="F430" s="8">
        <f>INDEX('Rubro por CUI'!$E$5:$E$454,MATCH("001|2681130",'Rubro por CUI'!$N$5:$N$454,0))</f>
        <v>0.0</v>
      </c>
      <c r="G430" s="8">
        <f>INDEX('Rubro por CUI'!$F$5:$F$454,MATCH("001|2681130",'Rubro por CUI'!$N$5:$N$454,0))</f>
        <v>0.0</v>
      </c>
      <c r="H430" s="8">
        <f>INDEX('Rubro por CUI'!$G$5:$G$454,MATCH("001|2681130",'Rubro por CUI'!$N$5:$N$454,0))</f>
        <v>157066.0</v>
      </c>
      <c r="I430" s="8">
        <f>INDEX('Rubro por CUI'!$H$5:$H$454,MATCH("001|2681130",'Rubro por CUI'!$N$5:$N$454,0))</f>
        <v>0.0</v>
      </c>
      <c r="J430" s="8">
        <f>INDEX('Rubro por CUI'!$I$5:$I$454,MATCH("001|2681130",'Rubro por CUI'!$N$5:$N$454,0))</f>
        <v>0.0</v>
      </c>
      <c r="K430" s="8">
        <f>L430-SUM(F430:J430)</f>
        <v>0.0</v>
      </c>
      <c r="L430" s="8">
        <f>SUMIFS(Base!$N$5:$N$504,Base!$A$5:$A$504,"001",Base!$F$5:$F$504,"2681130")</f>
        <v>157066.0</v>
      </c>
      <c r="M430" s="7" t="s">
        <v>99</v>
      </c>
      <c r="N430" s="7" t="s">
        <v>1796</v>
      </c>
    </row>
    <row r="431" spans="1:14">
      <c r="A431" s="28">
        <v>411</v>
      </c>
      <c r="B431" s="28" t="s">
        <v>2204</v>
      </c>
      <c r="C431" s="7" t="s">
        <v>1352</v>
      </c>
      <c r="D431" s="7" t="s">
        <v>99</v>
      </c>
      <c r="E431" s="7" t="s">
        <v>99</v>
      </c>
      <c r="F431" s="8">
        <f>INDEX('Rubro por CUI'!$E$5:$E$454,MATCH("001|2723301",'Rubro por CUI'!$N$5:$N$454,0))</f>
        <v>0.0</v>
      </c>
      <c r="G431" s="8">
        <f>INDEX('Rubro por CUI'!$F$5:$F$454,MATCH("001|2723301",'Rubro por CUI'!$N$5:$N$454,0))</f>
        <v>0.0</v>
      </c>
      <c r="H431" s="8">
        <f>INDEX('Rubro por CUI'!$G$5:$G$454,MATCH("001|2723301",'Rubro por CUI'!$N$5:$N$454,0))</f>
        <v>141150.0</v>
      </c>
      <c r="I431" s="8">
        <f>INDEX('Rubro por CUI'!$H$5:$H$454,MATCH("001|2723301",'Rubro por CUI'!$N$5:$N$454,0))</f>
        <v>0.0</v>
      </c>
      <c r="J431" s="8">
        <f>INDEX('Rubro por CUI'!$I$5:$I$454,MATCH("001|2723301",'Rubro por CUI'!$N$5:$N$454,0))</f>
        <v>0.0</v>
      </c>
      <c r="K431" s="8">
        <f>L431-SUM(F431:J431)</f>
        <v>0.0</v>
      </c>
      <c r="L431" s="8">
        <f>SUMIFS(Base!$N$5:$N$504,Base!$A$5:$A$504,"001",Base!$F$5:$F$504,"2723301")</f>
        <v>141150.0</v>
      </c>
      <c r="M431" s="7" t="s">
        <v>99</v>
      </c>
      <c r="N431" s="7" t="s">
        <v>1796</v>
      </c>
    </row>
    <row r="432" spans="1:14">
      <c r="A432" s="28">
        <v>412</v>
      </c>
      <c r="B432" s="28" t="s">
        <v>2205</v>
      </c>
      <c r="C432" s="7" t="s">
        <v>1337</v>
      </c>
      <c r="D432" s="7" t="s">
        <v>99</v>
      </c>
      <c r="E432" s="7" t="s">
        <v>99</v>
      </c>
      <c r="F432" s="8">
        <f>INDEX('Rubro por CUI'!$E$5:$E$454,MATCH("001|2676422",'Rubro por CUI'!$N$5:$N$454,0))</f>
        <v>0.0</v>
      </c>
      <c r="G432" s="8">
        <f>INDEX('Rubro por CUI'!$F$5:$F$454,MATCH("001|2676422",'Rubro por CUI'!$N$5:$N$454,0))</f>
        <v>0.0</v>
      </c>
      <c r="H432" s="8">
        <f>INDEX('Rubro por CUI'!$G$5:$G$454,MATCH("001|2676422",'Rubro por CUI'!$N$5:$N$454,0))</f>
        <v>5365.0</v>
      </c>
      <c r="I432" s="8">
        <f>INDEX('Rubro por CUI'!$H$5:$H$454,MATCH("001|2676422",'Rubro por CUI'!$N$5:$N$454,0))</f>
        <v>0.0</v>
      </c>
      <c r="J432" s="8">
        <f>INDEX('Rubro por CUI'!$I$5:$I$454,MATCH("001|2676422",'Rubro por CUI'!$N$5:$N$454,0))</f>
        <v>0.0</v>
      </c>
      <c r="K432" s="8">
        <f>L432-SUM(F432:J432)</f>
        <v>0.0</v>
      </c>
      <c r="L432" s="8">
        <f>SUMIFS(Base!$N$5:$N$504,Base!$A$5:$A$504,"001",Base!$F$5:$F$504,"2676422")</f>
        <v>5365.0</v>
      </c>
      <c r="M432" s="7" t="s">
        <v>99</v>
      </c>
      <c r="N432" s="7" t="s">
        <v>1796</v>
      </c>
    </row>
    <row r="433" spans="1:14">
      <c r="A433" s="25" t="s">
        <v>1357</v>
      </c>
      <c r="B433" s="25"/>
      <c r="C433" s="25"/>
      <c r="D433" s="26">
        <f>SUM(D434:D438)</f>
        <v>136804522.0</v>
      </c>
      <c r="E433" s="26">
        <f>SUM(E434:E438)</f>
        <v>62832577.0</v>
      </c>
      <c r="F433" s="26">
        <f>SUM(F434:F438)</f>
        <v>0.0</v>
      </c>
      <c r="G433" s="26">
        <f>SUM(G434:G438)</f>
        <v>1644205.0</v>
      </c>
      <c r="H433" s="26">
        <f>SUM(H434:H438)</f>
        <v>22351702.0</v>
      </c>
      <c r="I433" s="26">
        <f>SUM(I434:I438)</f>
        <v>4061056.0</v>
      </c>
      <c r="J433" s="26">
        <f>SUM(J434:J438)</f>
        <v>0.0</v>
      </c>
      <c r="K433" s="26">
        <f>SUM(K434:K438)</f>
        <v>0.0</v>
      </c>
      <c r="L433" s="26">
        <f>SUM(L434:L438)</f>
        <v>28056963.0</v>
      </c>
      <c r="M433" s="26">
        <f>SUM(M434:M438)</f>
        <v>45914982.0</v>
      </c>
      <c r="N433" s="25"/>
    </row>
    <row r="434" spans="1:14">
      <c r="A434" s="28">
        <v>413</v>
      </c>
      <c r="B434" s="28" t="s">
        <v>2206</v>
      </c>
      <c r="C434" s="7" t="s">
        <v>1360</v>
      </c>
      <c r="D434" s="33">
        <v>81396012</v>
      </c>
      <c r="E434" s="33">
        <v>52820272</v>
      </c>
      <c r="F434" s="8">
        <f>INDEX('Rubro por CUI'!$E$5:$E$454,MATCH("001|2183634",'Rubro por CUI'!$N$5:$N$454,0))</f>
        <v>0.0</v>
      </c>
      <c r="G434" s="8">
        <f>INDEX('Rubro por CUI'!$F$5:$F$454,MATCH("001|2183634",'Rubro por CUI'!$N$5:$N$454,0))</f>
        <v>0.0</v>
      </c>
      <c r="H434" s="8">
        <f>INDEX('Rubro por CUI'!$G$5:$G$454,MATCH("001|2183634",'Rubro por CUI'!$N$5:$N$454,0))</f>
        <v>10918999.0</v>
      </c>
      <c r="I434" s="8">
        <f>INDEX('Rubro por CUI'!$H$5:$H$454,MATCH("001|2183634",'Rubro por CUI'!$N$5:$N$454,0))</f>
        <v>0.0</v>
      </c>
      <c r="J434" s="8">
        <f>INDEX('Rubro por CUI'!$I$5:$I$454,MATCH("001|2183634",'Rubro por CUI'!$N$5:$N$454,0))</f>
        <v>0.0</v>
      </c>
      <c r="K434" s="8">
        <f>L434-SUM(F434:J434)</f>
        <v>0.0</v>
      </c>
      <c r="L434" s="8">
        <f>SUMIFS(Base!$N$5:$N$504,Base!$A$5:$A$504,"001",Base!$F$5:$F$504,"2183634")</f>
        <v>10918999.0</v>
      </c>
      <c r="M434" s="8">
        <f>D434-E434-L434</f>
        <v>17656741.0</v>
      </c>
      <c r="N434" s="7" t="s">
        <v>89</v>
      </c>
    </row>
    <row r="435" spans="1:14">
      <c r="A435" s="28">
        <v>414</v>
      </c>
      <c r="B435" s="28" t="s">
        <v>2207</v>
      </c>
      <c r="C435" s="7" t="s">
        <v>1560</v>
      </c>
      <c r="D435" s="33">
        <v>7229146</v>
      </c>
      <c r="E435" s="33">
        <v>224693</v>
      </c>
      <c r="F435" s="8">
        <f>INDEX('Rubro por CUI'!$E$5:$E$454,MATCH("001|2683535",'Rubro por CUI'!$N$5:$N$454,0))</f>
        <v>0.0</v>
      </c>
      <c r="G435" s="8">
        <f>INDEX('Rubro por CUI'!$F$5:$F$454,MATCH("001|2683535",'Rubro por CUI'!$N$5:$N$454,0))</f>
        <v>0.0</v>
      </c>
      <c r="H435" s="8">
        <f>INDEX('Rubro por CUI'!$G$5:$G$454,MATCH("001|2683535",'Rubro por CUI'!$N$5:$N$454,0))</f>
        <v>2593837.0</v>
      </c>
      <c r="I435" s="8">
        <f>INDEX('Rubro por CUI'!$H$5:$H$454,MATCH("001|2683535",'Rubro por CUI'!$N$5:$N$454,0))</f>
        <v>4061056.0</v>
      </c>
      <c r="J435" s="8">
        <f>INDEX('Rubro por CUI'!$I$5:$I$454,MATCH("001|2683535",'Rubro por CUI'!$N$5:$N$454,0))</f>
        <v>0.0</v>
      </c>
      <c r="K435" s="8">
        <f>L435-SUM(F435:J435)</f>
        <v>0.0</v>
      </c>
      <c r="L435" s="8">
        <f>SUMIFS(Base!$N$5:$N$504,Base!$A$5:$A$504,"001",Base!$F$5:$F$504,"2683535")</f>
        <v>6654893.0</v>
      </c>
      <c r="M435" s="8">
        <f>D435-E435-L435</f>
        <v>349560.0</v>
      </c>
      <c r="N435" s="7" t="s">
        <v>89</v>
      </c>
    </row>
    <row r="436" spans="1:14">
      <c r="A436" s="28">
        <v>415</v>
      </c>
      <c r="B436" s="28" t="s">
        <v>2208</v>
      </c>
      <c r="C436" s="7" t="s">
        <v>1563</v>
      </c>
      <c r="D436" s="33">
        <v>25395890</v>
      </c>
      <c r="E436" s="33">
        <v>29746</v>
      </c>
      <c r="F436" s="8">
        <f>INDEX('Rubro por CUI'!$E$5:$E$454,MATCH("001|2685431",'Rubro por CUI'!$N$5:$N$454,0))</f>
        <v>0.0</v>
      </c>
      <c r="G436" s="8">
        <f>INDEX('Rubro por CUI'!$F$5:$F$454,MATCH("001|2685431",'Rubro por CUI'!$N$5:$N$454,0))</f>
        <v>180000.0</v>
      </c>
      <c r="H436" s="8">
        <f>INDEX('Rubro por CUI'!$G$5:$G$454,MATCH("001|2685431",'Rubro por CUI'!$N$5:$N$454,0))</f>
        <v>5101360.0</v>
      </c>
      <c r="I436" s="8">
        <f>INDEX('Rubro por CUI'!$H$5:$H$454,MATCH("001|2685431",'Rubro por CUI'!$N$5:$N$454,0))</f>
        <v>0.0</v>
      </c>
      <c r="J436" s="8">
        <f>INDEX('Rubro por CUI'!$I$5:$I$454,MATCH("001|2685431",'Rubro por CUI'!$N$5:$N$454,0))</f>
        <v>0.0</v>
      </c>
      <c r="K436" s="8">
        <f>L436-SUM(F436:J436)</f>
        <v>0.0</v>
      </c>
      <c r="L436" s="8">
        <f>SUMIFS(Base!$N$5:$N$504,Base!$A$5:$A$504,"001",Base!$F$5:$F$504,"2685431")</f>
        <v>5281360.0</v>
      </c>
      <c r="M436" s="8">
        <f>D436-E436-L436</f>
        <v>20084784.0</v>
      </c>
      <c r="N436" s="7" t="s">
        <v>89</v>
      </c>
    </row>
    <row r="437" spans="1:14">
      <c r="A437" s="28">
        <v>416</v>
      </c>
      <c r="B437" s="28" t="s">
        <v>2209</v>
      </c>
      <c r="C437" s="7" t="s">
        <v>1368</v>
      </c>
      <c r="D437" s="33">
        <v>14825623</v>
      </c>
      <c r="E437" s="33">
        <v>9522425</v>
      </c>
      <c r="F437" s="8">
        <f>INDEX('Rubro por CUI'!$E$5:$E$454,MATCH("001|2520451",'Rubro por CUI'!$N$5:$N$454,0))</f>
        <v>0.0</v>
      </c>
      <c r="G437" s="8">
        <f>INDEX('Rubro por CUI'!$F$5:$F$454,MATCH("001|2520451",'Rubro por CUI'!$N$5:$N$454,0))</f>
        <v>1464205.0</v>
      </c>
      <c r="H437" s="8">
        <f>INDEX('Rubro por CUI'!$G$5:$G$454,MATCH("001|2520451",'Rubro por CUI'!$N$5:$N$454,0))</f>
        <v>3717848.0</v>
      </c>
      <c r="I437" s="8">
        <f>INDEX('Rubro por CUI'!$H$5:$H$454,MATCH("001|2520451",'Rubro por CUI'!$N$5:$N$454,0))</f>
        <v>0.0</v>
      </c>
      <c r="J437" s="8">
        <f>INDEX('Rubro por CUI'!$I$5:$I$454,MATCH("001|2520451",'Rubro por CUI'!$N$5:$N$454,0))</f>
        <v>0.0</v>
      </c>
      <c r="K437" s="8">
        <f>L437-SUM(F437:J437)</f>
        <v>0.0</v>
      </c>
      <c r="L437" s="8">
        <f>SUMIFS(Base!$N$5:$N$504,Base!$A$5:$A$504,"001",Base!$F$5:$F$504,"2520451")</f>
        <v>5182053.0</v>
      </c>
      <c r="M437" s="8">
        <f>D437-E437-L437</f>
        <v>121145.0</v>
      </c>
      <c r="N437" s="7" t="s">
        <v>89</v>
      </c>
    </row>
    <row r="438" spans="1:14">
      <c r="A438" s="28">
        <v>417</v>
      </c>
      <c r="B438" s="28" t="s">
        <v>2210</v>
      </c>
      <c r="C438" s="7" t="s">
        <v>1364</v>
      </c>
      <c r="D438" s="33">
        <v>7957851</v>
      </c>
      <c r="E438" s="33">
        <v>235441</v>
      </c>
      <c r="F438" s="8">
        <f>INDEX('Rubro por CUI'!$E$5:$E$454,MATCH("001|2532916",'Rubro por CUI'!$N$5:$N$454,0))</f>
        <v>0.0</v>
      </c>
      <c r="G438" s="8">
        <f>INDEX('Rubro por CUI'!$F$5:$F$454,MATCH("001|2532916",'Rubro por CUI'!$N$5:$N$454,0))</f>
        <v>0.0</v>
      </c>
      <c r="H438" s="8">
        <f>INDEX('Rubro por CUI'!$G$5:$G$454,MATCH("001|2532916",'Rubro por CUI'!$N$5:$N$454,0))</f>
        <v>19658.0</v>
      </c>
      <c r="I438" s="8">
        <f>INDEX('Rubro por CUI'!$H$5:$H$454,MATCH("001|2532916",'Rubro por CUI'!$N$5:$N$454,0))</f>
        <v>0.0</v>
      </c>
      <c r="J438" s="8">
        <f>INDEX('Rubro por CUI'!$I$5:$I$454,MATCH("001|2532916",'Rubro por CUI'!$N$5:$N$454,0))</f>
        <v>0.0</v>
      </c>
      <c r="K438" s="8">
        <f>L438-SUM(F438:J438)</f>
        <v>0.0</v>
      </c>
      <c r="L438" s="8">
        <f>SUMIFS(Base!$N$5:$N$504,Base!$A$5:$A$504,"001",Base!$F$5:$F$504,"2532916")</f>
        <v>19658.0</v>
      </c>
      <c r="M438" s="8">
        <f>D438-E438-L438</f>
        <v>7702752.0</v>
      </c>
      <c r="N438" s="7" t="s">
        <v>89</v>
      </c>
    </row>
    <row r="439" spans="1:14">
      <c r="A439" s="25" t="s">
        <v>2212</v>
      </c>
      <c r="B439" s="25"/>
      <c r="C439" s="25"/>
      <c r="D439" s="26">
        <f>SUM(D440:D440)</f>
        <v>0</v>
      </c>
      <c r="E439" s="26">
        <f>SUM(E440:E440)</f>
        <v>0</v>
      </c>
      <c r="F439" s="26">
        <f>SUM(F440:F440)</f>
        <v>0.0</v>
      </c>
      <c r="G439" s="26">
        <f>SUM(G440:G440)</f>
        <v>0.0</v>
      </c>
      <c r="H439" s="26">
        <f>SUM(H440:H440)</f>
        <v>6717555.0</v>
      </c>
      <c r="I439" s="26">
        <f>SUM(I440:I440)</f>
        <v>433484.0</v>
      </c>
      <c r="J439" s="26">
        <f>SUM(J440:J440)</f>
        <v>0.0</v>
      </c>
      <c r="K439" s="26">
        <f>SUM(K440:K440)</f>
        <v>0.0</v>
      </c>
      <c r="L439" s="26">
        <f>SUM(L440:L440)</f>
        <v>7151039.0</v>
      </c>
      <c r="M439" s="26">
        <f>SUM(M440:M440)</f>
        <v>0</v>
      </c>
      <c r="N439" s="25"/>
    </row>
    <row r="440" spans="1:14">
      <c r="A440" s="28">
        <v>418</v>
      </c>
      <c r="B440" s="28" t="s">
        <v>2211</v>
      </c>
      <c r="C440" s="7" t="s">
        <v>1571</v>
      </c>
      <c r="D440" s="7" t="s">
        <v>99</v>
      </c>
      <c r="E440" s="7" t="s">
        <v>99</v>
      </c>
      <c r="F440" s="8">
        <f>INDEX('Rubro por CUI'!$E$5:$E$454,MATCH("001|2001621",'Rubro por CUI'!$N$5:$N$454,0))</f>
        <v>0.0</v>
      </c>
      <c r="G440" s="8">
        <f>INDEX('Rubro por CUI'!$F$5:$F$454,MATCH("001|2001621",'Rubro por CUI'!$N$5:$N$454,0))</f>
        <v>0.0</v>
      </c>
      <c r="H440" s="8">
        <f>INDEX('Rubro por CUI'!$G$5:$G$454,MATCH("001|2001621",'Rubro por CUI'!$N$5:$N$454,0))</f>
        <v>6717555.0</v>
      </c>
      <c r="I440" s="8">
        <f>INDEX('Rubro por CUI'!$H$5:$H$454,MATCH("001|2001621",'Rubro por CUI'!$N$5:$N$454,0))</f>
        <v>433484.0</v>
      </c>
      <c r="J440" s="8">
        <f>INDEX('Rubro por CUI'!$I$5:$I$454,MATCH("001|2001621",'Rubro por CUI'!$N$5:$N$454,0))</f>
        <v>0.0</v>
      </c>
      <c r="K440" s="8">
        <f>L440-SUM(F440:J440)</f>
        <v>0.0</v>
      </c>
      <c r="L440" s="8">
        <f>SUMIFS(Base!$N$5:$N$504,Base!$A$5:$A$504,"001",Base!$F$5:$F$504,"2001621")</f>
        <v>7151039.0</v>
      </c>
      <c r="M440" s="7" t="s">
        <v>99</v>
      </c>
      <c r="N440" s="7" t="s">
        <v>1796</v>
      </c>
    </row>
    <row r="441" spans="1:14">
      <c r="A441" s="21" t="s">
        <v>1609</v>
      </c>
      <c r="B441" s="21"/>
      <c r="C441" s="21"/>
      <c r="D441" s="22">
        <f>D442+D445</f>
        <v>20880704.0</v>
      </c>
      <c r="E441" s="22">
        <f>E442+E445</f>
        <v>14074263.0</v>
      </c>
      <c r="F441" s="22">
        <f>F442+F445</f>
        <v>0.0</v>
      </c>
      <c r="G441" s="22">
        <f>G442+G445</f>
        <v>0.0</v>
      </c>
      <c r="H441" s="22">
        <f>H442+H445</f>
        <v>2582404.0</v>
      </c>
      <c r="I441" s="22">
        <f>I442+I445</f>
        <v>0.0</v>
      </c>
      <c r="J441" s="22">
        <f>J442+J445</f>
        <v>0.0</v>
      </c>
      <c r="K441" s="22">
        <f>K442+K445</f>
        <v>0.0</v>
      </c>
      <c r="L441" s="22">
        <f>L442+L445</f>
        <v>2582404.0</v>
      </c>
      <c r="M441" s="22">
        <f>M442+M445</f>
        <v>4269037.0</v>
      </c>
      <c r="N441" s="21"/>
    </row>
    <row r="442" spans="1:14">
      <c r="A442" s="25" t="s">
        <v>1321</v>
      </c>
      <c r="B442" s="25"/>
      <c r="C442" s="25"/>
      <c r="D442" s="26">
        <f>SUM(D443:D444)</f>
        <v>11727184.0</v>
      </c>
      <c r="E442" s="26">
        <f>SUM(E443:E444)</f>
        <v>5532484.0</v>
      </c>
      <c r="F442" s="26">
        <f>SUM(F443:F444)</f>
        <v>0.0</v>
      </c>
      <c r="G442" s="26">
        <f>SUM(G443:G444)</f>
        <v>0.0</v>
      </c>
      <c r="H442" s="26">
        <f>SUM(H443:H444)</f>
        <v>2462454.0</v>
      </c>
      <c r="I442" s="26">
        <f>SUM(I443:I444)</f>
        <v>0.0</v>
      </c>
      <c r="J442" s="26">
        <f>SUM(J443:J444)</f>
        <v>0.0</v>
      </c>
      <c r="K442" s="26">
        <f>SUM(K443:K444)</f>
        <v>0.0</v>
      </c>
      <c r="L442" s="26">
        <f>SUM(L443:L444)</f>
        <v>2462454.0</v>
      </c>
      <c r="M442" s="26">
        <f>SUM(M443:M444)</f>
        <v>3777246.0</v>
      </c>
      <c r="N442" s="25"/>
    </row>
    <row r="443" spans="1:14">
      <c r="A443" s="28">
        <v>419</v>
      </c>
      <c r="B443" s="28" t="s">
        <v>2131</v>
      </c>
      <c r="C443" s="7" t="s">
        <v>1611</v>
      </c>
      <c r="D443" s="33">
        <v>11727184</v>
      </c>
      <c r="E443" s="33">
        <v>5532484</v>
      </c>
      <c r="F443" s="8">
        <f>INDEX('Rubro por CUI'!$E$5:$E$454,MATCH("002|2336682",'Rubro por CUI'!$N$5:$N$454,0))</f>
        <v>0.0</v>
      </c>
      <c r="G443" s="8">
        <f>INDEX('Rubro por CUI'!$F$5:$F$454,MATCH("002|2336682",'Rubro por CUI'!$N$5:$N$454,0))</f>
        <v>0.0</v>
      </c>
      <c r="H443" s="8">
        <f>INDEX('Rubro por CUI'!$G$5:$G$454,MATCH("002|2336682",'Rubro por CUI'!$N$5:$N$454,0))</f>
        <v>2417454.0</v>
      </c>
      <c r="I443" s="8">
        <f>INDEX('Rubro por CUI'!$H$5:$H$454,MATCH("002|2336682",'Rubro por CUI'!$N$5:$N$454,0))</f>
        <v>0.0</v>
      </c>
      <c r="J443" s="8">
        <f>INDEX('Rubro por CUI'!$I$5:$I$454,MATCH("002|2336682",'Rubro por CUI'!$N$5:$N$454,0))</f>
        <v>0.0</v>
      </c>
      <c r="K443" s="8">
        <f>L443-SUM(F443:J443)</f>
        <v>0.0</v>
      </c>
      <c r="L443" s="8">
        <f>SUMIFS(Base!$N$5:$N$504,Base!$A$5:$A$504,"002",Base!$F$5:$F$504,"2336682")</f>
        <v>2417454.0</v>
      </c>
      <c r="M443" s="8">
        <f>D443-E443-L443</f>
        <v>3777246.0</v>
      </c>
      <c r="N443" s="7" t="s">
        <v>89</v>
      </c>
    </row>
    <row r="444" spans="1:14">
      <c r="A444" s="28">
        <v>420</v>
      </c>
      <c r="B444" s="28" t="s">
        <v>1984</v>
      </c>
      <c r="C444" s="7" t="s">
        <v>1616</v>
      </c>
      <c r="D444" s="7" t="s">
        <v>99</v>
      </c>
      <c r="E444" s="7" t="s">
        <v>99</v>
      </c>
      <c r="F444" s="8">
        <f>INDEX('Rubro por CUI'!$E$5:$E$454,MATCH("002|2714101",'Rubro por CUI'!$N$5:$N$454,0))</f>
        <v>0.0</v>
      </c>
      <c r="G444" s="8">
        <f>INDEX('Rubro por CUI'!$F$5:$F$454,MATCH("002|2714101",'Rubro por CUI'!$N$5:$N$454,0))</f>
        <v>0.0</v>
      </c>
      <c r="H444" s="8">
        <f>INDEX('Rubro por CUI'!$G$5:$G$454,MATCH("002|2714101",'Rubro por CUI'!$N$5:$N$454,0))</f>
        <v>45000.0</v>
      </c>
      <c r="I444" s="8">
        <f>INDEX('Rubro por CUI'!$H$5:$H$454,MATCH("002|2714101",'Rubro por CUI'!$N$5:$N$454,0))</f>
        <v>0.0</v>
      </c>
      <c r="J444" s="8">
        <f>INDEX('Rubro por CUI'!$I$5:$I$454,MATCH("002|2714101",'Rubro por CUI'!$N$5:$N$454,0))</f>
        <v>0.0</v>
      </c>
      <c r="K444" s="8">
        <f>L444-SUM(F444:J444)</f>
        <v>0.0</v>
      </c>
      <c r="L444" s="8">
        <f>SUMIFS(Base!$N$5:$N$504,Base!$A$5:$A$504,"002",Base!$F$5:$F$504,"2714101")</f>
        <v>45000.0</v>
      </c>
      <c r="M444" s="7" t="s">
        <v>99</v>
      </c>
      <c r="N444" s="7" t="s">
        <v>1796</v>
      </c>
    </row>
    <row r="445" spans="1:14">
      <c r="A445" s="25" t="s">
        <v>1334</v>
      </c>
      <c r="B445" s="25"/>
      <c r="C445" s="25"/>
      <c r="D445" s="26">
        <f>SUM(D446:D446)</f>
        <v>9153520.0</v>
      </c>
      <c r="E445" s="26">
        <f>SUM(E446:E446)</f>
        <v>8541779.0</v>
      </c>
      <c r="F445" s="26">
        <f>SUM(F446:F446)</f>
        <v>0.0</v>
      </c>
      <c r="G445" s="26">
        <f>SUM(G446:G446)</f>
        <v>0.0</v>
      </c>
      <c r="H445" s="26">
        <f>SUM(H446:H446)</f>
        <v>119950.0</v>
      </c>
      <c r="I445" s="26">
        <f>SUM(I446:I446)</f>
        <v>0.0</v>
      </c>
      <c r="J445" s="26">
        <f>SUM(J446:J446)</f>
        <v>0.0</v>
      </c>
      <c r="K445" s="26">
        <f>SUM(K446:K446)</f>
        <v>0.0</v>
      </c>
      <c r="L445" s="26">
        <f>SUM(L446:L446)</f>
        <v>119950.0</v>
      </c>
      <c r="M445" s="26">
        <f>SUM(M446:M446)</f>
        <v>491791.0</v>
      </c>
      <c r="N445" s="25"/>
    </row>
    <row r="446" spans="1:14">
      <c r="A446" s="28">
        <v>421</v>
      </c>
      <c r="B446" s="28" t="s">
        <v>2213</v>
      </c>
      <c r="C446" s="7" t="s">
        <v>1614</v>
      </c>
      <c r="D446" s="33">
        <v>9153520</v>
      </c>
      <c r="E446" s="33">
        <v>8541779</v>
      </c>
      <c r="F446" s="8">
        <f>INDEX('Rubro por CUI'!$E$5:$E$454,MATCH("002|2230619",'Rubro por CUI'!$N$5:$N$454,0))</f>
        <v>0.0</v>
      </c>
      <c r="G446" s="8">
        <f>INDEX('Rubro por CUI'!$F$5:$F$454,MATCH("002|2230619",'Rubro por CUI'!$N$5:$N$454,0))</f>
        <v>0.0</v>
      </c>
      <c r="H446" s="8">
        <f>INDEX('Rubro por CUI'!$G$5:$G$454,MATCH("002|2230619",'Rubro por CUI'!$N$5:$N$454,0))</f>
        <v>119950.0</v>
      </c>
      <c r="I446" s="8">
        <f>INDEX('Rubro por CUI'!$H$5:$H$454,MATCH("002|2230619",'Rubro por CUI'!$N$5:$N$454,0))</f>
        <v>0.0</v>
      </c>
      <c r="J446" s="8">
        <f>INDEX('Rubro por CUI'!$I$5:$I$454,MATCH("002|2230619",'Rubro por CUI'!$N$5:$N$454,0))</f>
        <v>0.0</v>
      </c>
      <c r="K446" s="8">
        <f>L446-SUM(F446:J446)</f>
        <v>0.0</v>
      </c>
      <c r="L446" s="8">
        <f>SUMIFS(Base!$N$5:$N$504,Base!$A$5:$A$504,"002",Base!$F$5:$F$504,"2230619")</f>
        <v>119950.0</v>
      </c>
      <c r="M446" s="8">
        <f>D446-E446-L446</f>
        <v>491791.0</v>
      </c>
      <c r="N446" s="7" t="s">
        <v>89</v>
      </c>
    </row>
    <row r="447" spans="1:14">
      <c r="A447" s="21" t="s">
        <v>1620</v>
      </c>
      <c r="B447" s="21"/>
      <c r="C447" s="21"/>
      <c r="D447" s="22">
        <f>D448+D462</f>
        <v>356804101.0</v>
      </c>
      <c r="E447" s="22">
        <f>E448+E462</f>
        <v>148949676.0</v>
      </c>
      <c r="F447" s="22">
        <f>F448+F462</f>
        <v>0.0</v>
      </c>
      <c r="G447" s="22">
        <f>G448+G462</f>
        <v>57914.0</v>
      </c>
      <c r="H447" s="22">
        <f>H448+H462</f>
        <v>54995058.0</v>
      </c>
      <c r="I447" s="22">
        <f>I448+I462</f>
        <v>584370.0</v>
      </c>
      <c r="J447" s="22">
        <f>J448+J462</f>
        <v>0.0</v>
      </c>
      <c r="K447" s="22">
        <f>K448+K462</f>
        <v>0.0</v>
      </c>
      <c r="L447" s="22">
        <f>L448+L462</f>
        <v>55637342.0</v>
      </c>
      <c r="M447" s="22">
        <f>M448+M462</f>
        <v>153047936.0</v>
      </c>
      <c r="N447" s="21"/>
    </row>
    <row r="448" spans="1:14">
      <c r="A448" s="25" t="s">
        <v>1128</v>
      </c>
      <c r="B448" s="25"/>
      <c r="C448" s="25"/>
      <c r="D448" s="26">
        <f>SUM(D449:D461)</f>
        <v>346532281.0</v>
      </c>
      <c r="E448" s="26">
        <f>SUM(E449:E461)</f>
        <v>146673543.0</v>
      </c>
      <c r="F448" s="26">
        <f>SUM(F449:F461)</f>
        <v>0.0</v>
      </c>
      <c r="G448" s="26">
        <f>SUM(G449:G461)</f>
        <v>57914.0</v>
      </c>
      <c r="H448" s="26">
        <f>SUM(H449:H461)</f>
        <v>54995058.0</v>
      </c>
      <c r="I448" s="26">
        <f>SUM(I449:I461)</f>
        <v>584370.0</v>
      </c>
      <c r="J448" s="26">
        <f>SUM(J449:J461)</f>
        <v>0.0</v>
      </c>
      <c r="K448" s="26">
        <f>SUM(K449:K461)</f>
        <v>0.0</v>
      </c>
      <c r="L448" s="26">
        <f>SUM(L449:L461)</f>
        <v>55637342.0</v>
      </c>
      <c r="M448" s="26">
        <f>SUM(M449:M461)</f>
        <v>145052249.0</v>
      </c>
      <c r="N448" s="25"/>
    </row>
    <row r="449" spans="1:14">
      <c r="A449" s="28">
        <v>422</v>
      </c>
      <c r="B449" s="28" t="s">
        <v>2214</v>
      </c>
      <c r="C449" s="7" t="s">
        <v>1622</v>
      </c>
      <c r="D449" s="33">
        <v>48860008</v>
      </c>
      <c r="E449" s="33">
        <v>362887</v>
      </c>
      <c r="F449" s="8">
        <f>INDEX('Rubro por CUI'!$E$5:$E$454,MATCH("003|2651742",'Rubro por CUI'!$N$5:$N$454,0))</f>
        <v>0.0</v>
      </c>
      <c r="G449" s="8">
        <f>INDEX('Rubro por CUI'!$F$5:$F$454,MATCH("003|2651742",'Rubro por CUI'!$N$5:$N$454,0))</f>
        <v>0.0</v>
      </c>
      <c r="H449" s="8">
        <f>INDEX('Rubro por CUI'!$G$5:$G$454,MATCH("003|2651742",'Rubro por CUI'!$N$5:$N$454,0))</f>
        <v>18887232.0</v>
      </c>
      <c r="I449" s="8">
        <f>INDEX('Rubro por CUI'!$H$5:$H$454,MATCH("003|2651742",'Rubro por CUI'!$N$5:$N$454,0))</f>
        <v>0.0</v>
      </c>
      <c r="J449" s="8">
        <f>INDEX('Rubro por CUI'!$I$5:$I$454,MATCH("003|2651742",'Rubro por CUI'!$N$5:$N$454,0))</f>
        <v>0.0</v>
      </c>
      <c r="K449" s="8">
        <f>L449-SUM(F449:J449)</f>
        <v>0.0</v>
      </c>
      <c r="L449" s="8">
        <f>SUMIFS(Base!$N$5:$N$504,Base!$A$5:$A$504,"003",Base!$F$5:$F$504,"2651742")</f>
        <v>18887232.0</v>
      </c>
      <c r="M449" s="8">
        <f>D449-E449-L449</f>
        <v>29609889.0</v>
      </c>
      <c r="N449" s="7" t="s">
        <v>89</v>
      </c>
    </row>
    <row r="450" spans="1:14">
      <c r="A450" s="28">
        <v>423</v>
      </c>
      <c r="B450" s="28" t="s">
        <v>2215</v>
      </c>
      <c r="C450" s="7" t="s">
        <v>1635</v>
      </c>
      <c r="D450" s="33">
        <v>42618817</v>
      </c>
      <c r="E450" s="33">
        <v>31304141</v>
      </c>
      <c r="F450" s="8">
        <f>INDEX('Rubro por CUI'!$E$5:$E$454,MATCH("003|2540745",'Rubro por CUI'!$N$5:$N$454,0))</f>
        <v>0.0</v>
      </c>
      <c r="G450" s="8">
        <f>INDEX('Rubro por CUI'!$F$5:$F$454,MATCH("003|2540745",'Rubro por CUI'!$N$5:$N$454,0))</f>
        <v>0.0</v>
      </c>
      <c r="H450" s="8">
        <f>INDEX('Rubro por CUI'!$G$5:$G$454,MATCH("003|2540745",'Rubro por CUI'!$N$5:$N$454,0))</f>
        <v>8979929.0</v>
      </c>
      <c r="I450" s="8">
        <f>INDEX('Rubro por CUI'!$H$5:$H$454,MATCH("003|2540745",'Rubro por CUI'!$N$5:$N$454,0))</f>
        <v>0.0</v>
      </c>
      <c r="J450" s="8">
        <f>INDEX('Rubro por CUI'!$I$5:$I$454,MATCH("003|2540745",'Rubro por CUI'!$N$5:$N$454,0))</f>
        <v>0.0</v>
      </c>
      <c r="K450" s="8">
        <f>L450-SUM(F450:J450)</f>
        <v>0.0</v>
      </c>
      <c r="L450" s="8">
        <f>SUMIFS(Base!$N$5:$N$504,Base!$A$5:$A$504,"003",Base!$F$5:$F$504,"2540745")</f>
        <v>8979929.0</v>
      </c>
      <c r="M450" s="8">
        <f>D450-E450-L450</f>
        <v>2334747.0</v>
      </c>
      <c r="N450" s="7" t="s">
        <v>89</v>
      </c>
    </row>
    <row r="451" spans="1:14">
      <c r="A451" s="28">
        <v>424</v>
      </c>
      <c r="B451" s="28" t="s">
        <v>2216</v>
      </c>
      <c r="C451" s="7" t="s">
        <v>1629</v>
      </c>
      <c r="D451" s="33">
        <v>17323032</v>
      </c>
      <c r="E451" s="33">
        <v>7176889</v>
      </c>
      <c r="F451" s="8">
        <f>INDEX('Rubro por CUI'!$E$5:$E$454,MATCH("003|2566500",'Rubro por CUI'!$N$5:$N$454,0))</f>
        <v>0.0</v>
      </c>
      <c r="G451" s="8">
        <f>INDEX('Rubro por CUI'!$F$5:$F$454,MATCH("003|2566500",'Rubro por CUI'!$N$5:$N$454,0))</f>
        <v>0.0</v>
      </c>
      <c r="H451" s="8">
        <f>INDEX('Rubro por CUI'!$G$5:$G$454,MATCH("003|2566500",'Rubro por CUI'!$N$5:$N$454,0))</f>
        <v>8205055.0</v>
      </c>
      <c r="I451" s="8">
        <f>INDEX('Rubro por CUI'!$H$5:$H$454,MATCH("003|2566500",'Rubro por CUI'!$N$5:$N$454,0))</f>
        <v>0.0</v>
      </c>
      <c r="J451" s="8">
        <f>INDEX('Rubro por CUI'!$I$5:$I$454,MATCH("003|2566500",'Rubro por CUI'!$N$5:$N$454,0))</f>
        <v>0.0</v>
      </c>
      <c r="K451" s="8">
        <f>L451-SUM(F451:J451)</f>
        <v>0.0</v>
      </c>
      <c r="L451" s="8">
        <f>SUMIFS(Base!$N$5:$N$504,Base!$A$5:$A$504,"003",Base!$F$5:$F$504,"2566500")</f>
        <v>8205055.0</v>
      </c>
      <c r="M451" s="8">
        <f>D451-E451-L451</f>
        <v>1941088.0</v>
      </c>
      <c r="N451" s="7" t="s">
        <v>89</v>
      </c>
    </row>
    <row r="452" spans="1:14">
      <c r="A452" s="28">
        <v>425</v>
      </c>
      <c r="B452" s="28" t="s">
        <v>2217</v>
      </c>
      <c r="C452" s="7" t="s">
        <v>1625</v>
      </c>
      <c r="D452" s="33">
        <v>26920338</v>
      </c>
      <c r="E452" s="33">
        <v>16193265</v>
      </c>
      <c r="F452" s="8">
        <f>INDEX('Rubro por CUI'!$E$5:$E$454,MATCH("003|2454391",'Rubro por CUI'!$N$5:$N$454,0))</f>
        <v>0.0</v>
      </c>
      <c r="G452" s="8">
        <f>INDEX('Rubro por CUI'!$F$5:$F$454,MATCH("003|2454391",'Rubro por CUI'!$N$5:$N$454,0))</f>
        <v>0.0</v>
      </c>
      <c r="H452" s="8">
        <f>INDEX('Rubro por CUI'!$G$5:$G$454,MATCH("003|2454391",'Rubro por CUI'!$N$5:$N$454,0))</f>
        <v>7891675.0</v>
      </c>
      <c r="I452" s="8">
        <f>INDEX('Rubro por CUI'!$H$5:$H$454,MATCH("003|2454391",'Rubro por CUI'!$N$5:$N$454,0))</f>
        <v>0.0</v>
      </c>
      <c r="J452" s="8">
        <f>INDEX('Rubro por CUI'!$I$5:$I$454,MATCH("003|2454391",'Rubro por CUI'!$N$5:$N$454,0))</f>
        <v>0.0</v>
      </c>
      <c r="K452" s="8">
        <f>L452-SUM(F452:J452)</f>
        <v>0.0</v>
      </c>
      <c r="L452" s="8">
        <f>SUMIFS(Base!$N$5:$N$504,Base!$A$5:$A$504,"003",Base!$F$5:$F$504,"2454391")</f>
        <v>7891675.0</v>
      </c>
      <c r="M452" s="8">
        <f>D452-E452-L452</f>
        <v>2835398.0</v>
      </c>
      <c r="N452" s="7" t="s">
        <v>89</v>
      </c>
    </row>
    <row r="453" spans="1:14">
      <c r="A453" s="28">
        <v>426</v>
      </c>
      <c r="B453" s="28" t="s">
        <v>2218</v>
      </c>
      <c r="C453" s="7" t="s">
        <v>1632</v>
      </c>
      <c r="D453" s="33">
        <v>53501411</v>
      </c>
      <c r="E453" s="33">
        <v>45167276</v>
      </c>
      <c r="F453" s="8">
        <f>INDEX('Rubro por CUI'!$E$5:$E$454,MATCH("003|2477014",'Rubro por CUI'!$N$5:$N$454,0))</f>
        <v>0.0</v>
      </c>
      <c r="G453" s="8">
        <f>INDEX('Rubro por CUI'!$F$5:$F$454,MATCH("003|2477014",'Rubro por CUI'!$N$5:$N$454,0))</f>
        <v>0.0</v>
      </c>
      <c r="H453" s="8">
        <f>INDEX('Rubro por CUI'!$G$5:$G$454,MATCH("003|2477014",'Rubro por CUI'!$N$5:$N$454,0))</f>
        <v>7233387.0</v>
      </c>
      <c r="I453" s="8">
        <f>INDEX('Rubro por CUI'!$H$5:$H$454,MATCH("003|2477014",'Rubro por CUI'!$N$5:$N$454,0))</f>
        <v>0.0</v>
      </c>
      <c r="J453" s="8">
        <f>INDEX('Rubro por CUI'!$I$5:$I$454,MATCH("003|2477014",'Rubro por CUI'!$N$5:$N$454,0))</f>
        <v>0.0</v>
      </c>
      <c r="K453" s="8">
        <f>L453-SUM(F453:J453)</f>
        <v>0.0</v>
      </c>
      <c r="L453" s="8">
        <f>SUMIFS(Base!$N$5:$N$504,Base!$A$5:$A$504,"003",Base!$F$5:$F$504,"2477014")</f>
        <v>7233387.0</v>
      </c>
      <c r="M453" s="8">
        <f>D453-E453-L453</f>
        <v>1100748.0</v>
      </c>
      <c r="N453" s="7" t="s">
        <v>89</v>
      </c>
    </row>
    <row r="454" spans="1:14">
      <c r="A454" s="28">
        <v>427</v>
      </c>
      <c r="B454" s="28" t="s">
        <v>2219</v>
      </c>
      <c r="C454" s="7" t="s">
        <v>1638</v>
      </c>
      <c r="D454" s="33">
        <v>20178441</v>
      </c>
      <c r="E454" s="33">
        <v>16532367</v>
      </c>
      <c r="F454" s="8">
        <f>INDEX('Rubro por CUI'!$E$5:$E$454,MATCH("003|2470845",'Rubro por CUI'!$N$5:$N$454,0))</f>
        <v>0.0</v>
      </c>
      <c r="G454" s="8">
        <f>INDEX('Rubro por CUI'!$F$5:$F$454,MATCH("003|2470845",'Rubro por CUI'!$N$5:$N$454,0))</f>
        <v>0.0</v>
      </c>
      <c r="H454" s="8">
        <f>INDEX('Rubro por CUI'!$G$5:$G$454,MATCH("003|2470845",'Rubro por CUI'!$N$5:$N$454,0))</f>
        <v>2302588.0</v>
      </c>
      <c r="I454" s="8">
        <f>INDEX('Rubro por CUI'!$H$5:$H$454,MATCH("003|2470845",'Rubro por CUI'!$N$5:$N$454,0))</f>
        <v>0.0</v>
      </c>
      <c r="J454" s="8">
        <f>INDEX('Rubro por CUI'!$I$5:$I$454,MATCH("003|2470845",'Rubro por CUI'!$N$5:$N$454,0))</f>
        <v>0.0</v>
      </c>
      <c r="K454" s="8">
        <f>L454-SUM(F454:J454)</f>
        <v>0.0</v>
      </c>
      <c r="L454" s="8">
        <f>SUMIFS(Base!$N$5:$N$504,Base!$A$5:$A$504,"003",Base!$F$5:$F$504,"2470845")</f>
        <v>2302588.0</v>
      </c>
      <c r="M454" s="8">
        <f>D454-E454-L454</f>
        <v>1343486.0</v>
      </c>
      <c r="N454" s="7" t="s">
        <v>89</v>
      </c>
    </row>
    <row r="455" spans="1:14">
      <c r="A455" s="28">
        <v>428</v>
      </c>
      <c r="B455" s="28" t="s">
        <v>2220</v>
      </c>
      <c r="C455" s="7" t="s">
        <v>1643</v>
      </c>
      <c r="D455" s="33">
        <v>42291169</v>
      </c>
      <c r="E455" s="33">
        <v>402808</v>
      </c>
      <c r="F455" s="8">
        <f>INDEX('Rubro por CUI'!$E$5:$E$454,MATCH("003|2651727",'Rubro por CUI'!$N$5:$N$454,0))</f>
        <v>0.0</v>
      </c>
      <c r="G455" s="8">
        <f>INDEX('Rubro por CUI'!$F$5:$F$454,MATCH("003|2651727",'Rubro por CUI'!$N$5:$N$454,0))</f>
        <v>0.0</v>
      </c>
      <c r="H455" s="8">
        <f>INDEX('Rubro por CUI'!$G$5:$G$454,MATCH("003|2651727",'Rubro por CUI'!$N$5:$N$454,0))</f>
        <v>270883.0</v>
      </c>
      <c r="I455" s="8">
        <f>INDEX('Rubro por CUI'!$H$5:$H$454,MATCH("003|2651727",'Rubro por CUI'!$N$5:$N$454,0))</f>
        <v>584370.0</v>
      </c>
      <c r="J455" s="8">
        <f>INDEX('Rubro por CUI'!$I$5:$I$454,MATCH("003|2651727",'Rubro por CUI'!$N$5:$N$454,0))</f>
        <v>0.0</v>
      </c>
      <c r="K455" s="8">
        <f>L455-SUM(F455:J455)</f>
        <v>0.0</v>
      </c>
      <c r="L455" s="8">
        <f>SUMIFS(Base!$N$5:$N$504,Base!$A$5:$A$504,"003",Base!$F$5:$F$504,"2651727")</f>
        <v>855253.0</v>
      </c>
      <c r="M455" s="8">
        <f>D455-E455-L455</f>
        <v>41033108.0</v>
      </c>
      <c r="N455" s="7" t="s">
        <v>89</v>
      </c>
    </row>
    <row r="456" spans="1:14">
      <c r="A456" s="28">
        <v>429</v>
      </c>
      <c r="B456" s="28" t="s">
        <v>2221</v>
      </c>
      <c r="C456" s="7" t="s">
        <v>1640</v>
      </c>
      <c r="D456" s="7" t="s">
        <v>99</v>
      </c>
      <c r="E456" s="7" t="s">
        <v>99</v>
      </c>
      <c r="F456" s="8">
        <f>INDEX('Rubro por CUI'!$E$5:$E$454,MATCH("003|2001621",'Rubro por CUI'!$N$5:$N$454,0))</f>
        <v>0.0</v>
      </c>
      <c r="G456" s="8">
        <f>INDEX('Rubro por CUI'!$F$5:$F$454,MATCH("003|2001621",'Rubro por CUI'!$N$5:$N$454,0))</f>
        <v>57914.0</v>
      </c>
      <c r="H456" s="8">
        <f>INDEX('Rubro por CUI'!$G$5:$G$454,MATCH("003|2001621",'Rubro por CUI'!$N$5:$N$454,0))</f>
        <v>620300.0</v>
      </c>
      <c r="I456" s="8">
        <f>INDEX('Rubro por CUI'!$H$5:$H$454,MATCH("003|2001621",'Rubro por CUI'!$N$5:$N$454,0))</f>
        <v>0.0</v>
      </c>
      <c r="J456" s="8">
        <f>INDEX('Rubro por CUI'!$I$5:$I$454,MATCH("003|2001621",'Rubro por CUI'!$N$5:$N$454,0))</f>
        <v>0.0</v>
      </c>
      <c r="K456" s="8">
        <f>L456-SUM(F456:J456)</f>
        <v>0.0</v>
      </c>
      <c r="L456" s="8">
        <f>SUMIFS(Base!$N$5:$N$504,Base!$A$5:$A$504,"003",Base!$F$5:$F$504,"2001621")</f>
        <v>678214.0</v>
      </c>
      <c r="M456" s="7" t="s">
        <v>99</v>
      </c>
      <c r="N456" s="7" t="s">
        <v>1796</v>
      </c>
    </row>
    <row r="457" spans="1:14">
      <c r="A457" s="28">
        <v>430</v>
      </c>
      <c r="B457" s="28" t="s">
        <v>2213</v>
      </c>
      <c r="C457" s="7" t="s">
        <v>1645</v>
      </c>
      <c r="D457" s="33">
        <v>26892463</v>
      </c>
      <c r="E457" s="33">
        <v>476308</v>
      </c>
      <c r="F457" s="8">
        <f>INDEX('Rubro por CUI'!$E$5:$E$454,MATCH("003|2634779",'Rubro por CUI'!$N$5:$N$454,0))</f>
        <v>0.0</v>
      </c>
      <c r="G457" s="8">
        <f>INDEX('Rubro por CUI'!$F$5:$F$454,MATCH("003|2634779",'Rubro por CUI'!$N$5:$N$454,0))</f>
        <v>0.0</v>
      </c>
      <c r="H457" s="8">
        <f>INDEX('Rubro por CUI'!$G$5:$G$454,MATCH("003|2634779",'Rubro por CUI'!$N$5:$N$454,0))</f>
        <v>267289.0</v>
      </c>
      <c r="I457" s="8">
        <f>INDEX('Rubro por CUI'!$H$5:$H$454,MATCH("003|2634779",'Rubro por CUI'!$N$5:$N$454,0))</f>
        <v>0.0</v>
      </c>
      <c r="J457" s="8">
        <f>INDEX('Rubro por CUI'!$I$5:$I$454,MATCH("003|2634779",'Rubro por CUI'!$N$5:$N$454,0))</f>
        <v>0.0</v>
      </c>
      <c r="K457" s="8">
        <f>L457-SUM(F457:J457)</f>
        <v>0.0</v>
      </c>
      <c r="L457" s="8">
        <f>SUMIFS(Base!$N$5:$N$504,Base!$A$5:$A$504,"003",Base!$F$5:$F$504,"2634779")</f>
        <v>267289.0</v>
      </c>
      <c r="M457" s="8">
        <f>D457-E457-L457</f>
        <v>26148866.0</v>
      </c>
      <c r="N457" s="7" t="s">
        <v>89</v>
      </c>
    </row>
    <row r="458" spans="1:14">
      <c r="A458" s="28">
        <v>431</v>
      </c>
      <c r="B458" s="28" t="s">
        <v>2116</v>
      </c>
      <c r="C458" s="7" t="s">
        <v>1648</v>
      </c>
      <c r="D458" s="7" t="s">
        <v>99</v>
      </c>
      <c r="E458" s="7" t="s">
        <v>99</v>
      </c>
      <c r="F458" s="8">
        <f>INDEX('Rubro por CUI'!$E$5:$E$454,MATCH("003|2668257",'Rubro por CUI'!$N$5:$N$454,0))</f>
        <v>0.0</v>
      </c>
      <c r="G458" s="8">
        <f>INDEX('Rubro por CUI'!$F$5:$F$454,MATCH("003|2668257",'Rubro por CUI'!$N$5:$N$454,0))</f>
        <v>0.0</v>
      </c>
      <c r="H458" s="8">
        <f>INDEX('Rubro por CUI'!$G$5:$G$454,MATCH("003|2668257",'Rubro por CUI'!$N$5:$N$454,0))</f>
        <v>152639.0</v>
      </c>
      <c r="I458" s="8">
        <f>INDEX('Rubro por CUI'!$H$5:$H$454,MATCH("003|2668257",'Rubro por CUI'!$N$5:$N$454,0))</f>
        <v>0.0</v>
      </c>
      <c r="J458" s="8">
        <f>INDEX('Rubro por CUI'!$I$5:$I$454,MATCH("003|2668257",'Rubro por CUI'!$N$5:$N$454,0))</f>
        <v>0.0</v>
      </c>
      <c r="K458" s="8">
        <f>L458-SUM(F458:J458)</f>
        <v>0.0</v>
      </c>
      <c r="L458" s="8">
        <f>SUMIFS(Base!$N$5:$N$504,Base!$A$5:$A$504,"003",Base!$F$5:$F$504,"2668257")</f>
        <v>152639.0</v>
      </c>
      <c r="M458" s="7" t="s">
        <v>99</v>
      </c>
      <c r="N458" s="7" t="s">
        <v>1796</v>
      </c>
    </row>
    <row r="459" spans="1:14">
      <c r="A459" s="28">
        <v>432</v>
      </c>
      <c r="B459" s="28" t="s">
        <v>1884</v>
      </c>
      <c r="C459" s="7" t="s">
        <v>1651</v>
      </c>
      <c r="D459" s="33">
        <v>11897637</v>
      </c>
      <c r="E459" s="33">
        <v>0</v>
      </c>
      <c r="F459" s="8">
        <f>INDEX('Rubro por CUI'!$E$5:$E$454,MATCH("003|2681358",'Rubro por CUI'!$N$5:$N$454,0))</f>
        <v>0.0</v>
      </c>
      <c r="G459" s="8">
        <f>INDEX('Rubro por CUI'!$F$5:$F$454,MATCH("003|2681358",'Rubro por CUI'!$N$5:$N$454,0))</f>
        <v>0.0</v>
      </c>
      <c r="H459" s="8">
        <f>INDEX('Rubro por CUI'!$G$5:$G$454,MATCH("003|2681358",'Rubro por CUI'!$N$5:$N$454,0))</f>
        <v>150000.0</v>
      </c>
      <c r="I459" s="8">
        <f>INDEX('Rubro por CUI'!$H$5:$H$454,MATCH("003|2681358",'Rubro por CUI'!$N$5:$N$454,0))</f>
        <v>0.0</v>
      </c>
      <c r="J459" s="8">
        <f>INDEX('Rubro por CUI'!$I$5:$I$454,MATCH("003|2681358",'Rubro por CUI'!$N$5:$N$454,0))</f>
        <v>0.0</v>
      </c>
      <c r="K459" s="8">
        <f>L459-SUM(F459:J459)</f>
        <v>0.0</v>
      </c>
      <c r="L459" s="8">
        <f>SUMIFS(Base!$N$5:$N$504,Base!$A$5:$A$504,"003",Base!$F$5:$F$504,"2681358")</f>
        <v>150000.0</v>
      </c>
      <c r="M459" s="8">
        <f>D459-E459-L459</f>
        <v>11747637.0</v>
      </c>
      <c r="N459" s="7" t="s">
        <v>89</v>
      </c>
    </row>
    <row r="460" spans="1:14">
      <c r="A460" s="28">
        <v>433</v>
      </c>
      <c r="B460" s="28" t="s">
        <v>2222</v>
      </c>
      <c r="C460" s="7" t="s">
        <v>1653</v>
      </c>
      <c r="D460" s="33">
        <v>30213440</v>
      </c>
      <c r="E460" s="33">
        <v>28495089</v>
      </c>
      <c r="F460" s="8">
        <f>INDEX('Rubro por CUI'!$E$5:$E$454,MATCH("003|2429723",'Rubro por CUI'!$N$5:$N$454,0))</f>
        <v>0.0</v>
      </c>
      <c r="G460" s="8">
        <f>INDEX('Rubro por CUI'!$F$5:$F$454,MATCH("003|2429723",'Rubro por CUI'!$N$5:$N$454,0))</f>
        <v>0.0</v>
      </c>
      <c r="H460" s="8">
        <f>INDEX('Rubro por CUI'!$G$5:$G$454,MATCH("003|2429723",'Rubro por CUI'!$N$5:$N$454,0))</f>
        <v>34081.0</v>
      </c>
      <c r="I460" s="8">
        <f>INDEX('Rubro por CUI'!$H$5:$H$454,MATCH("003|2429723",'Rubro por CUI'!$N$5:$N$454,0))</f>
        <v>0.0</v>
      </c>
      <c r="J460" s="8">
        <f>INDEX('Rubro por CUI'!$I$5:$I$454,MATCH("003|2429723",'Rubro por CUI'!$N$5:$N$454,0))</f>
        <v>0.0</v>
      </c>
      <c r="K460" s="8">
        <f>L460-SUM(F460:J460)</f>
        <v>0.0</v>
      </c>
      <c r="L460" s="8">
        <f>SUMIFS(Base!$N$5:$N$504,Base!$A$5:$A$504,"003",Base!$F$5:$F$504,"2429723")</f>
        <v>34081.0</v>
      </c>
      <c r="M460" s="8">
        <f>D460-E460-L460</f>
        <v>1684270.0</v>
      </c>
      <c r="N460" s="7" t="s">
        <v>89</v>
      </c>
    </row>
    <row r="461" spans="1:14">
      <c r="A461" s="28">
        <v>434</v>
      </c>
      <c r="B461" s="28" t="s">
        <v>2223</v>
      </c>
      <c r="C461" s="7" t="s">
        <v>1657</v>
      </c>
      <c r="D461" s="33">
        <v>25835525</v>
      </c>
      <c r="E461" s="33">
        <v>562513</v>
      </c>
      <c r="F461" s="8">
        <f>INDEX('Rubro por CUI'!$E$5:$E$454,MATCH("003|2541758",'Rubro por CUI'!$N$5:$N$454,0))</f>
        <v>0.0</v>
      </c>
      <c r="G461" s="8">
        <f>INDEX('Rubro por CUI'!$F$5:$F$454,MATCH("003|2541758",'Rubro por CUI'!$N$5:$N$454,0))</f>
        <v>0.0</v>
      </c>
      <c r="H461" s="8">
        <f>INDEX('Rubro por CUI'!$G$5:$G$454,MATCH("003|2541758",'Rubro por CUI'!$N$5:$N$454,0))</f>
        <v>0.0</v>
      </c>
      <c r="I461" s="8">
        <f>INDEX('Rubro por CUI'!$H$5:$H$454,MATCH("003|2541758",'Rubro por CUI'!$N$5:$N$454,0))</f>
        <v>0.0</v>
      </c>
      <c r="J461" s="8">
        <f>INDEX('Rubro por CUI'!$I$5:$I$454,MATCH("003|2541758",'Rubro por CUI'!$N$5:$N$454,0))</f>
        <v>0.0</v>
      </c>
      <c r="K461" s="8">
        <f>L461-SUM(F461:J461)</f>
        <v>0.0</v>
      </c>
      <c r="L461" s="8">
        <f>SUMIFS(Base!$N$5:$N$504,Base!$A$5:$A$504,"003",Base!$F$5:$F$504,"2541758")</f>
        <v>0.0</v>
      </c>
      <c r="M461" s="8">
        <f>D461-E461-L461</f>
        <v>25273012.0</v>
      </c>
      <c r="N461" s="7" t="s">
        <v>89</v>
      </c>
    </row>
    <row r="462" spans="1:14">
      <c r="A462" s="25" t="s">
        <v>353</v>
      </c>
      <c r="B462" s="25"/>
      <c r="C462" s="25"/>
      <c r="D462" s="26">
        <f>SUM(D463:D463)</f>
        <v>10271820.0</v>
      </c>
      <c r="E462" s="26">
        <f>SUM(E463:E463)</f>
        <v>2276133.0</v>
      </c>
      <c r="F462" s="26">
        <f>SUM(F463:F463)</f>
        <v>0.0</v>
      </c>
      <c r="G462" s="26">
        <f>SUM(G463:G463)</f>
        <v>0.0</v>
      </c>
      <c r="H462" s="26">
        <f>SUM(H463:H463)</f>
        <v>0.0</v>
      </c>
      <c r="I462" s="26">
        <f>SUM(I463:I463)</f>
        <v>0.0</v>
      </c>
      <c r="J462" s="26">
        <f>SUM(J463:J463)</f>
        <v>0.0</v>
      </c>
      <c r="K462" s="26">
        <f>SUM(K463:K463)</f>
        <v>0.0</v>
      </c>
      <c r="L462" s="26">
        <f>SUM(L463:L463)</f>
        <v>0.0</v>
      </c>
      <c r="M462" s="26">
        <f>SUM(M463:M463)</f>
        <v>7995687.0</v>
      </c>
      <c r="N462" s="25"/>
    </row>
    <row r="463" spans="1:14">
      <c r="A463" s="28">
        <v>435</v>
      </c>
      <c r="B463" s="28" t="s">
        <v>2224</v>
      </c>
      <c r="C463" s="7" t="s">
        <v>1661</v>
      </c>
      <c r="D463" s="33">
        <v>10271820</v>
      </c>
      <c r="E463" s="33">
        <v>2276133</v>
      </c>
      <c r="F463" s="8">
        <f>INDEX('Rubro por CUI'!$E$5:$E$454,MATCH("003|2616977",'Rubro por CUI'!$N$5:$N$454,0))</f>
        <v>0.0</v>
      </c>
      <c r="G463" s="8">
        <f>INDEX('Rubro por CUI'!$F$5:$F$454,MATCH("003|2616977",'Rubro por CUI'!$N$5:$N$454,0))</f>
        <v>0.0</v>
      </c>
      <c r="H463" s="8">
        <f>INDEX('Rubro por CUI'!$G$5:$G$454,MATCH("003|2616977",'Rubro por CUI'!$N$5:$N$454,0))</f>
        <v>0.0</v>
      </c>
      <c r="I463" s="8">
        <f>INDEX('Rubro por CUI'!$H$5:$H$454,MATCH("003|2616977",'Rubro por CUI'!$N$5:$N$454,0))</f>
        <v>0.0</v>
      </c>
      <c r="J463" s="8">
        <f>INDEX('Rubro por CUI'!$I$5:$I$454,MATCH("003|2616977",'Rubro por CUI'!$N$5:$N$454,0))</f>
        <v>0.0</v>
      </c>
      <c r="K463" s="8">
        <f>L463-SUM(F463:J463)</f>
        <v>0.0</v>
      </c>
      <c r="L463" s="8">
        <f>SUMIFS(Base!$N$5:$N$504,Base!$A$5:$A$504,"003",Base!$F$5:$F$504,"2616977")</f>
        <v>0.0</v>
      </c>
      <c r="M463" s="8">
        <f>D463-E463-L463</f>
        <v>7995687.0</v>
      </c>
      <c r="N463" s="7" t="s">
        <v>89</v>
      </c>
    </row>
    <row r="464" spans="1:14">
      <c r="A464" s="21" t="s">
        <v>1664</v>
      </c>
      <c r="B464" s="21"/>
      <c r="C464" s="21"/>
      <c r="D464" s="22">
        <f>D465</f>
        <v>218308784.0</v>
      </c>
      <c r="E464" s="22">
        <f>E465</f>
        <v>119278411.0</v>
      </c>
      <c r="F464" s="22">
        <f>F465</f>
        <v>0.0</v>
      </c>
      <c r="G464" s="22">
        <f>G465</f>
        <v>0.0</v>
      </c>
      <c r="H464" s="22">
        <f>H465</f>
        <v>18139969.0</v>
      </c>
      <c r="I464" s="22">
        <f>I465</f>
        <v>1947443.0</v>
      </c>
      <c r="J464" s="22">
        <f>J465</f>
        <v>0.0</v>
      </c>
      <c r="K464" s="22">
        <f>K465</f>
        <v>0.0</v>
      </c>
      <c r="L464" s="22">
        <f>L465</f>
        <v>20087412.0</v>
      </c>
      <c r="M464" s="22">
        <f>M465</f>
        <v>78942961.0</v>
      </c>
      <c r="N464" s="21"/>
    </row>
    <row r="465" spans="1:14">
      <c r="A465" s="25" t="s">
        <v>1128</v>
      </c>
      <c r="B465" s="25"/>
      <c r="C465" s="25"/>
      <c r="D465" s="26">
        <f>SUM(D466:D470)</f>
        <v>218308784.0</v>
      </c>
      <c r="E465" s="26">
        <f>SUM(E466:E470)</f>
        <v>119278411.0</v>
      </c>
      <c r="F465" s="26">
        <f>SUM(F466:F470)</f>
        <v>0.0</v>
      </c>
      <c r="G465" s="26">
        <f>SUM(G466:G470)</f>
        <v>0.0</v>
      </c>
      <c r="H465" s="26">
        <f>SUM(H466:H470)</f>
        <v>18139969.0</v>
      </c>
      <c r="I465" s="26">
        <f>SUM(I466:I470)</f>
        <v>1947443.0</v>
      </c>
      <c r="J465" s="26">
        <f>SUM(J466:J470)</f>
        <v>0.0</v>
      </c>
      <c r="K465" s="26">
        <f>SUM(K466:K470)</f>
        <v>0.0</v>
      </c>
      <c r="L465" s="26">
        <f>SUM(L466:L470)</f>
        <v>20087412.0</v>
      </c>
      <c r="M465" s="26">
        <f>SUM(M466:M470)</f>
        <v>78942961.0</v>
      </c>
      <c r="N465" s="25"/>
    </row>
    <row r="466" spans="1:14">
      <c r="A466" s="28">
        <v>436</v>
      </c>
      <c r="B466" s="28" t="s">
        <v>2206</v>
      </c>
      <c r="C466" s="7" t="s">
        <v>1666</v>
      </c>
      <c r="D466" s="33">
        <v>31518091</v>
      </c>
      <c r="E466" s="33">
        <v>6984394</v>
      </c>
      <c r="F466" s="8">
        <f>INDEX('Rubro por CUI'!$E$5:$E$454,MATCH("005|2559663",'Rubro por CUI'!$N$5:$N$454,0))</f>
        <v>0.0</v>
      </c>
      <c r="G466" s="8">
        <f>INDEX('Rubro por CUI'!$F$5:$F$454,MATCH("005|2559663",'Rubro por CUI'!$N$5:$N$454,0))</f>
        <v>0.0</v>
      </c>
      <c r="H466" s="8">
        <f>INDEX('Rubro por CUI'!$G$5:$G$454,MATCH("005|2559663",'Rubro por CUI'!$N$5:$N$454,0))</f>
        <v>9372234.0</v>
      </c>
      <c r="I466" s="8">
        <f>INDEX('Rubro por CUI'!$H$5:$H$454,MATCH("005|2559663",'Rubro por CUI'!$N$5:$N$454,0))</f>
        <v>1100792.0</v>
      </c>
      <c r="J466" s="8">
        <f>INDEX('Rubro por CUI'!$I$5:$I$454,MATCH("005|2559663",'Rubro por CUI'!$N$5:$N$454,0))</f>
        <v>0.0</v>
      </c>
      <c r="K466" s="8">
        <f>L466-SUM(F466:J466)</f>
        <v>0.0</v>
      </c>
      <c r="L466" s="8">
        <f>SUMIFS(Base!$N$5:$N$504,Base!$A$5:$A$504,"005",Base!$F$5:$F$504,"2559663")</f>
        <v>10473026.0</v>
      </c>
      <c r="M466" s="8">
        <f>D466-E466-L466</f>
        <v>14060671.0</v>
      </c>
      <c r="N466" s="7" t="s">
        <v>89</v>
      </c>
    </row>
    <row r="467" spans="1:14">
      <c r="A467" s="28">
        <v>437</v>
      </c>
      <c r="B467" s="28" t="s">
        <v>2131</v>
      </c>
      <c r="C467" s="7" t="s">
        <v>1668</v>
      </c>
      <c r="D467" s="33">
        <v>28316034</v>
      </c>
      <c r="E467" s="33">
        <v>244723</v>
      </c>
      <c r="F467" s="8">
        <f>INDEX('Rubro por CUI'!$E$5:$E$454,MATCH("005|2631496",'Rubro por CUI'!$N$5:$N$454,0))</f>
        <v>0.0</v>
      </c>
      <c r="G467" s="8">
        <f>INDEX('Rubro por CUI'!$F$5:$F$454,MATCH("005|2631496",'Rubro por CUI'!$N$5:$N$454,0))</f>
        <v>0.0</v>
      </c>
      <c r="H467" s="8">
        <f>INDEX('Rubro por CUI'!$G$5:$G$454,MATCH("005|2631496",'Rubro por CUI'!$N$5:$N$454,0))</f>
        <v>5141948.0</v>
      </c>
      <c r="I467" s="8">
        <f>INDEX('Rubro por CUI'!$H$5:$H$454,MATCH("005|2631496",'Rubro por CUI'!$N$5:$N$454,0))</f>
        <v>560000.0</v>
      </c>
      <c r="J467" s="8">
        <f>INDEX('Rubro por CUI'!$I$5:$I$454,MATCH("005|2631496",'Rubro por CUI'!$N$5:$N$454,0))</f>
        <v>0.0</v>
      </c>
      <c r="K467" s="8">
        <f>L467-SUM(F467:J467)</f>
        <v>0.0</v>
      </c>
      <c r="L467" s="8">
        <f>SUMIFS(Base!$N$5:$N$504,Base!$A$5:$A$504,"005",Base!$F$5:$F$504,"2631496")</f>
        <v>5701948.0</v>
      </c>
      <c r="M467" s="8">
        <f>D467-E467-L467</f>
        <v>22369363.0</v>
      </c>
      <c r="N467" s="7" t="s">
        <v>89</v>
      </c>
    </row>
    <row r="468" spans="1:14">
      <c r="A468" s="28">
        <v>438</v>
      </c>
      <c r="B468" s="28" t="s">
        <v>2225</v>
      </c>
      <c r="C468" s="7" t="s">
        <v>1671</v>
      </c>
      <c r="D468" s="33">
        <v>82983920</v>
      </c>
      <c r="E468" s="33">
        <v>71616769</v>
      </c>
      <c r="F468" s="8">
        <f>INDEX('Rubro por CUI'!$E$5:$E$454,MATCH("005|2479852",'Rubro por CUI'!$N$5:$N$454,0))</f>
        <v>0.0</v>
      </c>
      <c r="G468" s="8">
        <f>INDEX('Rubro por CUI'!$F$5:$F$454,MATCH("005|2479852",'Rubro por CUI'!$N$5:$N$454,0))</f>
        <v>0.0</v>
      </c>
      <c r="H468" s="8">
        <f>INDEX('Rubro por CUI'!$G$5:$G$454,MATCH("005|2479852",'Rubro por CUI'!$N$5:$N$454,0))</f>
        <v>3595787.0</v>
      </c>
      <c r="I468" s="8">
        <f>INDEX('Rubro por CUI'!$H$5:$H$454,MATCH("005|2479852",'Rubro por CUI'!$N$5:$N$454,0))</f>
        <v>286651.0</v>
      </c>
      <c r="J468" s="8">
        <f>INDEX('Rubro por CUI'!$I$5:$I$454,MATCH("005|2479852",'Rubro por CUI'!$N$5:$N$454,0))</f>
        <v>0.0</v>
      </c>
      <c r="K468" s="8">
        <f>L468-SUM(F468:J468)</f>
        <v>0.0</v>
      </c>
      <c r="L468" s="8">
        <f>SUMIFS(Base!$N$5:$N$504,Base!$A$5:$A$504,"005",Base!$F$5:$F$504,"2479852")</f>
        <v>3882438.0</v>
      </c>
      <c r="M468" s="8">
        <f>D468-E468-L468</f>
        <v>7484713.0</v>
      </c>
      <c r="N468" s="7" t="s">
        <v>89</v>
      </c>
    </row>
    <row r="469" spans="1:14">
      <c r="A469" s="28">
        <v>439</v>
      </c>
      <c r="B469" s="28" t="s">
        <v>1833</v>
      </c>
      <c r="C469" s="7" t="s">
        <v>1674</v>
      </c>
      <c r="D469" s="33">
        <v>42541462</v>
      </c>
      <c r="E469" s="33">
        <v>40276297</v>
      </c>
      <c r="F469" s="8">
        <f>INDEX('Rubro por CUI'!$E$5:$E$454,MATCH("005|2325694",'Rubro por CUI'!$N$5:$N$454,0))</f>
        <v>0.0</v>
      </c>
      <c r="G469" s="8">
        <f>INDEX('Rubro por CUI'!$F$5:$F$454,MATCH("005|2325694",'Rubro por CUI'!$N$5:$N$454,0))</f>
        <v>0.0</v>
      </c>
      <c r="H469" s="8">
        <f>INDEX('Rubro por CUI'!$G$5:$G$454,MATCH("005|2325694",'Rubro por CUI'!$N$5:$N$454,0))</f>
        <v>30000.0</v>
      </c>
      <c r="I469" s="8">
        <f>INDEX('Rubro por CUI'!$H$5:$H$454,MATCH("005|2325694",'Rubro por CUI'!$N$5:$N$454,0))</f>
        <v>0.0</v>
      </c>
      <c r="J469" s="8">
        <f>INDEX('Rubro por CUI'!$I$5:$I$454,MATCH("005|2325694",'Rubro por CUI'!$N$5:$N$454,0))</f>
        <v>0.0</v>
      </c>
      <c r="K469" s="8">
        <f>L469-SUM(F469:J469)</f>
        <v>0.0</v>
      </c>
      <c r="L469" s="8">
        <f>SUMIFS(Base!$N$5:$N$504,Base!$A$5:$A$504,"005",Base!$F$5:$F$504,"2325694")</f>
        <v>30000.0</v>
      </c>
      <c r="M469" s="8">
        <f>D469-E469-L469</f>
        <v>2235165.0</v>
      </c>
      <c r="N469" s="7" t="s">
        <v>89</v>
      </c>
    </row>
    <row r="470" spans="1:14">
      <c r="A470" s="28">
        <v>440</v>
      </c>
      <c r="B470" s="28" t="s">
        <v>2207</v>
      </c>
      <c r="C470" s="7" t="s">
        <v>1676</v>
      </c>
      <c r="D470" s="33">
        <v>32949277</v>
      </c>
      <c r="E470" s="33">
        <v>156228</v>
      </c>
      <c r="F470" s="8">
        <f>INDEX('Rubro por CUI'!$E$5:$E$454,MATCH("005|2538654",'Rubro por CUI'!$N$5:$N$454,0))</f>
        <v>0.0</v>
      </c>
      <c r="G470" s="8">
        <f>INDEX('Rubro por CUI'!$F$5:$F$454,MATCH("005|2538654",'Rubro por CUI'!$N$5:$N$454,0))</f>
        <v>0.0</v>
      </c>
      <c r="H470" s="8">
        <f>INDEX('Rubro por CUI'!$G$5:$G$454,MATCH("005|2538654",'Rubro por CUI'!$N$5:$N$454,0))</f>
        <v>0.0</v>
      </c>
      <c r="I470" s="8">
        <f>INDEX('Rubro por CUI'!$H$5:$H$454,MATCH("005|2538654",'Rubro por CUI'!$N$5:$N$454,0))</f>
        <v>0.0</v>
      </c>
      <c r="J470" s="8">
        <f>INDEX('Rubro por CUI'!$I$5:$I$454,MATCH("005|2538654",'Rubro por CUI'!$N$5:$N$454,0))</f>
        <v>0.0</v>
      </c>
      <c r="K470" s="8">
        <f>L470-SUM(F470:J470)</f>
        <v>0.0</v>
      </c>
      <c r="L470" s="8">
        <f>SUMIFS(Base!$N$5:$N$504,Base!$A$5:$A$504,"005",Base!$F$5:$F$504,"2538654")</f>
        <v>0.0</v>
      </c>
      <c r="M470" s="8">
        <f>D470-E470-L470</f>
        <v>32793049.0</v>
      </c>
      <c r="N470" s="7" t="s">
        <v>89</v>
      </c>
    </row>
    <row r="471" spans="1:14">
      <c r="A471" s="21" t="s">
        <v>1679</v>
      </c>
      <c r="B471" s="21"/>
      <c r="C471" s="21"/>
      <c r="D471" s="22">
        <f>D472+D479</f>
        <v>184829137.0</v>
      </c>
      <c r="E471" s="22">
        <f>E472+E479</f>
        <v>83172115.0</v>
      </c>
      <c r="F471" s="22">
        <f>F472+F479</f>
        <v>0.0</v>
      </c>
      <c r="G471" s="22">
        <f>G472+G479</f>
        <v>1905155.0</v>
      </c>
      <c r="H471" s="22">
        <f>H472+H479</f>
        <v>12541847.0</v>
      </c>
      <c r="I471" s="22">
        <f>I472+I479</f>
        <v>134392.0</v>
      </c>
      <c r="J471" s="22">
        <f>J472+J479</f>
        <v>0.0</v>
      </c>
      <c r="K471" s="22">
        <f>K472+K479</f>
        <v>0.0</v>
      </c>
      <c r="L471" s="22">
        <f>L472+L479</f>
        <v>14581394.0</v>
      </c>
      <c r="M471" s="22">
        <f>M472+M479</f>
        <v>87249128.0</v>
      </c>
      <c r="N471" s="21"/>
    </row>
    <row r="472" spans="1:14">
      <c r="A472" s="25" t="s">
        <v>1128</v>
      </c>
      <c r="B472" s="25"/>
      <c r="C472" s="25"/>
      <c r="D472" s="26">
        <f>SUM(D473:D478)</f>
        <v>184115202.0</v>
      </c>
      <c r="E472" s="26">
        <f>SUM(E473:E478)</f>
        <v>83172115.0</v>
      </c>
      <c r="F472" s="26">
        <f>SUM(F473:F478)</f>
        <v>0.0</v>
      </c>
      <c r="G472" s="26">
        <f>SUM(G473:G478)</f>
        <v>1905155.0</v>
      </c>
      <c r="H472" s="26">
        <f>SUM(H473:H478)</f>
        <v>12451847.0</v>
      </c>
      <c r="I472" s="26">
        <f>SUM(I473:I478)</f>
        <v>70892.0</v>
      </c>
      <c r="J472" s="26">
        <f>SUM(J473:J478)</f>
        <v>0.0</v>
      </c>
      <c r="K472" s="26">
        <f>SUM(K473:K478)</f>
        <v>0.0</v>
      </c>
      <c r="L472" s="26">
        <f>SUM(L473:L478)</f>
        <v>14427894.0</v>
      </c>
      <c r="M472" s="26">
        <f>SUM(M473:M478)</f>
        <v>86555193.0</v>
      </c>
      <c r="N472" s="25"/>
    </row>
    <row r="473" spans="1:14">
      <c r="A473" s="28">
        <v>441</v>
      </c>
      <c r="B473" s="28" t="s">
        <v>2226</v>
      </c>
      <c r="C473" s="7" t="s">
        <v>1681</v>
      </c>
      <c r="D473" s="33">
        <v>33515549</v>
      </c>
      <c r="E473" s="33">
        <v>1953654</v>
      </c>
      <c r="F473" s="8">
        <f>INDEX('Rubro por CUI'!$E$5:$E$454,MATCH("100|2557255",'Rubro por CUI'!$N$5:$N$454,0))</f>
        <v>0.0</v>
      </c>
      <c r="G473" s="8">
        <f>INDEX('Rubro por CUI'!$F$5:$F$454,MATCH("100|2557255",'Rubro por CUI'!$N$5:$N$454,0))</f>
        <v>1905155.0</v>
      </c>
      <c r="H473" s="8">
        <f>INDEX('Rubro por CUI'!$G$5:$G$454,MATCH("100|2557255",'Rubro por CUI'!$N$5:$N$454,0))</f>
        <v>5534000.0</v>
      </c>
      <c r="I473" s="8">
        <f>INDEX('Rubro por CUI'!$H$5:$H$454,MATCH("100|2557255",'Rubro por CUI'!$N$5:$N$454,0))</f>
        <v>0.0</v>
      </c>
      <c r="J473" s="8">
        <f>INDEX('Rubro por CUI'!$I$5:$I$454,MATCH("100|2557255",'Rubro por CUI'!$N$5:$N$454,0))</f>
        <v>0.0</v>
      </c>
      <c r="K473" s="8">
        <f>L473-SUM(F473:J473)</f>
        <v>0.0</v>
      </c>
      <c r="L473" s="8">
        <f>SUMIFS(Base!$N$5:$N$504,Base!$A$5:$A$504,"100",Base!$F$5:$F$504,"2557255")</f>
        <v>7439155.0</v>
      </c>
      <c r="M473" s="8">
        <f>D473-E473-L473</f>
        <v>24122740.0</v>
      </c>
      <c r="N473" s="7" t="s">
        <v>89</v>
      </c>
    </row>
    <row r="474" spans="1:14">
      <c r="A474" s="28">
        <v>442</v>
      </c>
      <c r="B474" s="28" t="s">
        <v>2207</v>
      </c>
      <c r="C474" s="7" t="s">
        <v>1683</v>
      </c>
      <c r="D474" s="33">
        <v>51132957</v>
      </c>
      <c r="E474" s="33">
        <v>28564308</v>
      </c>
      <c r="F474" s="8">
        <f>INDEX('Rubro por CUI'!$E$5:$E$454,MATCH("100|2470873",'Rubro por CUI'!$N$5:$N$454,0))</f>
        <v>0.0</v>
      </c>
      <c r="G474" s="8">
        <f>INDEX('Rubro por CUI'!$F$5:$F$454,MATCH("100|2470873",'Rubro por CUI'!$N$5:$N$454,0))</f>
        <v>0.0</v>
      </c>
      <c r="H474" s="8">
        <f>INDEX('Rubro por CUI'!$G$5:$G$454,MATCH("100|2470873",'Rubro por CUI'!$N$5:$N$454,0))</f>
        <v>4417847.0</v>
      </c>
      <c r="I474" s="8">
        <f>INDEX('Rubro por CUI'!$H$5:$H$454,MATCH("100|2470873",'Rubro por CUI'!$N$5:$N$454,0))</f>
        <v>0.0</v>
      </c>
      <c r="J474" s="8">
        <f>INDEX('Rubro por CUI'!$I$5:$I$454,MATCH("100|2470873",'Rubro por CUI'!$N$5:$N$454,0))</f>
        <v>0.0</v>
      </c>
      <c r="K474" s="8">
        <f>L474-SUM(F474:J474)</f>
        <v>0.0</v>
      </c>
      <c r="L474" s="8">
        <f>SUMIFS(Base!$N$5:$N$504,Base!$A$5:$A$504,"100",Base!$F$5:$F$504,"2470873")</f>
        <v>4417847.0</v>
      </c>
      <c r="M474" s="8">
        <f>D474-E474-L474</f>
        <v>18150802.0</v>
      </c>
      <c r="N474" s="7" t="s">
        <v>89</v>
      </c>
    </row>
    <row r="475" spans="1:14">
      <c r="A475" s="28">
        <v>443</v>
      </c>
      <c r="B475" s="28" t="s">
        <v>1889</v>
      </c>
      <c r="C475" s="7" t="s">
        <v>1685</v>
      </c>
      <c r="D475" s="33">
        <v>33055300</v>
      </c>
      <c r="E475" s="33">
        <v>29727249</v>
      </c>
      <c r="F475" s="8">
        <f>INDEX('Rubro por CUI'!$E$5:$E$454,MATCH("100|2511053",'Rubro por CUI'!$N$5:$N$454,0))</f>
        <v>0.0</v>
      </c>
      <c r="G475" s="8">
        <f>INDEX('Rubro por CUI'!$F$5:$F$454,MATCH("100|2511053",'Rubro por CUI'!$N$5:$N$454,0))</f>
        <v>0.0</v>
      </c>
      <c r="H475" s="8">
        <f>INDEX('Rubro por CUI'!$G$5:$G$454,MATCH("100|2511053",'Rubro por CUI'!$N$5:$N$454,0))</f>
        <v>2000000.0</v>
      </c>
      <c r="I475" s="8">
        <f>INDEX('Rubro por CUI'!$H$5:$H$454,MATCH("100|2511053",'Rubro por CUI'!$N$5:$N$454,0))</f>
        <v>0.0</v>
      </c>
      <c r="J475" s="8">
        <f>INDEX('Rubro por CUI'!$I$5:$I$454,MATCH("100|2511053",'Rubro por CUI'!$N$5:$N$454,0))</f>
        <v>0.0</v>
      </c>
      <c r="K475" s="8">
        <f>L475-SUM(F475:J475)</f>
        <v>0.0</v>
      </c>
      <c r="L475" s="8">
        <f>SUMIFS(Base!$N$5:$N$504,Base!$A$5:$A$504,"100",Base!$F$5:$F$504,"2511053")</f>
        <v>2000000.0</v>
      </c>
      <c r="M475" s="8">
        <f>D475-E475-L475</f>
        <v>1328051.0</v>
      </c>
      <c r="N475" s="7" t="s">
        <v>89</v>
      </c>
    </row>
    <row r="476" spans="1:14">
      <c r="A476" s="28">
        <v>444</v>
      </c>
      <c r="B476" s="28" t="s">
        <v>2227</v>
      </c>
      <c r="C476" s="7" t="s">
        <v>1688</v>
      </c>
      <c r="D476" s="33">
        <v>42956692</v>
      </c>
      <c r="E476" s="33">
        <v>242394</v>
      </c>
      <c r="F476" s="8">
        <f>INDEX('Rubro por CUI'!$E$5:$E$454,MATCH("100|2629018",'Rubro por CUI'!$N$5:$N$454,0))</f>
        <v>0.0</v>
      </c>
      <c r="G476" s="8">
        <f>INDEX('Rubro por CUI'!$F$5:$F$454,MATCH("100|2629018",'Rubro por CUI'!$N$5:$N$454,0))</f>
        <v>0.0</v>
      </c>
      <c r="H476" s="8">
        <f>INDEX('Rubro por CUI'!$G$5:$G$454,MATCH("100|2629018",'Rubro por CUI'!$N$5:$N$454,0))</f>
        <v>500000.0</v>
      </c>
      <c r="I476" s="8">
        <f>INDEX('Rubro por CUI'!$H$5:$H$454,MATCH("100|2629018",'Rubro por CUI'!$N$5:$N$454,0))</f>
        <v>0.0</v>
      </c>
      <c r="J476" s="8">
        <f>INDEX('Rubro por CUI'!$I$5:$I$454,MATCH("100|2629018",'Rubro por CUI'!$N$5:$N$454,0))</f>
        <v>0.0</v>
      </c>
      <c r="K476" s="8">
        <f>L476-SUM(F476:J476)</f>
        <v>0.0</v>
      </c>
      <c r="L476" s="8">
        <f>SUMIFS(Base!$N$5:$N$504,Base!$A$5:$A$504,"100",Base!$F$5:$F$504,"2629018")</f>
        <v>500000.0</v>
      </c>
      <c r="M476" s="8">
        <f>D476-E476-L476</f>
        <v>42214298.0</v>
      </c>
      <c r="N476" s="7" t="s">
        <v>89</v>
      </c>
    </row>
    <row r="477" spans="1:14">
      <c r="A477" s="28">
        <v>445</v>
      </c>
      <c r="B477" s="28" t="s">
        <v>1887</v>
      </c>
      <c r="C477" s="7" t="s">
        <v>1691</v>
      </c>
      <c r="D477" s="7" t="s">
        <v>99</v>
      </c>
      <c r="E477" s="7" t="s">
        <v>99</v>
      </c>
      <c r="F477" s="8">
        <f>INDEX('Rubro por CUI'!$E$5:$E$454,MATCH("100|2313145",'Rubro por CUI'!$N$5:$N$454,0))</f>
        <v>0.0</v>
      </c>
      <c r="G477" s="8">
        <f>INDEX('Rubro por CUI'!$F$5:$F$454,MATCH("100|2313145",'Rubro por CUI'!$N$5:$N$454,0))</f>
        <v>0.0</v>
      </c>
      <c r="H477" s="8">
        <f>INDEX('Rubro por CUI'!$G$5:$G$454,MATCH("100|2313145",'Rubro por CUI'!$N$5:$N$454,0))</f>
        <v>0.0</v>
      </c>
      <c r="I477" s="8">
        <f>INDEX('Rubro por CUI'!$H$5:$H$454,MATCH("100|2313145",'Rubro por CUI'!$N$5:$N$454,0))</f>
        <v>40000.0</v>
      </c>
      <c r="J477" s="8">
        <f>INDEX('Rubro por CUI'!$I$5:$I$454,MATCH("100|2313145",'Rubro por CUI'!$N$5:$N$454,0))</f>
        <v>0.0</v>
      </c>
      <c r="K477" s="8">
        <f>L477-SUM(F477:J477)</f>
        <v>0.0</v>
      </c>
      <c r="L477" s="8">
        <f>SUMIFS(Base!$N$5:$N$504,Base!$A$5:$A$504,"100",Base!$F$5:$F$504,"2313145")</f>
        <v>40000.0</v>
      </c>
      <c r="M477" s="7" t="s">
        <v>99</v>
      </c>
      <c r="N477" s="7" t="s">
        <v>1796</v>
      </c>
    </row>
    <row r="478" spans="1:14">
      <c r="A478" s="28">
        <v>446</v>
      </c>
      <c r="B478" s="28" t="s">
        <v>1871</v>
      </c>
      <c r="C478" s="7" t="s">
        <v>1693</v>
      </c>
      <c r="D478" s="33">
        <v>23454704</v>
      </c>
      <c r="E478" s="33">
        <v>22684510</v>
      </c>
      <c r="F478" s="8">
        <f>INDEX('Rubro por CUI'!$E$5:$E$454,MATCH("100|2318520",'Rubro por CUI'!$N$5:$N$454,0))</f>
        <v>0.0</v>
      </c>
      <c r="G478" s="8">
        <f>INDEX('Rubro por CUI'!$F$5:$F$454,MATCH("100|2318520",'Rubro por CUI'!$N$5:$N$454,0))</f>
        <v>0.0</v>
      </c>
      <c r="H478" s="8">
        <f>INDEX('Rubro por CUI'!$G$5:$G$454,MATCH("100|2318520",'Rubro por CUI'!$N$5:$N$454,0))</f>
        <v>0.0</v>
      </c>
      <c r="I478" s="8">
        <f>INDEX('Rubro por CUI'!$H$5:$H$454,MATCH("100|2318520",'Rubro por CUI'!$N$5:$N$454,0))</f>
        <v>30892.0</v>
      </c>
      <c r="J478" s="8">
        <f>INDEX('Rubro por CUI'!$I$5:$I$454,MATCH("100|2318520",'Rubro por CUI'!$N$5:$N$454,0))</f>
        <v>0.0</v>
      </c>
      <c r="K478" s="8">
        <f>L478-SUM(F478:J478)</f>
        <v>0.0</v>
      </c>
      <c r="L478" s="8">
        <f>SUMIFS(Base!$N$5:$N$504,Base!$A$5:$A$504,"100",Base!$F$5:$F$504,"2318520")</f>
        <v>30892.0</v>
      </c>
      <c r="M478" s="8">
        <f>D478-E478-L478</f>
        <v>739302.0</v>
      </c>
      <c r="N478" s="7" t="s">
        <v>89</v>
      </c>
    </row>
    <row r="479" spans="1:14">
      <c r="A479" s="25" t="s">
        <v>353</v>
      </c>
      <c r="B479" s="25"/>
      <c r="C479" s="25"/>
      <c r="D479" s="26">
        <f>SUM(D480:D481)</f>
        <v>713935.0</v>
      </c>
      <c r="E479" s="26">
        <f>SUM(E480:E481)</f>
        <v>0.0</v>
      </c>
      <c r="F479" s="26">
        <f>SUM(F480:F481)</f>
        <v>0.0</v>
      </c>
      <c r="G479" s="26">
        <f>SUM(G480:G481)</f>
        <v>0.0</v>
      </c>
      <c r="H479" s="26">
        <f>SUM(H480:H481)</f>
        <v>90000.0</v>
      </c>
      <c r="I479" s="26">
        <f>SUM(I480:I481)</f>
        <v>63500.0</v>
      </c>
      <c r="J479" s="26">
        <f>SUM(J480:J481)</f>
        <v>0.0</v>
      </c>
      <c r="K479" s="26">
        <f>SUM(K480:K481)</f>
        <v>0.0</v>
      </c>
      <c r="L479" s="26">
        <f>SUM(L480:L481)</f>
        <v>153500.0</v>
      </c>
      <c r="M479" s="26">
        <f>SUM(M480:M481)</f>
        <v>693935.0</v>
      </c>
      <c r="N479" s="25"/>
    </row>
    <row r="480" spans="1:14">
      <c r="A480" s="28">
        <v>447</v>
      </c>
      <c r="B480" s="28" t="s">
        <v>1955</v>
      </c>
      <c r="C480" s="7" t="s">
        <v>1640</v>
      </c>
      <c r="D480" s="7" t="s">
        <v>99</v>
      </c>
      <c r="E480" s="7" t="s">
        <v>99</v>
      </c>
      <c r="F480" s="8">
        <f>INDEX('Rubro por CUI'!$E$5:$E$454,MATCH("100|2001621",'Rubro por CUI'!$N$5:$N$454,0))</f>
        <v>0.0</v>
      </c>
      <c r="G480" s="8">
        <f>INDEX('Rubro por CUI'!$F$5:$F$454,MATCH("100|2001621",'Rubro por CUI'!$N$5:$N$454,0))</f>
        <v>0.0</v>
      </c>
      <c r="H480" s="8">
        <f>INDEX('Rubro por CUI'!$G$5:$G$454,MATCH("100|2001621",'Rubro por CUI'!$N$5:$N$454,0))</f>
        <v>90000.0</v>
      </c>
      <c r="I480" s="8">
        <f>INDEX('Rubro por CUI'!$H$5:$H$454,MATCH("100|2001621",'Rubro por CUI'!$N$5:$N$454,0))</f>
        <v>43500.0</v>
      </c>
      <c r="J480" s="8">
        <f>INDEX('Rubro por CUI'!$I$5:$I$454,MATCH("100|2001621",'Rubro por CUI'!$N$5:$N$454,0))</f>
        <v>0.0</v>
      </c>
      <c r="K480" s="8">
        <f>L480-SUM(F480:J480)</f>
        <v>0.0</v>
      </c>
      <c r="L480" s="8">
        <f>SUMIFS(Base!$N$5:$N$504,Base!$A$5:$A$504,"100",Base!$F$5:$F$504,"2001621")</f>
        <v>133500.0</v>
      </c>
      <c r="M480" s="7" t="s">
        <v>99</v>
      </c>
      <c r="N480" s="7" t="s">
        <v>1796</v>
      </c>
    </row>
    <row r="481" spans="1:14">
      <c r="A481" s="28">
        <v>448</v>
      </c>
      <c r="B481" s="28" t="s">
        <v>1898</v>
      </c>
      <c r="C481" s="7" t="s">
        <v>1695</v>
      </c>
      <c r="D481" s="33">
        <v>713935</v>
      </c>
      <c r="E481" s="33">
        <v>0</v>
      </c>
      <c r="F481" s="8">
        <f>INDEX('Rubro por CUI'!$E$5:$E$454,MATCH("100|2615902",'Rubro por CUI'!$N$5:$N$454,0))</f>
        <v>0.0</v>
      </c>
      <c r="G481" s="8">
        <f>INDEX('Rubro por CUI'!$F$5:$F$454,MATCH("100|2615902",'Rubro por CUI'!$N$5:$N$454,0))</f>
        <v>0.0</v>
      </c>
      <c r="H481" s="8">
        <f>INDEX('Rubro por CUI'!$G$5:$G$454,MATCH("100|2615902",'Rubro por CUI'!$N$5:$N$454,0))</f>
        <v>0.0</v>
      </c>
      <c r="I481" s="8">
        <f>INDEX('Rubro por CUI'!$H$5:$H$454,MATCH("100|2615902",'Rubro por CUI'!$N$5:$N$454,0))</f>
        <v>20000.0</v>
      </c>
      <c r="J481" s="8">
        <f>INDEX('Rubro por CUI'!$I$5:$I$454,MATCH("100|2615902",'Rubro por CUI'!$N$5:$N$454,0))</f>
        <v>0.0</v>
      </c>
      <c r="K481" s="8">
        <f>L481-SUM(F481:J481)</f>
        <v>0.0</v>
      </c>
      <c r="L481" s="8">
        <f>SUMIFS(Base!$N$5:$N$504,Base!$A$5:$A$504,"100",Base!$F$5:$F$504,"2615902")</f>
        <v>20000.0</v>
      </c>
      <c r="M481" s="8">
        <f>D481-E481-L481</f>
        <v>693935.0</v>
      </c>
      <c r="N481" s="7" t="s">
        <v>89</v>
      </c>
    </row>
    <row r="482" spans="1:14">
      <c r="A482" s="21" t="s">
        <v>1697</v>
      </c>
      <c r="B482" s="21"/>
      <c r="C482" s="21"/>
      <c r="D482" s="22">
        <f>D483</f>
        <v>3850781.0</v>
      </c>
      <c r="E482" s="22">
        <f>E483</f>
        <v>3695812.0</v>
      </c>
      <c r="F482" s="22">
        <f>F483</f>
        <v>0.0</v>
      </c>
      <c r="G482" s="22">
        <f>G483</f>
        <v>0.0</v>
      </c>
      <c r="H482" s="22">
        <f>H483</f>
        <v>0.0</v>
      </c>
      <c r="I482" s="22">
        <f>I483</f>
        <v>32592.0</v>
      </c>
      <c r="J482" s="22">
        <f>J483</f>
        <v>0.0</v>
      </c>
      <c r="K482" s="22">
        <f>K483</f>
        <v>0.0</v>
      </c>
      <c r="L482" s="22">
        <f>L483</f>
        <v>32592.0</v>
      </c>
      <c r="M482" s="22">
        <f>M483</f>
        <v>122377.0</v>
      </c>
      <c r="N482" s="21"/>
    </row>
    <row r="483" spans="1:14">
      <c r="A483" s="25" t="s">
        <v>102</v>
      </c>
      <c r="B483" s="25"/>
      <c r="C483" s="25"/>
      <c r="D483" s="26">
        <f>SUM(D484:D484)</f>
        <v>3850781.0</v>
      </c>
      <c r="E483" s="26">
        <f>SUM(E484:E484)</f>
        <v>3695812.0</v>
      </c>
      <c r="F483" s="26">
        <f>SUM(F484:F484)</f>
        <v>0.0</v>
      </c>
      <c r="G483" s="26">
        <f>SUM(G484:G484)</f>
        <v>0.0</v>
      </c>
      <c r="H483" s="26">
        <f>SUM(H484:H484)</f>
        <v>0.0</v>
      </c>
      <c r="I483" s="26">
        <f>SUM(I484:I484)</f>
        <v>32592.0</v>
      </c>
      <c r="J483" s="26">
        <f>SUM(J484:J484)</f>
        <v>0.0</v>
      </c>
      <c r="K483" s="26">
        <f>SUM(K484:K484)</f>
        <v>0.0</v>
      </c>
      <c r="L483" s="26">
        <f>SUM(L484:L484)</f>
        <v>32592.0</v>
      </c>
      <c r="M483" s="26">
        <f>SUM(M484:M484)</f>
        <v>122377.0</v>
      </c>
      <c r="N483" s="25"/>
    </row>
    <row r="484" spans="1:14">
      <c r="A484" s="28">
        <v>449</v>
      </c>
      <c r="B484" s="28" t="s">
        <v>2081</v>
      </c>
      <c r="C484" s="7" t="s">
        <v>1069</v>
      </c>
      <c r="D484" s="33">
        <v>3850781</v>
      </c>
      <c r="E484" s="33">
        <v>3695812</v>
      </c>
      <c r="F484" s="8">
        <f>INDEX('Rubro por CUI'!$E$5:$E$454,MATCH("302|2393101",'Rubro por CUI'!$N$5:$N$454,0))</f>
        <v>0.0</v>
      </c>
      <c r="G484" s="8">
        <f>INDEX('Rubro por CUI'!$F$5:$F$454,MATCH("302|2393101",'Rubro por CUI'!$N$5:$N$454,0))</f>
        <v>0.0</v>
      </c>
      <c r="H484" s="8">
        <f>INDEX('Rubro por CUI'!$G$5:$G$454,MATCH("302|2393101",'Rubro por CUI'!$N$5:$N$454,0))</f>
        <v>0.0</v>
      </c>
      <c r="I484" s="8">
        <f>INDEX('Rubro por CUI'!$H$5:$H$454,MATCH("302|2393101",'Rubro por CUI'!$N$5:$N$454,0))</f>
        <v>32592.0</v>
      </c>
      <c r="J484" s="8">
        <f>INDEX('Rubro por CUI'!$I$5:$I$454,MATCH("302|2393101",'Rubro por CUI'!$N$5:$N$454,0))</f>
        <v>0.0</v>
      </c>
      <c r="K484" s="8">
        <f>L484-SUM(F484:J484)</f>
        <v>0.0</v>
      </c>
      <c r="L484" s="8">
        <f>SUMIFS(Base!$N$5:$N$504,Base!$A$5:$A$504,"302",Base!$F$5:$F$504,"2393101")</f>
        <v>32592.0</v>
      </c>
      <c r="M484" s="8">
        <f>D484-E484-L484</f>
        <v>122377.0</v>
      </c>
      <c r="N484" s="7" t="s">
        <v>89</v>
      </c>
    </row>
    <row r="485" spans="1:14">
      <c r="A485" s="21" t="s">
        <v>1699</v>
      </c>
      <c r="B485" s="21"/>
      <c r="C485" s="21"/>
      <c r="D485" s="22">
        <f>D486</f>
        <v>43800.0</v>
      </c>
      <c r="E485" s="22">
        <f>E486</f>
        <v>0.0</v>
      </c>
      <c r="F485" s="22">
        <f>F486</f>
        <v>41800.0</v>
      </c>
      <c r="G485" s="22">
        <f>G486</f>
        <v>0.0</v>
      </c>
      <c r="H485" s="22">
        <f>H486</f>
        <v>0.0</v>
      </c>
      <c r="I485" s="22">
        <f>I486</f>
        <v>0.0</v>
      </c>
      <c r="J485" s="22">
        <f>J486</f>
        <v>0.0</v>
      </c>
      <c r="K485" s="22">
        <f>K486</f>
        <v>0.0</v>
      </c>
      <c r="L485" s="22">
        <f>L486</f>
        <v>41800.0</v>
      </c>
      <c r="M485" s="22">
        <f>M486</f>
        <v>2000.0</v>
      </c>
      <c r="N485" s="21"/>
    </row>
    <row r="486" spans="1:14">
      <c r="A486" s="25" t="s">
        <v>78</v>
      </c>
      <c r="B486" s="25"/>
      <c r="C486" s="25"/>
      <c r="D486" s="26">
        <f>SUM(D487:D487)</f>
        <v>43800.0</v>
      </c>
      <c r="E486" s="26">
        <f>SUM(E487:E487)</f>
        <v>0.0</v>
      </c>
      <c r="F486" s="26">
        <f>SUM(F487:F487)</f>
        <v>41800.0</v>
      </c>
      <c r="G486" s="26">
        <f>SUM(G487:G487)</f>
        <v>0.0</v>
      </c>
      <c r="H486" s="26">
        <f>SUM(H487:H487)</f>
        <v>0.0</v>
      </c>
      <c r="I486" s="26">
        <f>SUM(I487:I487)</f>
        <v>0.0</v>
      </c>
      <c r="J486" s="26">
        <f>SUM(J487:J487)</f>
        <v>0.0</v>
      </c>
      <c r="K486" s="26">
        <f>SUM(K487:K487)</f>
        <v>0.0</v>
      </c>
      <c r="L486" s="26">
        <f>SUM(L487:L487)</f>
        <v>41800.0</v>
      </c>
      <c r="M486" s="26">
        <f>SUM(M487:M487)</f>
        <v>2000.0</v>
      </c>
      <c r="N486" s="25"/>
    </row>
    <row r="487" spans="1:14">
      <c r="A487" s="28">
        <v>450</v>
      </c>
      <c r="B487" s="28" t="s">
        <v>2014</v>
      </c>
      <c r="C487" s="7" t="s">
        <v>1701</v>
      </c>
      <c r="D487" s="33">
        <v>43800</v>
      </c>
      <c r="E487" s="33">
        <v>0</v>
      </c>
      <c r="F487" s="8">
        <f>INDEX('Rubro por CUI'!$E$5:$E$454,MATCH("413|2730957",'Rubro por CUI'!$N$5:$N$454,0))</f>
        <v>41800.0</v>
      </c>
      <c r="G487" s="8">
        <f>INDEX('Rubro por CUI'!$F$5:$F$454,MATCH("413|2730957",'Rubro por CUI'!$N$5:$N$454,0))</f>
        <v>0.0</v>
      </c>
      <c r="H487" s="8">
        <f>INDEX('Rubro por CUI'!$G$5:$G$454,MATCH("413|2730957",'Rubro por CUI'!$N$5:$N$454,0))</f>
        <v>0.0</v>
      </c>
      <c r="I487" s="8">
        <f>INDEX('Rubro por CUI'!$H$5:$H$454,MATCH("413|2730957",'Rubro por CUI'!$N$5:$N$454,0))</f>
        <v>0.0</v>
      </c>
      <c r="J487" s="8">
        <f>INDEX('Rubro por CUI'!$I$5:$I$454,MATCH("413|2730957",'Rubro por CUI'!$N$5:$N$454,0))</f>
        <v>0.0</v>
      </c>
      <c r="K487" s="8">
        <f>L487-SUM(F487:J487)</f>
        <v>0.0</v>
      </c>
      <c r="L487" s="8">
        <f>SUMIFS(Base!$N$5:$N$504,Base!$A$5:$A$504,"413",Base!$F$5:$F$504,"2730957")</f>
        <v>41800.0</v>
      </c>
      <c r="M487" s="8">
        <f>D487-E487-L487</f>
        <v>2000.0</v>
      </c>
      <c r="N487" s="7" t="s">
        <v>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N504"/>
  <sheetViews>
    <sheetView workbookViewId="0">
      <pane xSplit="8" ySplit="4" topLeftCell="I5" activePane="bottomRight" state="frozen"/>
      <selection pane="topRight" activeCell="I1" sqref="I1"/>
      <selection pane="bottomLeft" activeCell="A5" sqref="A5"/>
      <selection pane="bottomRight"/>
    </sheetView>
  </sheetViews>
  <sheetFormatPr defaultRowHeight="15"/>
  <cols>
    <col min="1" max="1" width="4.140625" customWidth="1"/>
    <col min="2" max="2" width="22.7109375" customWidth="1"/>
    <col min="3" max="3" width="19.42578125" customWidth="1"/>
    <col min="4" max="4" width="15.5703125" customWidth="1"/>
    <col min="5" max="5" width="15.28515625" customWidth="1"/>
    <col min="6" max="6" width="9.7109375" customWidth="1"/>
    <col min="7" max="7" width="7.7109375" customWidth="1"/>
    <col min="8" max="8" width="60.7109375" customWidth="1"/>
    <col min="9" max="9" width="18.7109375" customWidth="1"/>
    <col min="10" max="12" width="15.7109375" customWidth="1"/>
    <col min="13" max="13" width="48.7109375" customWidth="1"/>
    <col min="14" max="20" width="14.7109375" customWidth="1"/>
    <col min="21" max="21" width="10.7109375" customWidth="1"/>
    <col min="22" max="23" width="15.7109375" customWidth="1"/>
    <col min="24" max="24" width="12.7109375" customWidth="1"/>
    <col min="25" max="25" width="15.7109375" customWidth="1"/>
    <col min="26" max="26" width="11.7109375" customWidth="1"/>
    <col min="27" max="30" width="14.7109375" customWidth="1"/>
    <col min="31" max="32" width="18.7109375" customWidth="1"/>
    <col min="33" max="33" width="10.7109375" customWidth="1"/>
    <col min="34" max="34" width="30.7109375" customWidth="1"/>
    <col min="35" max="36" width="22.7109375" customWidth="1"/>
    <col min="37" max="37" width="24.7109375" customWidth="1"/>
    <col min="38" max="38" width="28.7109375" customWidth="1"/>
    <col min="39" max="39" width="40.7109375" customWidth="1"/>
    <col min="40" max="40" width="14.7109375" customWidth="1"/>
  </cols>
  <sheetData>
    <row r="1" spans="1:40">
      <c r="A1" s="19" t="s">
        <v>32</v>
      </c>
    </row>
    <row r="2" spans="1:40">
      <c r="A2" s="2" t="s">
        <v>33</v>
      </c>
    </row>
    <row r="4" spans="1:40" ht="44" customHeight="1">
      <c r="A4" s="6" t="s">
        <v>34</v>
      </c>
      <c r="B4" s="6" t="s">
        <v>35</v>
      </c>
      <c r="C4" s="6" t="s">
        <v>36</v>
      </c>
      <c r="D4" s="6" t="s">
        <v>37</v>
      </c>
      <c r="E4" s="6" t="s">
        <v>38</v>
      </c>
      <c r="F4" s="6" t="s">
        <v>39</v>
      </c>
      <c r="G4" s="6" t="s">
        <v>40</v>
      </c>
      <c r="H4" s="6" t="s">
        <v>41</v>
      </c>
      <c r="I4" s="6" t="s">
        <v>42</v>
      </c>
      <c r="J4" s="6" t="s">
        <v>43</v>
      </c>
      <c r="K4" s="6" t="s">
        <v>44</v>
      </c>
      <c r="L4" s="6" t="s">
        <v>45</v>
      </c>
      <c r="M4" s="6" t="s">
        <v>46</v>
      </c>
      <c r="N4" s="6" t="s">
        <v>47</v>
      </c>
      <c r="O4" s="6" t="s">
        <v>48</v>
      </c>
      <c r="P4" s="6" t="s">
        <v>49</v>
      </c>
      <c r="Q4" s="6" t="s">
        <v>50</v>
      </c>
      <c r="R4" s="6" t="s">
        <v>51</v>
      </c>
      <c r="S4" s="6" t="s">
        <v>52</v>
      </c>
      <c r="T4" s="6" t="s">
        <v>53</v>
      </c>
      <c r="U4" s="6" t="s">
        <v>54</v>
      </c>
      <c r="V4" s="6" t="s">
        <v>55</v>
      </c>
      <c r="W4" s="6" t="s">
        <v>56</v>
      </c>
      <c r="X4" s="6" t="s">
        <v>57</v>
      </c>
      <c r="Y4" s="6" t="s">
        <v>58</v>
      </c>
      <c r="Z4" s="6" t="s">
        <v>59</v>
      </c>
      <c r="AA4" s="6" t="s">
        <v>60</v>
      </c>
      <c r="AB4" s="6" t="s">
        <v>61</v>
      </c>
      <c r="AC4" s="6" t="s">
        <v>62</v>
      </c>
      <c r="AD4" s="6" t="s">
        <v>63</v>
      </c>
      <c r="AE4" s="6" t="s">
        <v>64</v>
      </c>
      <c r="AF4" s="6" t="s">
        <v>65</v>
      </c>
      <c r="AG4" s="6" t="s">
        <v>66</v>
      </c>
      <c r="AH4" s="6" t="s">
        <v>67</v>
      </c>
      <c r="AI4" s="6" t="s">
        <v>68</v>
      </c>
      <c r="AJ4" s="6" t="s">
        <v>69</v>
      </c>
      <c r="AK4" s="6" t="s">
        <v>70</v>
      </c>
      <c r="AL4" s="6" t="s">
        <v>71</v>
      </c>
      <c r="AM4" s="6" t="s">
        <v>72</v>
      </c>
      <c r="AN4" s="6" t="s">
        <v>73</v>
      </c>
    </row>
    <row r="5" spans="1:40">
      <c r="A5" s="12" t="s">
        <v>74</v>
      </c>
      <c r="B5" s="12" t="s">
        <v>75</v>
      </c>
      <c r="C5" s="12" t="s">
        <v>76</v>
      </c>
      <c r="D5" s="12" t="s">
        <v>77</v>
      </c>
      <c r="E5" s="12" t="s">
        <v>78</v>
      </c>
      <c r="F5" s="12" t="s">
        <v>79</v>
      </c>
      <c r="G5" s="12" t="s">
        <v>80</v>
      </c>
      <c r="H5" s="34" t="s">
        <v>81</v>
      </c>
      <c r="I5" s="12" t="s">
        <v>82</v>
      </c>
      <c r="J5" s="12" t="s">
        <v>83</v>
      </c>
      <c r="K5" s="18">
        <v>0</v>
      </c>
      <c r="L5" s="18">
        <v>0</v>
      </c>
      <c r="M5" s="12" t="s">
        <v>84</v>
      </c>
      <c r="N5" s="35">
        <v>167354</v>
      </c>
      <c r="O5" s="35">
        <v>149951.3</v>
      </c>
      <c r="P5" s="35">
        <v>149951.3</v>
      </c>
      <c r="Q5" s="35">
        <v>102781.21</v>
      </c>
      <c r="R5" s="18">
        <f>N5-O5</f>
        <v>17402.70000000001</v>
      </c>
      <c r="S5" s="18">
        <f>O5-P5</f>
        <v>0.0</v>
      </c>
      <c r="T5" s="18">
        <f>N5-Q5</f>
        <v>64572.78999999999</v>
      </c>
      <c r="U5" s="36">
        <f>IF(N5&gt;0,Q5/N5,0)</f>
        <v>0.6141544868960408</v>
      </c>
      <c r="V5" s="35">
        <v>138661024.95</v>
      </c>
      <c r="W5" s="35">
        <v>91254736.8</v>
      </c>
      <c r="X5" s="36">
        <v>0.6581138198921124</v>
      </c>
      <c r="Y5" s="35">
        <v>167354</v>
      </c>
      <c r="Z5" s="17" t="s">
        <v>85</v>
      </c>
      <c r="AA5" s="35">
        <v>12460540</v>
      </c>
      <c r="AB5" s="35">
        <v>5731000</v>
      </c>
      <c r="AC5" s="35">
        <v>5000000</v>
      </c>
      <c r="AD5" s="35">
        <v>5000000</v>
      </c>
      <c r="AE5" s="12" t="s">
        <v>86</v>
      </c>
      <c r="AF5" s="12" t="s">
        <v>87</v>
      </c>
      <c r="AG5" s="18">
        <v>43.06</v>
      </c>
      <c r="AH5" s="12" t="s">
        <v>88</v>
      </c>
      <c r="AI5" s="12" t="s">
        <v>89</v>
      </c>
      <c r="AJ5" s="12" t="s">
        <v>89</v>
      </c>
      <c r="AK5" s="12" t="s">
        <v>89</v>
      </c>
      <c r="AL5" s="12" t="s">
        <v>90</v>
      </c>
      <c r="AM5" s="12" t="s">
        <v>91</v>
      </c>
      <c r="AN5" s="17" t="s">
        <v>92</v>
      </c>
    </row>
    <row r="6" spans="1:40">
      <c r="A6" s="12" t="s">
        <v>74</v>
      </c>
      <c r="B6" s="12" t="s">
        <v>75</v>
      </c>
      <c r="C6" s="12" t="s">
        <v>76</v>
      </c>
      <c r="D6" s="12" t="s">
        <v>77</v>
      </c>
      <c r="E6" s="12" t="s">
        <v>78</v>
      </c>
      <c r="F6" s="12" t="s">
        <v>93</v>
      </c>
      <c r="G6" s="12" t="s">
        <v>94</v>
      </c>
      <c r="H6" s="34" t="s">
        <v>95</v>
      </c>
      <c r="I6" s="12" t="s">
        <v>82</v>
      </c>
      <c r="J6" s="12" t="s">
        <v>96</v>
      </c>
      <c r="K6" s="18">
        <v>0.1000000014901161</v>
      </c>
      <c r="L6" s="18">
        <v>48063959.15</v>
      </c>
      <c r="M6" s="12" t="s">
        <v>97</v>
      </c>
      <c r="N6" s="35">
        <v>53759397</v>
      </c>
      <c r="O6" s="35">
        <v>53759396.9</v>
      </c>
      <c r="P6" s="35">
        <v>262914.25</v>
      </c>
      <c r="Q6" s="35">
        <v>261343.05</v>
      </c>
      <c r="R6" s="18">
        <f>N6-O6</f>
        <v>0.10000000149011612</v>
      </c>
      <c r="S6" s="18">
        <f>O6-P6</f>
        <v>53496482.65</v>
      </c>
      <c r="T6" s="18">
        <f>N6-Q6</f>
        <v>53498053.95</v>
      </c>
      <c r="U6" s="36">
        <f>IF(N6&gt;0,Q6/N6,0)</f>
        <v>0.004861346380057054</v>
      </c>
      <c r="V6" s="35">
        <v>244564834.16</v>
      </c>
      <c r="W6" s="35">
        <v>93028922.92</v>
      </c>
      <c r="X6" s="36">
        <v>0.3803855253332878</v>
      </c>
      <c r="Y6" s="35">
        <v>5695437.75</v>
      </c>
      <c r="Z6" s="17" t="s">
        <v>98</v>
      </c>
      <c r="AA6" s="12" t="s">
        <v>99</v>
      </c>
      <c r="AB6" s="12" t="s">
        <v>99</v>
      </c>
      <c r="AC6" s="12" t="s">
        <v>99</v>
      </c>
      <c r="AD6" s="12" t="s">
        <v>99</v>
      </c>
      <c r="AE6" s="12" t="s">
        <v>86</v>
      </c>
      <c r="AF6" s="12" t="s">
        <v>87</v>
      </c>
      <c r="AG6" s="18">
        <v>23.02</v>
      </c>
      <c r="AH6" s="12" t="s">
        <v>100</v>
      </c>
      <c r="AI6" s="12" t="s">
        <v>89</v>
      </c>
      <c r="AJ6" s="12" t="s">
        <v>89</v>
      </c>
      <c r="AK6" s="12" t="s">
        <v>89</v>
      </c>
      <c r="AL6" s="12" t="s">
        <v>101</v>
      </c>
      <c r="AM6" s="12" t="s">
        <v>91</v>
      </c>
      <c r="AN6" s="17" t="s">
        <v>92</v>
      </c>
    </row>
    <row r="7" spans="1:40">
      <c r="A7" s="12" t="s">
        <v>74</v>
      </c>
      <c r="B7" s="12" t="s">
        <v>75</v>
      </c>
      <c r="C7" s="12" t="s">
        <v>76</v>
      </c>
      <c r="D7" s="12" t="s">
        <v>77</v>
      </c>
      <c r="E7" s="12" t="s">
        <v>102</v>
      </c>
      <c r="F7" s="12" t="s">
        <v>103</v>
      </c>
      <c r="G7" s="12" t="s">
        <v>104</v>
      </c>
      <c r="H7" s="34" t="s">
        <v>105</v>
      </c>
      <c r="I7" s="12" t="s">
        <v>82</v>
      </c>
      <c r="J7" s="12" t="s">
        <v>106</v>
      </c>
      <c r="K7" s="18">
        <v>0</v>
      </c>
      <c r="L7" s="18">
        <v>0</v>
      </c>
      <c r="M7" s="12" t="s">
        <v>107</v>
      </c>
      <c r="N7" s="35">
        <v>10519577</v>
      </c>
      <c r="O7" s="35">
        <v>10422241.22</v>
      </c>
      <c r="P7" s="35">
        <v>8483089.219999999</v>
      </c>
      <c r="Q7" s="35">
        <v>7596372.68</v>
      </c>
      <c r="R7" s="18">
        <f>N7-O7</f>
        <v>97335.77999999933</v>
      </c>
      <c r="S7" s="18">
        <f>O7-P7</f>
        <v>1939152.0000000019</v>
      </c>
      <c r="T7" s="18">
        <f>N7-Q7</f>
        <v>2923204.3200000003</v>
      </c>
      <c r="U7" s="36">
        <f>IF(N7&gt;0,Q7/N7,0)</f>
        <v>0.7221176935156233</v>
      </c>
      <c r="V7" s="35">
        <v>92479988.97</v>
      </c>
      <c r="W7" s="35">
        <v>86540986.41</v>
      </c>
      <c r="X7" s="36">
        <v>0.9357806740015229</v>
      </c>
      <c r="Y7" s="35">
        <v>9037936</v>
      </c>
      <c r="Z7" s="17" t="s">
        <v>108</v>
      </c>
      <c r="AA7" s="35">
        <v>2546207</v>
      </c>
      <c r="AB7" s="35">
        <v>638376</v>
      </c>
      <c r="AC7" s="35">
        <v>2568939</v>
      </c>
      <c r="AD7" s="35">
        <v>0</v>
      </c>
      <c r="AE7" s="12" t="s">
        <v>86</v>
      </c>
      <c r="AF7" s="12" t="s">
        <v>87</v>
      </c>
      <c r="AG7" s="18">
        <v>84.95</v>
      </c>
      <c r="AH7" s="12" t="s">
        <v>109</v>
      </c>
      <c r="AI7" s="12" t="s">
        <v>89</v>
      </c>
      <c r="AJ7" s="12" t="s">
        <v>89</v>
      </c>
      <c r="AK7" s="12" t="s">
        <v>89</v>
      </c>
      <c r="AL7" s="12" t="s">
        <v>90</v>
      </c>
      <c r="AM7" s="12" t="s">
        <v>91</v>
      </c>
      <c r="AN7" s="17" t="s">
        <v>92</v>
      </c>
    </row>
    <row r="8" spans="1:40">
      <c r="A8" s="12" t="s">
        <v>74</v>
      </c>
      <c r="B8" s="12" t="s">
        <v>75</v>
      </c>
      <c r="C8" s="12" t="s">
        <v>76</v>
      </c>
      <c r="D8" s="12" t="s">
        <v>77</v>
      </c>
      <c r="E8" s="12" t="s">
        <v>102</v>
      </c>
      <c r="F8" s="12" t="s">
        <v>110</v>
      </c>
      <c r="G8" s="12" t="s">
        <v>111</v>
      </c>
      <c r="H8" s="34" t="s">
        <v>112</v>
      </c>
      <c r="I8" s="12" t="s">
        <v>82</v>
      </c>
      <c r="J8" s="12" t="s">
        <v>83</v>
      </c>
      <c r="K8" s="18">
        <v>0</v>
      </c>
      <c r="L8" s="18">
        <v>0</v>
      </c>
      <c r="M8" s="12" t="s">
        <v>84</v>
      </c>
      <c r="N8" s="35">
        <v>10208307</v>
      </c>
      <c r="O8" s="35">
        <v>9968469.620000001</v>
      </c>
      <c r="P8" s="35">
        <v>9967327.040000001</v>
      </c>
      <c r="Q8" s="35">
        <v>6440724.480000001</v>
      </c>
      <c r="R8" s="18">
        <f>N8-O8</f>
        <v>239837.37999999896</v>
      </c>
      <c r="S8" s="18">
        <f>O8-P8</f>
        <v>1142.5800000000745</v>
      </c>
      <c r="T8" s="18">
        <f>N8-Q8</f>
        <v>3767582.5199999986</v>
      </c>
      <c r="U8" s="36">
        <f>IF(N8&gt;0,Q8/N8,0)</f>
        <v>0.6309297398677373</v>
      </c>
      <c r="V8" s="35">
        <v>48720910.42</v>
      </c>
      <c r="W8" s="35">
        <v>41764591.81</v>
      </c>
      <c r="X8" s="36">
        <v>0.8572210874133332</v>
      </c>
      <c r="Y8" s="35">
        <v>10208307</v>
      </c>
      <c r="Z8" s="17" t="s">
        <v>113</v>
      </c>
      <c r="AA8" s="35">
        <v>5597990</v>
      </c>
      <c r="AB8" s="35">
        <v>1254673</v>
      </c>
      <c r="AC8" s="35">
        <v>2493351</v>
      </c>
      <c r="AD8" s="35">
        <v>0</v>
      </c>
      <c r="AE8" s="12" t="s">
        <v>86</v>
      </c>
      <c r="AF8" s="12" t="s">
        <v>87</v>
      </c>
      <c r="AG8" s="18">
        <v>72.48</v>
      </c>
      <c r="AH8" s="12" t="s">
        <v>114</v>
      </c>
      <c r="AI8" s="12" t="s">
        <v>89</v>
      </c>
      <c r="AJ8" s="12" t="s">
        <v>89</v>
      </c>
      <c r="AK8" s="12" t="s">
        <v>89</v>
      </c>
      <c r="AL8" s="12" t="s">
        <v>90</v>
      </c>
      <c r="AM8" s="12" t="s">
        <v>91</v>
      </c>
      <c r="AN8" s="17" t="s">
        <v>92</v>
      </c>
    </row>
    <row r="9" spans="1:40">
      <c r="A9" s="12" t="s">
        <v>74</v>
      </c>
      <c r="B9" s="12" t="s">
        <v>75</v>
      </c>
      <c r="C9" s="12" t="s">
        <v>76</v>
      </c>
      <c r="D9" s="12" t="s">
        <v>77</v>
      </c>
      <c r="E9" s="12" t="s">
        <v>102</v>
      </c>
      <c r="F9" s="12" t="s">
        <v>115</v>
      </c>
      <c r="G9" s="12" t="s">
        <v>116</v>
      </c>
      <c r="H9" s="34" t="s">
        <v>117</v>
      </c>
      <c r="I9" s="12" t="s">
        <v>82</v>
      </c>
      <c r="J9" s="12" t="s">
        <v>83</v>
      </c>
      <c r="K9" s="18">
        <v>0</v>
      </c>
      <c r="L9" s="18">
        <v>0</v>
      </c>
      <c r="M9" s="12" t="s">
        <v>84</v>
      </c>
      <c r="N9" s="35">
        <v>11203165</v>
      </c>
      <c r="O9" s="35">
        <v>10889668.59</v>
      </c>
      <c r="P9" s="35">
        <v>8721489.870000001</v>
      </c>
      <c r="Q9" s="35">
        <v>6395813.340000001</v>
      </c>
      <c r="R9" s="18">
        <f>N9-O9</f>
        <v>313496.41000000015</v>
      </c>
      <c r="S9" s="18">
        <f>O9-P9</f>
        <v>2168178.719999999</v>
      </c>
      <c r="T9" s="18">
        <f>N9-Q9</f>
        <v>4807351.659999999</v>
      </c>
      <c r="U9" s="36">
        <f>IF(N9&gt;0,Q9/N9,0)</f>
        <v>0.5708934341322297</v>
      </c>
      <c r="V9" s="35">
        <v>42991222.67</v>
      </c>
      <c r="W9" s="35">
        <v>35401275.75</v>
      </c>
      <c r="X9" s="36">
        <v>0.8234535691561897</v>
      </c>
      <c r="Y9" s="35">
        <v>11203165</v>
      </c>
      <c r="Z9" s="17" t="s">
        <v>113</v>
      </c>
      <c r="AA9" s="35">
        <v>4902849</v>
      </c>
      <c r="AB9" s="35">
        <v>60001</v>
      </c>
      <c r="AC9" s="35">
        <v>2722594</v>
      </c>
      <c r="AD9" s="35">
        <v>0</v>
      </c>
      <c r="AE9" s="12" t="s">
        <v>86</v>
      </c>
      <c r="AF9" s="12" t="s">
        <v>87</v>
      </c>
      <c r="AG9" s="18">
        <v>80.45</v>
      </c>
      <c r="AH9" s="12" t="s">
        <v>114</v>
      </c>
      <c r="AI9" s="12" t="s">
        <v>89</v>
      </c>
      <c r="AJ9" s="12" t="s">
        <v>89</v>
      </c>
      <c r="AK9" s="12" t="s">
        <v>89</v>
      </c>
      <c r="AL9" s="12" t="s">
        <v>90</v>
      </c>
      <c r="AM9" s="12" t="s">
        <v>91</v>
      </c>
      <c r="AN9" s="17" t="s">
        <v>92</v>
      </c>
    </row>
    <row r="10" spans="1:40">
      <c r="A10" s="12" t="s">
        <v>74</v>
      </c>
      <c r="B10" s="12" t="s">
        <v>75</v>
      </c>
      <c r="C10" s="12" t="s">
        <v>76</v>
      </c>
      <c r="D10" s="12" t="s">
        <v>77</v>
      </c>
      <c r="E10" s="12" t="s">
        <v>102</v>
      </c>
      <c r="F10" s="12" t="s">
        <v>118</v>
      </c>
      <c r="G10" s="12" t="s">
        <v>119</v>
      </c>
      <c r="H10" s="34" t="s">
        <v>120</v>
      </c>
      <c r="I10" s="12" t="s">
        <v>82</v>
      </c>
      <c r="J10" s="12" t="s">
        <v>106</v>
      </c>
      <c r="K10" s="18">
        <v>0</v>
      </c>
      <c r="L10" s="18">
        <v>0</v>
      </c>
      <c r="M10" s="12" t="s">
        <v>121</v>
      </c>
      <c r="N10" s="35">
        <v>2079431</v>
      </c>
      <c r="O10" s="35">
        <v>1994037.46</v>
      </c>
      <c r="P10" s="35">
        <v>1986740.46</v>
      </c>
      <c r="Q10" s="35">
        <v>1946470.94</v>
      </c>
      <c r="R10" s="18">
        <f>N10-O10</f>
        <v>85393.54000000004</v>
      </c>
      <c r="S10" s="18">
        <f>O10-P10</f>
        <v>7297.0</v>
      </c>
      <c r="T10" s="18">
        <f>N10-Q10</f>
        <v>132960.0600000003</v>
      </c>
      <c r="U10" s="36">
        <f>IF(N10&gt;0,Q10/N10,0)</f>
        <v>0.9360594027885512</v>
      </c>
      <c r="V10" s="35">
        <v>14403745</v>
      </c>
      <c r="W10" s="35">
        <v>13966493.13</v>
      </c>
      <c r="X10" s="36">
        <v>0.9696431816864295</v>
      </c>
      <c r="Y10" s="35">
        <v>2079431</v>
      </c>
      <c r="Z10" s="17" t="s">
        <v>122</v>
      </c>
      <c r="AA10" s="35">
        <v>298669</v>
      </c>
      <c r="AB10" s="35">
        <v>349669</v>
      </c>
      <c r="AC10" s="35">
        <v>84977</v>
      </c>
      <c r="AD10" s="35">
        <v>0</v>
      </c>
      <c r="AE10" s="12" t="s">
        <v>86</v>
      </c>
      <c r="AF10" s="12" t="s">
        <v>87</v>
      </c>
      <c r="AG10" s="18">
        <v>100</v>
      </c>
      <c r="AH10" s="12" t="s">
        <v>114</v>
      </c>
      <c r="AI10" s="12" t="s">
        <v>89</v>
      </c>
      <c r="AJ10" s="12" t="s">
        <v>89</v>
      </c>
      <c r="AK10" s="12" t="s">
        <v>89</v>
      </c>
      <c r="AL10" s="12" t="s">
        <v>90</v>
      </c>
      <c r="AM10" s="12" t="s">
        <v>91</v>
      </c>
      <c r="AN10" s="17" t="s">
        <v>92</v>
      </c>
    </row>
    <row r="11" spans="1:40">
      <c r="A11" s="12" t="s">
        <v>74</v>
      </c>
      <c r="B11" s="12" t="s">
        <v>75</v>
      </c>
      <c r="C11" s="12" t="s">
        <v>76</v>
      </c>
      <c r="D11" s="12" t="s">
        <v>77</v>
      </c>
      <c r="E11" s="12" t="s">
        <v>102</v>
      </c>
      <c r="F11" s="12" t="s">
        <v>123</v>
      </c>
      <c r="G11" s="12" t="s">
        <v>124</v>
      </c>
      <c r="H11" s="34" t="s">
        <v>125</v>
      </c>
      <c r="I11" s="12" t="s">
        <v>82</v>
      </c>
      <c r="J11" s="12" t="s">
        <v>106</v>
      </c>
      <c r="K11" s="18">
        <v>0</v>
      </c>
      <c r="L11" s="18">
        <v>0</v>
      </c>
      <c r="M11" s="12" t="s">
        <v>126</v>
      </c>
      <c r="N11" s="35">
        <v>1425006</v>
      </c>
      <c r="O11" s="35">
        <v>1239788.9</v>
      </c>
      <c r="P11" s="35">
        <v>1239288.9</v>
      </c>
      <c r="Q11" s="35">
        <v>1170436.98</v>
      </c>
      <c r="R11" s="18">
        <f>N11-O11</f>
        <v>185217.1000000001</v>
      </c>
      <c r="S11" s="18">
        <f>O11-P11</f>
        <v>500.0</v>
      </c>
      <c r="T11" s="18">
        <f>N11-Q11</f>
        <v>254569.02000000002</v>
      </c>
      <c r="U11" s="36">
        <f>IF(N11&gt;0,Q11/N11,0)</f>
        <v>0.8213558258702068</v>
      </c>
      <c r="V11" s="35">
        <v>12502191.43</v>
      </c>
      <c r="W11" s="35">
        <v>12194490.97</v>
      </c>
      <c r="X11" s="36">
        <v>0.9753882779892774</v>
      </c>
      <c r="Y11" s="35">
        <v>1425006</v>
      </c>
      <c r="Z11" s="17" t="s">
        <v>98</v>
      </c>
      <c r="AA11" s="35">
        <v>1122019</v>
      </c>
      <c r="AB11" s="35">
        <v>0</v>
      </c>
      <c r="AC11" s="35">
        <v>32869</v>
      </c>
      <c r="AD11" s="35">
        <v>0</v>
      </c>
      <c r="AE11" s="12" t="s">
        <v>86</v>
      </c>
      <c r="AF11" s="12" t="s">
        <v>87</v>
      </c>
      <c r="AG11" s="18">
        <v>100</v>
      </c>
      <c r="AH11" s="12" t="s">
        <v>114</v>
      </c>
      <c r="AI11" s="12" t="s">
        <v>89</v>
      </c>
      <c r="AJ11" s="12" t="s">
        <v>89</v>
      </c>
      <c r="AK11" s="12" t="s">
        <v>89</v>
      </c>
      <c r="AL11" s="12" t="s">
        <v>127</v>
      </c>
      <c r="AM11" s="12" t="s">
        <v>128</v>
      </c>
      <c r="AN11" s="17" t="s">
        <v>92</v>
      </c>
    </row>
    <row r="12" spans="1:40">
      <c r="A12" s="12" t="s">
        <v>74</v>
      </c>
      <c r="B12" s="12" t="s">
        <v>75</v>
      </c>
      <c r="C12" s="12" t="s">
        <v>76</v>
      </c>
      <c r="D12" s="12" t="s">
        <v>77</v>
      </c>
      <c r="E12" s="12" t="s">
        <v>102</v>
      </c>
      <c r="F12" s="12" t="s">
        <v>129</v>
      </c>
      <c r="G12" s="12" t="s">
        <v>130</v>
      </c>
      <c r="H12" s="34" t="s">
        <v>131</v>
      </c>
      <c r="I12" s="12" t="s">
        <v>82</v>
      </c>
      <c r="J12" s="12" t="s">
        <v>83</v>
      </c>
      <c r="K12" s="18">
        <v>0</v>
      </c>
      <c r="L12" s="18">
        <v>0</v>
      </c>
      <c r="M12" s="12" t="s">
        <v>84</v>
      </c>
      <c r="N12" s="35">
        <v>9222405</v>
      </c>
      <c r="O12" s="35">
        <v>9014527.529999999</v>
      </c>
      <c r="P12" s="35">
        <v>6841977.31</v>
      </c>
      <c r="Q12" s="35">
        <v>5421356.61</v>
      </c>
      <c r="R12" s="18">
        <f>N12-O12</f>
        <v>207877.47000000067</v>
      </c>
      <c r="S12" s="18">
        <f>O12-P12</f>
        <v>2172550.2199999997</v>
      </c>
      <c r="T12" s="18">
        <f>N12-Q12</f>
        <v>3801048.3899999997</v>
      </c>
      <c r="U12" s="36">
        <f>IF(N12&gt;0,Q12/N12,0)</f>
        <v>0.5878462949740334</v>
      </c>
      <c r="V12" s="35">
        <v>22772119.81</v>
      </c>
      <c r="W12" s="35">
        <v>17178011.48</v>
      </c>
      <c r="X12" s="36">
        <v>0.7543439795383723</v>
      </c>
      <c r="Y12" s="35">
        <v>9222405</v>
      </c>
      <c r="Z12" s="17" t="s">
        <v>122</v>
      </c>
      <c r="AA12" s="35">
        <v>2595053</v>
      </c>
      <c r="AB12" s="35">
        <v>255676</v>
      </c>
      <c r="AC12" s="35">
        <v>1817178</v>
      </c>
      <c r="AD12" s="35">
        <v>0</v>
      </c>
      <c r="AE12" s="12" t="s">
        <v>86</v>
      </c>
      <c r="AF12" s="12" t="s">
        <v>87</v>
      </c>
      <c r="AG12" s="18">
        <v>56.62</v>
      </c>
      <c r="AH12" s="12" t="s">
        <v>114</v>
      </c>
      <c r="AI12" s="12" t="s">
        <v>89</v>
      </c>
      <c r="AJ12" s="12" t="s">
        <v>89</v>
      </c>
      <c r="AK12" s="12" t="s">
        <v>89</v>
      </c>
      <c r="AL12" s="12" t="s">
        <v>127</v>
      </c>
      <c r="AM12" s="12" t="s">
        <v>91</v>
      </c>
      <c r="AN12" s="17" t="s">
        <v>92</v>
      </c>
    </row>
    <row r="13" spans="1:40">
      <c r="A13" s="12" t="s">
        <v>74</v>
      </c>
      <c r="B13" s="12" t="s">
        <v>75</v>
      </c>
      <c r="C13" s="12" t="s">
        <v>76</v>
      </c>
      <c r="D13" s="12" t="s">
        <v>77</v>
      </c>
      <c r="E13" s="12" t="s">
        <v>102</v>
      </c>
      <c r="F13" s="12" t="s">
        <v>132</v>
      </c>
      <c r="G13" s="12" t="s">
        <v>133</v>
      </c>
      <c r="H13" s="34" t="s">
        <v>134</v>
      </c>
      <c r="I13" s="12" t="s">
        <v>82</v>
      </c>
      <c r="J13" s="12" t="s">
        <v>83</v>
      </c>
      <c r="K13" s="18">
        <v>0</v>
      </c>
      <c r="L13" s="18">
        <v>0</v>
      </c>
      <c r="M13" s="12" t="s">
        <v>84</v>
      </c>
      <c r="N13" s="35">
        <v>5194033</v>
      </c>
      <c r="O13" s="35">
        <v>5106124.77</v>
      </c>
      <c r="P13" s="35">
        <v>4283978.64</v>
      </c>
      <c r="Q13" s="35">
        <v>1941765.29</v>
      </c>
      <c r="R13" s="18">
        <f>N13-O13</f>
        <v>87908.23000000045</v>
      </c>
      <c r="S13" s="18">
        <f>O13-P13</f>
        <v>822146.1299999999</v>
      </c>
      <c r="T13" s="18">
        <f>N13-Q13</f>
        <v>3252267.71</v>
      </c>
      <c r="U13" s="36">
        <f>IF(N13&gt;0,Q13/N13,0)</f>
        <v>0.3738453895075368</v>
      </c>
      <c r="V13" s="35">
        <v>12165276.83</v>
      </c>
      <c r="W13" s="35">
        <v>2416924.23</v>
      </c>
      <c r="X13" s="36">
        <v>0.1986740017325196</v>
      </c>
      <c r="Y13" s="35">
        <v>5194033</v>
      </c>
      <c r="Z13" s="17" t="s">
        <v>135</v>
      </c>
      <c r="AA13" s="35">
        <v>5194033</v>
      </c>
      <c r="AB13" s="35">
        <v>6569076</v>
      </c>
      <c r="AC13" s="35">
        <v>1</v>
      </c>
      <c r="AD13" s="35">
        <v>0</v>
      </c>
      <c r="AE13" s="12" t="s">
        <v>86</v>
      </c>
      <c r="AF13" s="12" t="s">
        <v>87</v>
      </c>
      <c r="AG13" s="18">
        <v>3.57</v>
      </c>
      <c r="AH13" s="12" t="s">
        <v>136</v>
      </c>
      <c r="AI13" s="12" t="s">
        <v>89</v>
      </c>
      <c r="AJ13" s="12" t="s">
        <v>89</v>
      </c>
      <c r="AK13" s="12" t="s">
        <v>89</v>
      </c>
      <c r="AL13" s="12" t="s">
        <v>101</v>
      </c>
      <c r="AM13" s="12" t="s">
        <v>91</v>
      </c>
      <c r="AN13" s="17" t="s">
        <v>92</v>
      </c>
    </row>
    <row r="14" spans="1:40">
      <c r="A14" s="12" t="s">
        <v>74</v>
      </c>
      <c r="B14" s="12" t="s">
        <v>75</v>
      </c>
      <c r="C14" s="12" t="s">
        <v>76</v>
      </c>
      <c r="D14" s="12" t="s">
        <v>77</v>
      </c>
      <c r="E14" s="12" t="s">
        <v>102</v>
      </c>
      <c r="F14" s="12" t="s">
        <v>137</v>
      </c>
      <c r="G14" s="12" t="s">
        <v>138</v>
      </c>
      <c r="H14" s="34" t="s">
        <v>139</v>
      </c>
      <c r="I14" s="12" t="s">
        <v>82</v>
      </c>
      <c r="J14" s="12" t="s">
        <v>83</v>
      </c>
      <c r="K14" s="18">
        <v>0</v>
      </c>
      <c r="L14" s="18">
        <v>0</v>
      </c>
      <c r="M14" s="12" t="s">
        <v>84</v>
      </c>
      <c r="N14" s="35">
        <v>3656326</v>
      </c>
      <c r="O14" s="35">
        <v>3427173.6</v>
      </c>
      <c r="P14" s="35">
        <v>3097239.47</v>
      </c>
      <c r="Q14" s="35">
        <v>2126125.38</v>
      </c>
      <c r="R14" s="18">
        <f>N14-O14</f>
        <v>229152.40000000037</v>
      </c>
      <c r="S14" s="18">
        <f>O14-P14</f>
        <v>329934.1299999999</v>
      </c>
      <c r="T14" s="18">
        <f>N14-Q14</f>
        <v>1530200.6199999996</v>
      </c>
      <c r="U14" s="36">
        <f>IF(N14&gt;0,Q14/N14,0)</f>
        <v>0.5814922903482896</v>
      </c>
      <c r="V14" s="35">
        <v>6995166.12</v>
      </c>
      <c r="W14" s="35">
        <v>2363725.47</v>
      </c>
      <c r="X14" s="36">
        <v>0.3379084112444209</v>
      </c>
      <c r="Y14" s="35">
        <v>3656326</v>
      </c>
      <c r="Z14" s="17" t="s">
        <v>122</v>
      </c>
      <c r="AA14" s="35">
        <v>2278000</v>
      </c>
      <c r="AB14" s="35">
        <v>1683936</v>
      </c>
      <c r="AC14" s="35">
        <v>1459275</v>
      </c>
      <c r="AD14" s="35">
        <v>0</v>
      </c>
      <c r="AE14" s="12" t="s">
        <v>86</v>
      </c>
      <c r="AF14" s="12" t="s">
        <v>87</v>
      </c>
      <c r="AG14" s="18">
        <v>9.699999999999999</v>
      </c>
      <c r="AH14" s="12" t="s">
        <v>140</v>
      </c>
      <c r="AI14" s="12" t="s">
        <v>89</v>
      </c>
      <c r="AJ14" s="12" t="s">
        <v>89</v>
      </c>
      <c r="AK14" s="12" t="s">
        <v>89</v>
      </c>
      <c r="AL14" s="12" t="s">
        <v>141</v>
      </c>
      <c r="AM14" s="12" t="s">
        <v>91</v>
      </c>
      <c r="AN14" s="17" t="s">
        <v>92</v>
      </c>
    </row>
    <row r="15" spans="1:40">
      <c r="A15" s="12" t="s">
        <v>74</v>
      </c>
      <c r="B15" s="12" t="s">
        <v>75</v>
      </c>
      <c r="C15" s="12" t="s">
        <v>76</v>
      </c>
      <c r="D15" s="12" t="s">
        <v>77</v>
      </c>
      <c r="E15" s="12" t="s">
        <v>102</v>
      </c>
      <c r="F15" s="12" t="s">
        <v>142</v>
      </c>
      <c r="G15" s="12" t="s">
        <v>143</v>
      </c>
      <c r="H15" s="34" t="s">
        <v>144</v>
      </c>
      <c r="I15" s="12" t="s">
        <v>82</v>
      </c>
      <c r="J15" s="12" t="s">
        <v>83</v>
      </c>
      <c r="K15" s="18">
        <v>0</v>
      </c>
      <c r="L15" s="18">
        <v>0</v>
      </c>
      <c r="M15" s="12" t="s">
        <v>84</v>
      </c>
      <c r="N15" s="35">
        <v>2000000</v>
      </c>
      <c r="O15" s="35">
        <v>2000000</v>
      </c>
      <c r="P15" s="35">
        <v>0</v>
      </c>
      <c r="Q15" s="35">
        <v>0</v>
      </c>
      <c r="R15" s="18">
        <f>N15-O15</f>
        <v>0.0</v>
      </c>
      <c r="S15" s="18">
        <f>O15-P15</f>
        <v>2000000.0</v>
      </c>
      <c r="T15" s="18">
        <f>N15-Q15</f>
        <v>2000000.0</v>
      </c>
      <c r="U15" s="36">
        <f>IF(N15&gt;0,Q15/N15,0)</f>
        <v>0.0</v>
      </c>
      <c r="V15" s="35">
        <v>57122249.95</v>
      </c>
      <c r="W15" s="35">
        <v>1085344.63</v>
      </c>
      <c r="X15" s="36">
        <v>0.01900038305476446</v>
      </c>
      <c r="Y15" s="35">
        <v>2000000</v>
      </c>
      <c r="Z15" s="17" t="s">
        <v>85</v>
      </c>
      <c r="AA15" s="35">
        <v>12000000</v>
      </c>
      <c r="AB15" s="35">
        <v>14558623</v>
      </c>
      <c r="AC15" s="35">
        <v>14894208</v>
      </c>
      <c r="AD15" s="35">
        <v>10928387</v>
      </c>
      <c r="AE15" s="12" t="s">
        <v>86</v>
      </c>
      <c r="AF15" s="12" t="s">
        <v>87</v>
      </c>
      <c r="AG15" s="18">
        <v>-1</v>
      </c>
      <c r="AH15" s="12" t="s">
        <v>145</v>
      </c>
      <c r="AI15" s="12" t="s">
        <v>89</v>
      </c>
      <c r="AJ15" s="12" t="s">
        <v>89</v>
      </c>
      <c r="AK15" s="12" t="s">
        <v>89</v>
      </c>
      <c r="AL15" s="12" t="s">
        <v>141</v>
      </c>
      <c r="AM15" s="12" t="s">
        <v>91</v>
      </c>
      <c r="AN15" s="17" t="s">
        <v>92</v>
      </c>
    </row>
    <row r="16" spans="1:40">
      <c r="A16" s="12" t="s">
        <v>74</v>
      </c>
      <c r="B16" s="12" t="s">
        <v>75</v>
      </c>
      <c r="C16" s="12" t="s">
        <v>76</v>
      </c>
      <c r="D16" s="12" t="s">
        <v>77</v>
      </c>
      <c r="E16" s="12" t="s">
        <v>102</v>
      </c>
      <c r="F16" s="12" t="s">
        <v>146</v>
      </c>
      <c r="G16" s="12" t="s">
        <v>147</v>
      </c>
      <c r="H16" s="34" t="s">
        <v>148</v>
      </c>
      <c r="I16" s="12" t="s">
        <v>82</v>
      </c>
      <c r="J16" s="12" t="s">
        <v>149</v>
      </c>
      <c r="K16" s="18">
        <v>0</v>
      </c>
      <c r="L16" s="18">
        <v>0</v>
      </c>
      <c r="M16" s="12" t="s">
        <v>150</v>
      </c>
      <c r="N16" s="35">
        <v>0</v>
      </c>
      <c r="O16" s="35">
        <v>0</v>
      </c>
      <c r="P16" s="35">
        <v>0</v>
      </c>
      <c r="Q16" s="35">
        <v>0</v>
      </c>
      <c r="R16" s="18">
        <f>N16-O16</f>
        <v>0.0</v>
      </c>
      <c r="S16" s="18">
        <f>O16-P16</f>
        <v>0.0</v>
      </c>
      <c r="T16" s="18">
        <f>N16-Q16</f>
        <v>0.0</v>
      </c>
      <c r="U16" s="36">
        <f>IF(N16&gt;0,Q16/N16,0)</f>
        <v>0</v>
      </c>
      <c r="V16" s="35">
        <v>4775313.02</v>
      </c>
      <c r="W16" s="35">
        <v>205204.21</v>
      </c>
      <c r="X16" s="36">
        <v>0.04297188668901123</v>
      </c>
      <c r="Y16" s="17" t="s">
        <v>151</v>
      </c>
      <c r="Z16" s="17" t="s">
        <v>85</v>
      </c>
      <c r="AA16" s="35">
        <v>100000</v>
      </c>
      <c r="AB16" s="35">
        <v>1234564</v>
      </c>
      <c r="AC16" s="35">
        <v>0</v>
      </c>
      <c r="AD16" s="35">
        <v>3335545</v>
      </c>
      <c r="AE16" s="12" t="s">
        <v>86</v>
      </c>
      <c r="AF16" s="12" t="s">
        <v>87</v>
      </c>
      <c r="AG16" s="18">
        <v>-1</v>
      </c>
      <c r="AH16" s="12" t="s">
        <v>145</v>
      </c>
      <c r="AI16" s="12" t="s">
        <v>89</v>
      </c>
      <c r="AJ16" s="12" t="s">
        <v>89</v>
      </c>
      <c r="AK16" s="12" t="s">
        <v>89</v>
      </c>
      <c r="AL16" s="12" t="s">
        <v>141</v>
      </c>
      <c r="AM16" s="12" t="s">
        <v>91</v>
      </c>
      <c r="AN16" s="17" t="s">
        <v>92</v>
      </c>
    </row>
    <row r="17" spans="1:40">
      <c r="A17" s="12" t="s">
        <v>74</v>
      </c>
      <c r="B17" s="12" t="s">
        <v>75</v>
      </c>
      <c r="C17" s="12" t="s">
        <v>76</v>
      </c>
      <c r="D17" s="12" t="s">
        <v>77</v>
      </c>
      <c r="E17" s="12" t="s">
        <v>102</v>
      </c>
      <c r="F17" s="12" t="s">
        <v>152</v>
      </c>
      <c r="G17" s="12" t="s">
        <v>153</v>
      </c>
      <c r="H17" s="34" t="s">
        <v>154</v>
      </c>
      <c r="I17" s="12" t="s">
        <v>82</v>
      </c>
      <c r="J17" s="12" t="s">
        <v>83</v>
      </c>
      <c r="K17" s="18">
        <v>0</v>
      </c>
      <c r="L17" s="18">
        <v>0</v>
      </c>
      <c r="M17" s="12" t="s">
        <v>84</v>
      </c>
      <c r="N17" s="35">
        <v>1861270</v>
      </c>
      <c r="O17" s="35">
        <v>1508764.41</v>
      </c>
      <c r="P17" s="35">
        <v>1458946.41</v>
      </c>
      <c r="Q17" s="35">
        <v>1164545.37</v>
      </c>
      <c r="R17" s="18">
        <f>N17-O17</f>
        <v>352505.58999999985</v>
      </c>
      <c r="S17" s="18">
        <f>O17-P17</f>
        <v>49818.0</v>
      </c>
      <c r="T17" s="18">
        <f>N17-Q17</f>
        <v>696724.6299999999</v>
      </c>
      <c r="U17" s="36">
        <f>IF(N17&gt;0,Q17/N17,0)</f>
        <v>0.6256724548292296</v>
      </c>
      <c r="V17" s="35">
        <v>2388319.13</v>
      </c>
      <c r="W17" s="35">
        <v>1309390.03</v>
      </c>
      <c r="X17" s="36">
        <v>0.5482475158166992</v>
      </c>
      <c r="Y17" s="35">
        <v>1861270</v>
      </c>
      <c r="Z17" s="17" t="s">
        <v>113</v>
      </c>
      <c r="AA17" s="35">
        <v>1410000</v>
      </c>
      <c r="AB17" s="35">
        <v>833474</v>
      </c>
      <c r="AC17" s="35">
        <v>0</v>
      </c>
      <c r="AD17" s="35">
        <v>0</v>
      </c>
      <c r="AE17" s="12" t="s">
        <v>86</v>
      </c>
      <c r="AF17" s="12" t="s">
        <v>87</v>
      </c>
      <c r="AG17" s="18">
        <v>20.7</v>
      </c>
      <c r="AH17" s="12" t="s">
        <v>155</v>
      </c>
      <c r="AI17" s="12" t="s">
        <v>89</v>
      </c>
      <c r="AJ17" s="12" t="s">
        <v>89</v>
      </c>
      <c r="AK17" s="12" t="s">
        <v>89</v>
      </c>
      <c r="AL17" s="12" t="s">
        <v>141</v>
      </c>
      <c r="AM17" s="12" t="s">
        <v>91</v>
      </c>
      <c r="AN17" s="17" t="s">
        <v>92</v>
      </c>
    </row>
    <row r="18" spans="1:40">
      <c r="A18" s="12" t="s">
        <v>74</v>
      </c>
      <c r="B18" s="12" t="s">
        <v>75</v>
      </c>
      <c r="C18" s="12" t="s">
        <v>76</v>
      </c>
      <c r="D18" s="12" t="s">
        <v>77</v>
      </c>
      <c r="E18" s="12" t="s">
        <v>102</v>
      </c>
      <c r="F18" s="12" t="s">
        <v>156</v>
      </c>
      <c r="G18" s="12" t="s">
        <v>157</v>
      </c>
      <c r="H18" s="34" t="s">
        <v>158</v>
      </c>
      <c r="I18" s="12" t="s">
        <v>82</v>
      </c>
      <c r="J18" s="12" t="s">
        <v>83</v>
      </c>
      <c r="K18" s="18">
        <v>0</v>
      </c>
      <c r="L18" s="18">
        <v>0</v>
      </c>
      <c r="M18" s="12" t="s">
        <v>84</v>
      </c>
      <c r="N18" s="35">
        <v>304829</v>
      </c>
      <c r="O18" s="35">
        <v>0</v>
      </c>
      <c r="P18" s="35">
        <v>0</v>
      </c>
      <c r="Q18" s="35">
        <v>0</v>
      </c>
      <c r="R18" s="18">
        <f>N18-O18</f>
        <v>304829.0</v>
      </c>
      <c r="S18" s="18">
        <f>O18-P18</f>
        <v>0.0</v>
      </c>
      <c r="T18" s="18">
        <f>N18-Q18</f>
        <v>304829.0</v>
      </c>
      <c r="U18" s="36">
        <f>IF(N18&gt;0,Q18/N18,0)</f>
        <v>0.0</v>
      </c>
      <c r="V18" s="35">
        <v>4830900.84</v>
      </c>
      <c r="W18" s="35">
        <v>208614.53</v>
      </c>
      <c r="X18" s="36">
        <v>0.04318335997970929</v>
      </c>
      <c r="Y18" s="35">
        <v>304829</v>
      </c>
      <c r="Z18" s="17" t="s">
        <v>85</v>
      </c>
      <c r="AA18" s="35">
        <v>100000</v>
      </c>
      <c r="AB18" s="35">
        <v>0</v>
      </c>
      <c r="AC18" s="35">
        <v>0</v>
      </c>
      <c r="AD18" s="35">
        <v>4317457</v>
      </c>
      <c r="AE18" s="12" t="s">
        <v>86</v>
      </c>
      <c r="AF18" s="12" t="s">
        <v>87</v>
      </c>
      <c r="AG18" s="18">
        <v>-1</v>
      </c>
      <c r="AH18" s="12" t="s">
        <v>145</v>
      </c>
      <c r="AI18" s="12" t="s">
        <v>89</v>
      </c>
      <c r="AJ18" s="12" t="s">
        <v>89</v>
      </c>
      <c r="AK18" s="12" t="s">
        <v>89</v>
      </c>
      <c r="AL18" s="12" t="s">
        <v>141</v>
      </c>
      <c r="AM18" s="12" t="s">
        <v>91</v>
      </c>
      <c r="AN18" s="17" t="s">
        <v>92</v>
      </c>
    </row>
    <row r="19" spans="1:40">
      <c r="A19" s="12" t="s">
        <v>74</v>
      </c>
      <c r="B19" s="12" t="s">
        <v>75</v>
      </c>
      <c r="C19" s="12" t="s">
        <v>76</v>
      </c>
      <c r="D19" s="12" t="s">
        <v>77</v>
      </c>
      <c r="E19" s="12" t="s">
        <v>102</v>
      </c>
      <c r="F19" s="12" t="s">
        <v>159</v>
      </c>
      <c r="G19" s="12" t="s">
        <v>160</v>
      </c>
      <c r="H19" s="34" t="s">
        <v>161</v>
      </c>
      <c r="I19" s="12" t="s">
        <v>162</v>
      </c>
      <c r="J19" s="12" t="s">
        <v>83</v>
      </c>
      <c r="K19" s="18">
        <v>0</v>
      </c>
      <c r="L19" s="18">
        <v>0</v>
      </c>
      <c r="M19" s="12" t="s">
        <v>84</v>
      </c>
      <c r="N19" s="35">
        <v>677644</v>
      </c>
      <c r="O19" s="35">
        <v>607692.88</v>
      </c>
      <c r="P19" s="35">
        <v>331244.1</v>
      </c>
      <c r="Q19" s="35">
        <v>131223.38</v>
      </c>
      <c r="R19" s="18">
        <f>N19-O19</f>
        <v>69951.12</v>
      </c>
      <c r="S19" s="18">
        <f>O19-P19</f>
        <v>276448.78</v>
      </c>
      <c r="T19" s="18">
        <f>N19-Q19</f>
        <v>546420.62</v>
      </c>
      <c r="U19" s="36">
        <f>IF(N19&gt;0,Q19/N19,0)</f>
        <v>0.19364648694594802</v>
      </c>
      <c r="V19" s="35">
        <v>689145.4300000001</v>
      </c>
      <c r="W19" s="35">
        <v>141223.38</v>
      </c>
      <c r="X19" s="36">
        <v>0.2049253667691013</v>
      </c>
      <c r="Y19" s="35">
        <v>678240</v>
      </c>
      <c r="Z19" s="17" t="s">
        <v>122</v>
      </c>
      <c r="AA19" s="12" t="s">
        <v>99</v>
      </c>
      <c r="AB19" s="12" t="s">
        <v>99</v>
      </c>
      <c r="AC19" s="12" t="s">
        <v>99</v>
      </c>
      <c r="AD19" s="12" t="s">
        <v>99</v>
      </c>
      <c r="AE19" s="12" t="s">
        <v>86</v>
      </c>
      <c r="AF19" s="12" t="s">
        <v>87</v>
      </c>
      <c r="AG19" s="18">
        <v>-1</v>
      </c>
      <c r="AH19" s="12" t="s">
        <v>163</v>
      </c>
      <c r="AI19" s="12" t="s">
        <v>89</v>
      </c>
      <c r="AJ19" s="12" t="s">
        <v>89</v>
      </c>
      <c r="AK19" s="12" t="s">
        <v>89</v>
      </c>
      <c r="AL19" s="12" t="s">
        <v>127</v>
      </c>
      <c r="AM19" s="12" t="s">
        <v>164</v>
      </c>
      <c r="AN19" s="17" t="s">
        <v>92</v>
      </c>
    </row>
    <row r="20" spans="1:40">
      <c r="A20" s="12" t="s">
        <v>74</v>
      </c>
      <c r="B20" s="12" t="s">
        <v>75</v>
      </c>
      <c r="C20" s="12" t="s">
        <v>76</v>
      </c>
      <c r="D20" s="12" t="s">
        <v>77</v>
      </c>
      <c r="E20" s="12" t="s">
        <v>102</v>
      </c>
      <c r="F20" s="12" t="s">
        <v>165</v>
      </c>
      <c r="G20" s="12" t="s">
        <v>166</v>
      </c>
      <c r="H20" s="34" t="s">
        <v>167</v>
      </c>
      <c r="I20" s="12" t="s">
        <v>82</v>
      </c>
      <c r="J20" s="12" t="s">
        <v>83</v>
      </c>
      <c r="K20" s="18">
        <v>0</v>
      </c>
      <c r="L20" s="18">
        <v>0</v>
      </c>
      <c r="M20" s="12" t="s">
        <v>84</v>
      </c>
      <c r="N20" s="35">
        <v>492669</v>
      </c>
      <c r="O20" s="35">
        <v>464894</v>
      </c>
      <c r="P20" s="35">
        <v>413671.98</v>
      </c>
      <c r="Q20" s="35">
        <v>211662.5</v>
      </c>
      <c r="R20" s="18">
        <f>N20-O20</f>
        <v>27775.0</v>
      </c>
      <c r="S20" s="18">
        <f>O20-P20</f>
        <v>51222.02000000002</v>
      </c>
      <c r="T20" s="18">
        <f>N20-Q20</f>
        <v>281006.5</v>
      </c>
      <c r="U20" s="36">
        <f>IF(N20&gt;0,Q20/N20,0)</f>
        <v>0.4296241492766949</v>
      </c>
      <c r="V20" s="35">
        <v>10868995.41</v>
      </c>
      <c r="W20" s="35">
        <v>211662.5</v>
      </c>
      <c r="X20" s="36">
        <v>0.01947397086995366</v>
      </c>
      <c r="Y20" s="35">
        <v>492669</v>
      </c>
      <c r="Z20" s="17" t="s">
        <v>168</v>
      </c>
      <c r="AA20" s="12" t="s">
        <v>99</v>
      </c>
      <c r="AB20" s="12" t="s">
        <v>99</v>
      </c>
      <c r="AC20" s="12" t="s">
        <v>99</v>
      </c>
      <c r="AD20" s="12" t="s">
        <v>99</v>
      </c>
      <c r="AE20" s="12" t="s">
        <v>86</v>
      </c>
      <c r="AF20" s="12" t="s">
        <v>87</v>
      </c>
      <c r="AG20" s="18">
        <v>-1</v>
      </c>
      <c r="AH20" s="12" t="s">
        <v>169</v>
      </c>
      <c r="AI20" s="12" t="s">
        <v>89</v>
      </c>
      <c r="AJ20" s="12" t="s">
        <v>89</v>
      </c>
      <c r="AK20" s="12" t="s">
        <v>89</v>
      </c>
      <c r="AL20" s="12" t="s">
        <v>170</v>
      </c>
      <c r="AM20" s="12" t="s">
        <v>171</v>
      </c>
      <c r="AN20" s="17" t="s">
        <v>92</v>
      </c>
    </row>
    <row r="21" spans="1:40">
      <c r="A21" s="12" t="s">
        <v>74</v>
      </c>
      <c r="B21" s="12" t="s">
        <v>75</v>
      </c>
      <c r="C21" s="12" t="s">
        <v>76</v>
      </c>
      <c r="D21" s="12" t="s">
        <v>77</v>
      </c>
      <c r="E21" s="12" t="s">
        <v>102</v>
      </c>
      <c r="F21" s="12" t="s">
        <v>172</v>
      </c>
      <c r="G21" s="12" t="s">
        <v>173</v>
      </c>
      <c r="H21" s="34" t="s">
        <v>174</v>
      </c>
      <c r="I21" s="12" t="s">
        <v>82</v>
      </c>
      <c r="J21" s="12" t="s">
        <v>106</v>
      </c>
      <c r="K21" s="18">
        <v>0</v>
      </c>
      <c r="L21" s="18">
        <v>0</v>
      </c>
      <c r="M21" s="12" t="s">
        <v>175</v>
      </c>
      <c r="N21" s="35">
        <v>118539</v>
      </c>
      <c r="O21" s="35">
        <v>70562.13</v>
      </c>
      <c r="P21" s="35">
        <v>70562.13</v>
      </c>
      <c r="Q21" s="35">
        <v>70562.13</v>
      </c>
      <c r="R21" s="18">
        <f>N21-O21</f>
        <v>47976.869999999995</v>
      </c>
      <c r="S21" s="18">
        <f>O21-P21</f>
        <v>0.0</v>
      </c>
      <c r="T21" s="18">
        <f>N21-Q21</f>
        <v>47976.869999999995</v>
      </c>
      <c r="U21" s="36">
        <f>IF(N21&gt;0,Q21/N21,0)</f>
        <v>0.5952651026244528</v>
      </c>
      <c r="V21" s="35">
        <v>3108779.65</v>
      </c>
      <c r="W21" s="35">
        <v>3019416.91</v>
      </c>
      <c r="X21" s="36">
        <v>0.9712547204817171</v>
      </c>
      <c r="Y21" s="35">
        <v>159924.87</v>
      </c>
      <c r="Z21" s="17" t="s">
        <v>122</v>
      </c>
      <c r="AA21" s="35">
        <v>159740</v>
      </c>
      <c r="AB21" s="35">
        <v>0</v>
      </c>
      <c r="AC21" s="35">
        <v>0</v>
      </c>
      <c r="AD21" s="35">
        <v>0</v>
      </c>
      <c r="AE21" s="12" t="s">
        <v>86</v>
      </c>
      <c r="AF21" s="12" t="s">
        <v>87</v>
      </c>
      <c r="AG21" s="18">
        <v>100</v>
      </c>
      <c r="AH21" s="12" t="s">
        <v>176</v>
      </c>
      <c r="AI21" s="12" t="s">
        <v>89</v>
      </c>
      <c r="AJ21" s="12" t="s">
        <v>89</v>
      </c>
      <c r="AK21" s="12" t="s">
        <v>89</v>
      </c>
      <c r="AL21" s="12" t="s">
        <v>177</v>
      </c>
      <c r="AM21" s="12" t="s">
        <v>91</v>
      </c>
      <c r="AN21" s="17" t="s">
        <v>92</v>
      </c>
    </row>
    <row r="22" spans="1:40">
      <c r="A22" s="12" t="s">
        <v>74</v>
      </c>
      <c r="B22" s="12" t="s">
        <v>75</v>
      </c>
      <c r="C22" s="12" t="s">
        <v>76</v>
      </c>
      <c r="D22" s="12" t="s">
        <v>77</v>
      </c>
      <c r="E22" s="12" t="s">
        <v>102</v>
      </c>
      <c r="F22" s="12" t="s">
        <v>178</v>
      </c>
      <c r="G22" s="12" t="s">
        <v>179</v>
      </c>
      <c r="H22" s="34" t="s">
        <v>180</v>
      </c>
      <c r="I22" s="12" t="s">
        <v>82</v>
      </c>
      <c r="J22" s="12" t="s">
        <v>106</v>
      </c>
      <c r="K22" s="18">
        <v>0</v>
      </c>
      <c r="L22" s="18">
        <v>0</v>
      </c>
      <c r="M22" s="12" t="s">
        <v>181</v>
      </c>
      <c r="N22" s="35">
        <v>28700</v>
      </c>
      <c r="O22" s="35">
        <v>0</v>
      </c>
      <c r="P22" s="35">
        <v>0</v>
      </c>
      <c r="Q22" s="35">
        <v>0</v>
      </c>
      <c r="R22" s="18">
        <f>N22-O22</f>
        <v>28700.0</v>
      </c>
      <c r="S22" s="18">
        <f>O22-P22</f>
        <v>0.0</v>
      </c>
      <c r="T22" s="18">
        <f>N22-Q22</f>
        <v>28700.0</v>
      </c>
      <c r="U22" s="36">
        <f>IF(N22&gt;0,Q22/N22,0)</f>
        <v>0.0</v>
      </c>
      <c r="V22" s="35">
        <v>17552580.6</v>
      </c>
      <c r="W22" s="35">
        <v>16780303.14</v>
      </c>
      <c r="X22" s="36">
        <v>0.9560020559028226</v>
      </c>
      <c r="Y22" s="35">
        <v>909086</v>
      </c>
      <c r="Z22" s="17" t="s">
        <v>98</v>
      </c>
      <c r="AA22" s="35">
        <v>539829</v>
      </c>
      <c r="AB22" s="35">
        <v>504509</v>
      </c>
      <c r="AC22" s="35">
        <v>0</v>
      </c>
      <c r="AD22" s="35">
        <v>0</v>
      </c>
      <c r="AE22" s="12" t="s">
        <v>86</v>
      </c>
      <c r="AF22" s="12" t="s">
        <v>87</v>
      </c>
      <c r="AG22" s="18">
        <v>79.23</v>
      </c>
      <c r="AH22" s="12" t="s">
        <v>182</v>
      </c>
      <c r="AI22" s="12" t="s">
        <v>89</v>
      </c>
      <c r="AJ22" s="12" t="s">
        <v>89</v>
      </c>
      <c r="AK22" s="12" t="s">
        <v>89</v>
      </c>
      <c r="AL22" s="12" t="s">
        <v>89</v>
      </c>
      <c r="AM22" s="12" t="s">
        <v>183</v>
      </c>
      <c r="AN22" s="17" t="s">
        <v>92</v>
      </c>
    </row>
    <row r="23" spans="1:40">
      <c r="A23" s="12" t="s">
        <v>74</v>
      </c>
      <c r="B23" s="12" t="s">
        <v>75</v>
      </c>
      <c r="C23" s="12" t="s">
        <v>76</v>
      </c>
      <c r="D23" s="12" t="s">
        <v>77</v>
      </c>
      <c r="E23" s="12" t="s">
        <v>102</v>
      </c>
      <c r="F23" s="12" t="s">
        <v>178</v>
      </c>
      <c r="G23" s="12" t="s">
        <v>184</v>
      </c>
      <c r="H23" s="34" t="s">
        <v>180</v>
      </c>
      <c r="I23" s="12" t="s">
        <v>82</v>
      </c>
      <c r="J23" s="12" t="s">
        <v>106</v>
      </c>
      <c r="K23" s="18">
        <v>0</v>
      </c>
      <c r="L23" s="18">
        <v>0</v>
      </c>
      <c r="M23" s="12" t="s">
        <v>181</v>
      </c>
      <c r="N23" s="35">
        <v>25000</v>
      </c>
      <c r="O23" s="35">
        <v>0</v>
      </c>
      <c r="P23" s="35">
        <v>0</v>
      </c>
      <c r="Q23" s="35">
        <v>0</v>
      </c>
      <c r="R23" s="18">
        <f>N23-O23</f>
        <v>25000.0</v>
      </c>
      <c r="S23" s="18">
        <f>O23-P23</f>
        <v>0.0</v>
      </c>
      <c r="T23" s="18">
        <f>N23-Q23</f>
        <v>25000.0</v>
      </c>
      <c r="U23" s="36">
        <f>IF(N23&gt;0,Q23/N23,0)</f>
        <v>0.0</v>
      </c>
      <c r="V23" s="35">
        <v>17552580.6</v>
      </c>
      <c r="W23" s="35">
        <v>16780303.14</v>
      </c>
      <c r="X23" s="36">
        <v>0.9560020559028226</v>
      </c>
      <c r="Y23" s="35">
        <v>909086</v>
      </c>
      <c r="Z23" s="17" t="s">
        <v>98</v>
      </c>
      <c r="AA23" s="35">
        <v>539829</v>
      </c>
      <c r="AB23" s="35">
        <v>504509</v>
      </c>
      <c r="AC23" s="35">
        <v>0</v>
      </c>
      <c r="AD23" s="35">
        <v>0</v>
      </c>
      <c r="AE23" s="12" t="s">
        <v>86</v>
      </c>
      <c r="AF23" s="12" t="s">
        <v>87</v>
      </c>
      <c r="AG23" s="18">
        <v>79.23</v>
      </c>
      <c r="AH23" s="12" t="s">
        <v>182</v>
      </c>
      <c r="AI23" s="12" t="s">
        <v>89</v>
      </c>
      <c r="AJ23" s="12" t="s">
        <v>89</v>
      </c>
      <c r="AK23" s="12" t="s">
        <v>89</v>
      </c>
      <c r="AL23" s="12" t="s">
        <v>89</v>
      </c>
      <c r="AM23" s="12" t="s">
        <v>183</v>
      </c>
      <c r="AN23" s="17" t="s">
        <v>92</v>
      </c>
    </row>
    <row r="24" spans="1:40">
      <c r="A24" s="12" t="s">
        <v>74</v>
      </c>
      <c r="B24" s="12" t="s">
        <v>75</v>
      </c>
      <c r="C24" s="12" t="s">
        <v>76</v>
      </c>
      <c r="D24" s="12" t="s">
        <v>77</v>
      </c>
      <c r="E24" s="12" t="s">
        <v>102</v>
      </c>
      <c r="F24" s="12" t="s">
        <v>185</v>
      </c>
      <c r="G24" s="12" t="s">
        <v>186</v>
      </c>
      <c r="H24" s="34" t="s">
        <v>187</v>
      </c>
      <c r="I24" s="12" t="s">
        <v>162</v>
      </c>
      <c r="J24" s="12" t="s">
        <v>106</v>
      </c>
      <c r="K24" s="18">
        <v>0</v>
      </c>
      <c r="L24" s="18">
        <v>0</v>
      </c>
      <c r="M24" s="12" t="s">
        <v>188</v>
      </c>
      <c r="N24" s="35">
        <v>23560</v>
      </c>
      <c r="O24" s="35">
        <v>22650</v>
      </c>
      <c r="P24" s="35">
        <v>22650</v>
      </c>
      <c r="Q24" s="35">
        <v>14282.09</v>
      </c>
      <c r="R24" s="18">
        <f>N24-O24</f>
        <v>910.0</v>
      </c>
      <c r="S24" s="18">
        <f>O24-P24</f>
        <v>0.0</v>
      </c>
      <c r="T24" s="18">
        <f>N24-Q24</f>
        <v>9277.91</v>
      </c>
      <c r="U24" s="36">
        <f>IF(N24&gt;0,Q24/N24,0)</f>
        <v>0.6062007640067911</v>
      </c>
      <c r="V24" s="35">
        <v>4094769.9</v>
      </c>
      <c r="W24" s="35">
        <v>4054501.75</v>
      </c>
      <c r="X24" s="36">
        <v>0.9901659553568566</v>
      </c>
      <c r="Y24" s="35">
        <v>27470.24</v>
      </c>
      <c r="Z24" s="17" t="s">
        <v>189</v>
      </c>
      <c r="AA24" s="35">
        <v>23560</v>
      </c>
      <c r="AB24" s="35">
        <v>27080</v>
      </c>
      <c r="AC24" s="35">
        <v>0</v>
      </c>
      <c r="AD24" s="35">
        <v>0</v>
      </c>
      <c r="AE24" s="12" t="s">
        <v>86</v>
      </c>
      <c r="AF24" s="12" t="s">
        <v>190</v>
      </c>
      <c r="AG24" s="18">
        <v>100</v>
      </c>
      <c r="AH24" s="12" t="s">
        <v>136</v>
      </c>
      <c r="AI24" s="12" t="s">
        <v>89</v>
      </c>
      <c r="AJ24" s="12" t="s">
        <v>89</v>
      </c>
      <c r="AK24" s="12" t="s">
        <v>89</v>
      </c>
      <c r="AL24" s="12" t="s">
        <v>177</v>
      </c>
      <c r="AM24" s="12" t="s">
        <v>91</v>
      </c>
      <c r="AN24" s="17" t="s">
        <v>92</v>
      </c>
    </row>
    <row r="25" spans="1:40">
      <c r="A25" s="12" t="s">
        <v>74</v>
      </c>
      <c r="B25" s="12" t="s">
        <v>75</v>
      </c>
      <c r="C25" s="12" t="s">
        <v>76</v>
      </c>
      <c r="D25" s="12" t="s">
        <v>77</v>
      </c>
      <c r="E25" s="12" t="s">
        <v>102</v>
      </c>
      <c r="F25" s="12" t="s">
        <v>191</v>
      </c>
      <c r="G25" s="12" t="s">
        <v>192</v>
      </c>
      <c r="H25" s="34" t="s">
        <v>193</v>
      </c>
      <c r="I25" s="12" t="s">
        <v>82</v>
      </c>
      <c r="J25" s="12" t="s">
        <v>106</v>
      </c>
      <c r="K25" s="18">
        <v>0</v>
      </c>
      <c r="L25" s="18">
        <v>0</v>
      </c>
      <c r="M25" s="12" t="s">
        <v>188</v>
      </c>
      <c r="N25" s="35">
        <v>17714</v>
      </c>
      <c r="O25" s="35">
        <v>14228.68</v>
      </c>
      <c r="P25" s="35">
        <v>14228.68</v>
      </c>
      <c r="Q25" s="35">
        <v>9749.799999999999</v>
      </c>
      <c r="R25" s="18">
        <f>N25-O25</f>
        <v>3485.3199999999997</v>
      </c>
      <c r="S25" s="18">
        <f>O25-P25</f>
        <v>0.0</v>
      </c>
      <c r="T25" s="18">
        <f>N25-Q25</f>
        <v>7964.200000000001</v>
      </c>
      <c r="U25" s="36">
        <f>IF(N25&gt;0,Q25/N25,0)</f>
        <v>0.5504008129163374</v>
      </c>
      <c r="V25" s="35">
        <v>2550759.73</v>
      </c>
      <c r="W25" s="35">
        <v>2525618.07</v>
      </c>
      <c r="X25" s="36">
        <v>0.9901434620813933</v>
      </c>
      <c r="Y25" s="35">
        <v>34891.46</v>
      </c>
      <c r="Z25" s="17" t="s">
        <v>122</v>
      </c>
      <c r="AA25" s="35">
        <v>13915</v>
      </c>
      <c r="AB25" s="35">
        <v>0</v>
      </c>
      <c r="AC25" s="35">
        <v>0</v>
      </c>
      <c r="AD25" s="35">
        <v>0</v>
      </c>
      <c r="AE25" s="12" t="s">
        <v>86</v>
      </c>
      <c r="AF25" s="12" t="s">
        <v>87</v>
      </c>
      <c r="AG25" s="18">
        <v>100</v>
      </c>
      <c r="AH25" s="12" t="s">
        <v>194</v>
      </c>
      <c r="AI25" s="12" t="s">
        <v>89</v>
      </c>
      <c r="AJ25" s="12" t="s">
        <v>89</v>
      </c>
      <c r="AK25" s="12" t="s">
        <v>89</v>
      </c>
      <c r="AL25" s="12" t="s">
        <v>177</v>
      </c>
      <c r="AM25" s="12" t="s">
        <v>91</v>
      </c>
      <c r="AN25" s="17" t="s">
        <v>92</v>
      </c>
    </row>
    <row r="26" spans="1:40">
      <c r="A26" s="12" t="s">
        <v>74</v>
      </c>
      <c r="B26" s="12" t="s">
        <v>75</v>
      </c>
      <c r="C26" s="12" t="s">
        <v>76</v>
      </c>
      <c r="D26" s="12" t="s">
        <v>77</v>
      </c>
      <c r="E26" s="12" t="s">
        <v>102</v>
      </c>
      <c r="F26" s="12" t="s">
        <v>195</v>
      </c>
      <c r="G26" s="12" t="s">
        <v>196</v>
      </c>
      <c r="H26" s="34" t="s">
        <v>197</v>
      </c>
      <c r="I26" s="12" t="s">
        <v>82</v>
      </c>
      <c r="J26" s="12" t="s">
        <v>149</v>
      </c>
      <c r="K26" s="18">
        <v>0</v>
      </c>
      <c r="L26" s="18">
        <v>0</v>
      </c>
      <c r="M26" s="12" t="s">
        <v>150</v>
      </c>
      <c r="N26" s="35">
        <v>0</v>
      </c>
      <c r="O26" s="35">
        <v>0</v>
      </c>
      <c r="P26" s="35">
        <v>0</v>
      </c>
      <c r="Q26" s="35">
        <v>0</v>
      </c>
      <c r="R26" s="18">
        <f>N26-O26</f>
        <v>0.0</v>
      </c>
      <c r="S26" s="18">
        <f>O26-P26</f>
        <v>0.0</v>
      </c>
      <c r="T26" s="18">
        <f>N26-Q26</f>
        <v>0.0</v>
      </c>
      <c r="U26" s="36">
        <f>IF(N26&gt;0,Q26/N26,0)</f>
        <v>0</v>
      </c>
      <c r="V26" s="35">
        <v>7586395.03</v>
      </c>
      <c r="W26" s="35">
        <v>7540614.03</v>
      </c>
      <c r="X26" s="36">
        <v>0.9939653814731554</v>
      </c>
      <c r="Y26" s="35">
        <v>45781</v>
      </c>
      <c r="Z26" s="17" t="s">
        <v>198</v>
      </c>
      <c r="AA26" s="12" t="s">
        <v>99</v>
      </c>
      <c r="AB26" s="12" t="s">
        <v>99</v>
      </c>
      <c r="AC26" s="12" t="s">
        <v>99</v>
      </c>
      <c r="AD26" s="12" t="s">
        <v>99</v>
      </c>
      <c r="AE26" s="12" t="s">
        <v>86</v>
      </c>
      <c r="AF26" s="12" t="s">
        <v>190</v>
      </c>
      <c r="AG26" s="18">
        <v>100</v>
      </c>
      <c r="AH26" s="12" t="s">
        <v>145</v>
      </c>
      <c r="AI26" s="12" t="s">
        <v>89</v>
      </c>
      <c r="AJ26" s="12" t="s">
        <v>89</v>
      </c>
      <c r="AK26" s="12" t="s">
        <v>89</v>
      </c>
      <c r="AL26" s="12" t="s">
        <v>177</v>
      </c>
      <c r="AM26" s="12" t="s">
        <v>91</v>
      </c>
      <c r="AN26" s="17" t="s">
        <v>92</v>
      </c>
    </row>
    <row r="27" spans="1:40">
      <c r="A27" s="12" t="s">
        <v>74</v>
      </c>
      <c r="B27" s="12" t="s">
        <v>75</v>
      </c>
      <c r="C27" s="12" t="s">
        <v>76</v>
      </c>
      <c r="D27" s="12" t="s">
        <v>77</v>
      </c>
      <c r="E27" s="12" t="s">
        <v>102</v>
      </c>
      <c r="F27" s="12" t="s">
        <v>199</v>
      </c>
      <c r="G27" s="12" t="s">
        <v>200</v>
      </c>
      <c r="H27" s="34" t="s">
        <v>201</v>
      </c>
      <c r="I27" s="12" t="s">
        <v>82</v>
      </c>
      <c r="J27" s="12" t="s">
        <v>83</v>
      </c>
      <c r="K27" s="18">
        <v>0</v>
      </c>
      <c r="L27" s="18">
        <v>0</v>
      </c>
      <c r="M27" s="12" t="s">
        <v>84</v>
      </c>
      <c r="N27" s="35">
        <v>728529</v>
      </c>
      <c r="O27" s="35">
        <v>0</v>
      </c>
      <c r="P27" s="35">
        <v>0</v>
      </c>
      <c r="Q27" s="35">
        <v>0</v>
      </c>
      <c r="R27" s="18">
        <f>N27-O27</f>
        <v>728529.0</v>
      </c>
      <c r="S27" s="18">
        <f>O27-P27</f>
        <v>0.0</v>
      </c>
      <c r="T27" s="18">
        <f>N27-Q27</f>
        <v>728529.0</v>
      </c>
      <c r="U27" s="36">
        <f>IF(N27&gt;0,Q27/N27,0)</f>
        <v>0.0</v>
      </c>
      <c r="V27" s="35">
        <v>1868187.05</v>
      </c>
      <c r="W27" s="35">
        <v>139657.22</v>
      </c>
      <c r="X27" s="36">
        <v>0.07475548018599101</v>
      </c>
      <c r="Y27" s="35">
        <v>728529</v>
      </c>
      <c r="Z27" s="17" t="s">
        <v>202</v>
      </c>
      <c r="AA27" s="35">
        <v>699403</v>
      </c>
      <c r="AB27" s="35">
        <v>0</v>
      </c>
      <c r="AC27" s="35">
        <v>0</v>
      </c>
      <c r="AD27" s="35">
        <v>0</v>
      </c>
      <c r="AE27" s="12" t="s">
        <v>203</v>
      </c>
      <c r="AF27" s="12" t="s">
        <v>87</v>
      </c>
      <c r="AG27" s="18">
        <v>-1</v>
      </c>
      <c r="AH27" s="12" t="s">
        <v>204</v>
      </c>
      <c r="AI27" s="12" t="s">
        <v>89</v>
      </c>
      <c r="AJ27" s="12" t="s">
        <v>89</v>
      </c>
      <c r="AK27" s="12" t="s">
        <v>89</v>
      </c>
      <c r="AL27" s="12" t="s">
        <v>141</v>
      </c>
      <c r="AM27" s="12" t="s">
        <v>91</v>
      </c>
      <c r="AN27" s="17" t="s">
        <v>92</v>
      </c>
    </row>
    <row r="28" spans="1:40">
      <c r="A28" s="12" t="s">
        <v>74</v>
      </c>
      <c r="B28" s="12" t="s">
        <v>75</v>
      </c>
      <c r="C28" s="12" t="s">
        <v>76</v>
      </c>
      <c r="D28" s="12" t="s">
        <v>77</v>
      </c>
      <c r="E28" s="12" t="s">
        <v>102</v>
      </c>
      <c r="F28" s="12" t="s">
        <v>205</v>
      </c>
      <c r="G28" s="12" t="s">
        <v>206</v>
      </c>
      <c r="H28" s="34" t="s">
        <v>207</v>
      </c>
      <c r="I28" s="12" t="s">
        <v>82</v>
      </c>
      <c r="J28" s="12" t="s">
        <v>106</v>
      </c>
      <c r="K28" s="18">
        <v>0</v>
      </c>
      <c r="L28" s="18">
        <v>0</v>
      </c>
      <c r="M28" s="12" t="s">
        <v>175</v>
      </c>
      <c r="N28" s="35">
        <v>40621</v>
      </c>
      <c r="O28" s="35">
        <v>28914.4</v>
      </c>
      <c r="P28" s="35">
        <v>28914.4</v>
      </c>
      <c r="Q28" s="35">
        <v>27953.93</v>
      </c>
      <c r="R28" s="18">
        <f>N28-O28</f>
        <v>11706.599999999999</v>
      </c>
      <c r="S28" s="18">
        <f>O28-P28</f>
        <v>0.0</v>
      </c>
      <c r="T28" s="18">
        <f>N28-Q28</f>
        <v>12667.07</v>
      </c>
      <c r="U28" s="36">
        <f>IF(N28&gt;0,Q28/N28,0)</f>
        <v>0.6881644961965486</v>
      </c>
      <c r="V28" s="35">
        <v>12713677.57</v>
      </c>
      <c r="W28" s="35">
        <v>12280767.39</v>
      </c>
      <c r="X28" s="36">
        <v>0.9659492560184535</v>
      </c>
      <c r="Y28" s="35">
        <v>570134.9099999999</v>
      </c>
      <c r="Z28" s="17" t="s">
        <v>122</v>
      </c>
      <c r="AA28" s="35">
        <v>2455</v>
      </c>
      <c r="AB28" s="35">
        <v>0</v>
      </c>
      <c r="AC28" s="35">
        <v>0</v>
      </c>
      <c r="AD28" s="35">
        <v>0</v>
      </c>
      <c r="AE28" s="12" t="s">
        <v>86</v>
      </c>
      <c r="AF28" s="12" t="s">
        <v>87</v>
      </c>
      <c r="AG28" s="18">
        <v>100</v>
      </c>
      <c r="AH28" s="12" t="s">
        <v>208</v>
      </c>
      <c r="AI28" s="12" t="s">
        <v>89</v>
      </c>
      <c r="AJ28" s="12" t="s">
        <v>89</v>
      </c>
      <c r="AK28" s="12" t="s">
        <v>89</v>
      </c>
      <c r="AL28" s="12" t="s">
        <v>177</v>
      </c>
      <c r="AM28" s="12" t="s">
        <v>209</v>
      </c>
      <c r="AN28" s="17" t="s">
        <v>92</v>
      </c>
    </row>
    <row r="29" spans="1:40">
      <c r="A29" s="12" t="s">
        <v>74</v>
      </c>
      <c r="B29" s="12" t="s">
        <v>75</v>
      </c>
      <c r="C29" s="12" t="s">
        <v>76</v>
      </c>
      <c r="D29" s="12" t="s">
        <v>77</v>
      </c>
      <c r="E29" s="12" t="s">
        <v>102</v>
      </c>
      <c r="F29" s="12" t="s">
        <v>210</v>
      </c>
      <c r="G29" s="12" t="s">
        <v>211</v>
      </c>
      <c r="H29" s="34" t="s">
        <v>212</v>
      </c>
      <c r="I29" s="12" t="s">
        <v>82</v>
      </c>
      <c r="J29" s="12" t="s">
        <v>149</v>
      </c>
      <c r="K29" s="18">
        <v>0</v>
      </c>
      <c r="L29" s="18">
        <v>0</v>
      </c>
      <c r="M29" s="12" t="s">
        <v>150</v>
      </c>
      <c r="N29" s="35">
        <v>0</v>
      </c>
      <c r="O29" s="35">
        <v>0</v>
      </c>
      <c r="P29" s="35">
        <v>0</v>
      </c>
      <c r="Q29" s="35">
        <v>0</v>
      </c>
      <c r="R29" s="18">
        <f>N29-O29</f>
        <v>0.0</v>
      </c>
      <c r="S29" s="18">
        <f>O29-P29</f>
        <v>0.0</v>
      </c>
      <c r="T29" s="18">
        <f>N29-Q29</f>
        <v>0.0</v>
      </c>
      <c r="U29" s="36">
        <f>IF(N29&gt;0,Q29/N29,0)</f>
        <v>0</v>
      </c>
      <c r="V29" s="35">
        <v>3367192.65</v>
      </c>
      <c r="W29" s="35">
        <v>191927.51</v>
      </c>
      <c r="X29" s="36">
        <v>0.05699926613940548</v>
      </c>
      <c r="Y29" s="17" t="s">
        <v>151</v>
      </c>
      <c r="Z29" s="17" t="s">
        <v>213</v>
      </c>
      <c r="AA29" s="35">
        <v>2878733</v>
      </c>
      <c r="AB29" s="35">
        <v>0</v>
      </c>
      <c r="AC29" s="35">
        <v>0</v>
      </c>
      <c r="AD29" s="35">
        <v>0</v>
      </c>
      <c r="AE29" s="12" t="s">
        <v>203</v>
      </c>
      <c r="AF29" s="12" t="s">
        <v>87</v>
      </c>
      <c r="AG29" s="18">
        <v>-1</v>
      </c>
      <c r="AH29" s="12" t="s">
        <v>145</v>
      </c>
      <c r="AI29" s="12" t="s">
        <v>89</v>
      </c>
      <c r="AJ29" s="12" t="s">
        <v>89</v>
      </c>
      <c r="AK29" s="12" t="s">
        <v>89</v>
      </c>
      <c r="AL29" s="12" t="s">
        <v>141</v>
      </c>
      <c r="AM29" s="12" t="s">
        <v>91</v>
      </c>
      <c r="AN29" s="17" t="s">
        <v>92</v>
      </c>
    </row>
    <row r="30" spans="1:40">
      <c r="A30" s="12" t="s">
        <v>74</v>
      </c>
      <c r="B30" s="12" t="s">
        <v>75</v>
      </c>
      <c r="C30" s="12" t="s">
        <v>76</v>
      </c>
      <c r="D30" s="12" t="s">
        <v>77</v>
      </c>
      <c r="E30" s="12" t="s">
        <v>102</v>
      </c>
      <c r="F30" s="12" t="s">
        <v>178</v>
      </c>
      <c r="G30" s="12" t="s">
        <v>214</v>
      </c>
      <c r="H30" s="34" t="s">
        <v>180</v>
      </c>
      <c r="I30" s="12" t="s">
        <v>82</v>
      </c>
      <c r="J30" s="12" t="s">
        <v>106</v>
      </c>
      <c r="K30" s="18">
        <v>0</v>
      </c>
      <c r="L30" s="18">
        <v>0</v>
      </c>
      <c r="M30" s="12" t="s">
        <v>181</v>
      </c>
      <c r="N30" s="35">
        <v>855386</v>
      </c>
      <c r="O30" s="35">
        <v>725859.11</v>
      </c>
      <c r="P30" s="35">
        <v>718409.6099999999</v>
      </c>
      <c r="Q30" s="35">
        <v>715665.61</v>
      </c>
      <c r="R30" s="18">
        <f>N30-O30</f>
        <v>129526.89000000001</v>
      </c>
      <c r="S30" s="18">
        <f>O30-P30</f>
        <v>7449.500000000116</v>
      </c>
      <c r="T30" s="18">
        <f>N30-Q30</f>
        <v>139720.39</v>
      </c>
      <c r="U30" s="36">
        <f>IF(N30&gt;0,Q30/N30,0)</f>
        <v>0.8366580818484286</v>
      </c>
      <c r="V30" s="35">
        <v>17552580.6</v>
      </c>
      <c r="W30" s="35">
        <v>16780303.14</v>
      </c>
      <c r="X30" s="36">
        <v>0.9560020559028226</v>
      </c>
      <c r="Y30" s="35">
        <v>909086</v>
      </c>
      <c r="Z30" s="17" t="s">
        <v>98</v>
      </c>
      <c r="AA30" s="35">
        <v>539829</v>
      </c>
      <c r="AB30" s="35">
        <v>504509</v>
      </c>
      <c r="AC30" s="35">
        <v>0</v>
      </c>
      <c r="AD30" s="35">
        <v>0</v>
      </c>
      <c r="AE30" s="12" t="s">
        <v>86</v>
      </c>
      <c r="AF30" s="12" t="s">
        <v>87</v>
      </c>
      <c r="AG30" s="18">
        <v>79.23</v>
      </c>
      <c r="AH30" s="12" t="s">
        <v>155</v>
      </c>
      <c r="AI30" s="12" t="s">
        <v>89</v>
      </c>
      <c r="AJ30" s="12" t="s">
        <v>89</v>
      </c>
      <c r="AK30" s="12" t="s">
        <v>89</v>
      </c>
      <c r="AL30" s="12" t="s">
        <v>90</v>
      </c>
      <c r="AM30" s="12" t="s">
        <v>183</v>
      </c>
      <c r="AN30" s="17" t="s">
        <v>92</v>
      </c>
    </row>
    <row r="31" spans="1:40">
      <c r="A31" s="12" t="s">
        <v>74</v>
      </c>
      <c r="B31" s="12" t="s">
        <v>75</v>
      </c>
      <c r="C31" s="12" t="s">
        <v>76</v>
      </c>
      <c r="D31" s="12" t="s">
        <v>77</v>
      </c>
      <c r="E31" s="12" t="s">
        <v>102</v>
      </c>
      <c r="F31" s="12" t="s">
        <v>215</v>
      </c>
      <c r="G31" s="12" t="s">
        <v>216</v>
      </c>
      <c r="H31" s="34" t="s">
        <v>217</v>
      </c>
      <c r="I31" s="12" t="s">
        <v>82</v>
      </c>
      <c r="J31" s="12" t="s">
        <v>106</v>
      </c>
      <c r="K31" s="18">
        <v>0</v>
      </c>
      <c r="L31" s="18">
        <v>0</v>
      </c>
      <c r="M31" s="12" t="s">
        <v>121</v>
      </c>
      <c r="N31" s="35">
        <v>77590</v>
      </c>
      <c r="O31" s="35">
        <v>76159.17999999999</v>
      </c>
      <c r="P31" s="35">
        <v>76159.17999999999</v>
      </c>
      <c r="Q31" s="35">
        <v>76159.17999999999</v>
      </c>
      <c r="R31" s="18">
        <f>N31-O31</f>
        <v>1430.820000000007</v>
      </c>
      <c r="S31" s="18">
        <f>O31-P31</f>
        <v>0.0</v>
      </c>
      <c r="T31" s="18">
        <f>N31-Q31</f>
        <v>1430.820000000007</v>
      </c>
      <c r="U31" s="36">
        <f>IF(N31&gt;0,Q31/N31,0)</f>
        <v>0.9815592215491686</v>
      </c>
      <c r="V31" s="35">
        <v>14719237.96</v>
      </c>
      <c r="W31" s="35">
        <v>14486286.92</v>
      </c>
      <c r="X31" s="36">
        <v>0.9841737024271873</v>
      </c>
      <c r="Y31" s="35">
        <v>77590</v>
      </c>
      <c r="Z31" s="17" t="s">
        <v>98</v>
      </c>
      <c r="AA31" s="35">
        <v>357505</v>
      </c>
      <c r="AB31" s="35">
        <v>0</v>
      </c>
      <c r="AC31" s="35">
        <v>0</v>
      </c>
      <c r="AD31" s="35">
        <v>344884</v>
      </c>
      <c r="AE31" s="12" t="s">
        <v>86</v>
      </c>
      <c r="AF31" s="12" t="s">
        <v>190</v>
      </c>
      <c r="AG31" s="18">
        <v>100</v>
      </c>
      <c r="AH31" s="12" t="s">
        <v>136</v>
      </c>
      <c r="AI31" s="12" t="s">
        <v>89</v>
      </c>
      <c r="AJ31" s="12" t="s">
        <v>89</v>
      </c>
      <c r="AK31" s="12" t="s">
        <v>89</v>
      </c>
      <c r="AL31" s="12" t="s">
        <v>90</v>
      </c>
      <c r="AM31" s="12" t="s">
        <v>91</v>
      </c>
      <c r="AN31" s="17" t="s">
        <v>92</v>
      </c>
    </row>
    <row r="32" spans="1:40">
      <c r="A32" s="12" t="s">
        <v>74</v>
      </c>
      <c r="B32" s="12" t="s">
        <v>75</v>
      </c>
      <c r="C32" s="12" t="s">
        <v>76</v>
      </c>
      <c r="D32" s="12" t="s">
        <v>77</v>
      </c>
      <c r="E32" s="12" t="s">
        <v>102</v>
      </c>
      <c r="F32" s="12" t="s">
        <v>218</v>
      </c>
      <c r="G32" s="12" t="s">
        <v>219</v>
      </c>
      <c r="H32" s="34" t="s">
        <v>220</v>
      </c>
      <c r="I32" s="12" t="s">
        <v>82</v>
      </c>
      <c r="J32" s="12" t="s">
        <v>106</v>
      </c>
      <c r="K32" s="18">
        <v>0</v>
      </c>
      <c r="L32" s="18">
        <v>0</v>
      </c>
      <c r="M32" s="12" t="s">
        <v>121</v>
      </c>
      <c r="N32" s="35">
        <v>50132</v>
      </c>
      <c r="O32" s="35">
        <v>47450.05</v>
      </c>
      <c r="P32" s="35">
        <v>47450.05</v>
      </c>
      <c r="Q32" s="35">
        <v>47450.05</v>
      </c>
      <c r="R32" s="18">
        <f>N32-O32</f>
        <v>2681.949999999997</v>
      </c>
      <c r="S32" s="18">
        <f>O32-P32</f>
        <v>0.0</v>
      </c>
      <c r="T32" s="18">
        <f>N32-Q32</f>
        <v>2681.949999999997</v>
      </c>
      <c r="U32" s="36">
        <f>IF(N32&gt;0,Q32/N32,0)</f>
        <v>0.9465022341019709</v>
      </c>
      <c r="V32" s="35">
        <v>19101333.08</v>
      </c>
      <c r="W32" s="35">
        <v>18555917.32</v>
      </c>
      <c r="X32" s="36">
        <v>0.9714461939532862</v>
      </c>
      <c r="Y32" s="35">
        <v>50132</v>
      </c>
      <c r="Z32" s="17" t="s">
        <v>189</v>
      </c>
      <c r="AA32" s="35">
        <v>175369</v>
      </c>
      <c r="AB32" s="35">
        <v>79091</v>
      </c>
      <c r="AC32" s="35">
        <v>583672</v>
      </c>
      <c r="AD32" s="35">
        <v>0</v>
      </c>
      <c r="AE32" s="12" t="s">
        <v>86</v>
      </c>
      <c r="AF32" s="12" t="s">
        <v>190</v>
      </c>
      <c r="AG32" s="18">
        <v>100</v>
      </c>
      <c r="AH32" s="12" t="s">
        <v>145</v>
      </c>
      <c r="AI32" s="12" t="s">
        <v>89</v>
      </c>
      <c r="AJ32" s="12" t="s">
        <v>89</v>
      </c>
      <c r="AK32" s="12" t="s">
        <v>89</v>
      </c>
      <c r="AL32" s="12" t="s">
        <v>90</v>
      </c>
      <c r="AM32" s="12" t="s">
        <v>171</v>
      </c>
      <c r="AN32" s="17" t="s">
        <v>92</v>
      </c>
    </row>
    <row r="33" spans="1:40">
      <c r="A33" s="12" t="s">
        <v>74</v>
      </c>
      <c r="B33" s="12" t="s">
        <v>75</v>
      </c>
      <c r="C33" s="12" t="s">
        <v>76</v>
      </c>
      <c r="D33" s="12" t="s">
        <v>77</v>
      </c>
      <c r="E33" s="12" t="s">
        <v>221</v>
      </c>
      <c r="F33" s="12" t="s">
        <v>222</v>
      </c>
      <c r="G33" s="12" t="s">
        <v>223</v>
      </c>
      <c r="H33" s="34" t="s">
        <v>224</v>
      </c>
      <c r="I33" s="12" t="s">
        <v>82</v>
      </c>
      <c r="J33" s="12" t="s">
        <v>106</v>
      </c>
      <c r="K33" s="18">
        <v>0</v>
      </c>
      <c r="L33" s="18">
        <v>0</v>
      </c>
      <c r="M33" s="12" t="s">
        <v>175</v>
      </c>
      <c r="N33" s="35">
        <v>18401182</v>
      </c>
      <c r="O33" s="35">
        <v>17786617.53</v>
      </c>
      <c r="P33" s="35">
        <v>17200006.53</v>
      </c>
      <c r="Q33" s="35">
        <v>15484259.86</v>
      </c>
      <c r="R33" s="18">
        <f>N33-O33</f>
        <v>614564.4700000025</v>
      </c>
      <c r="S33" s="18">
        <f>O33-P33</f>
        <v>586610.9999999963</v>
      </c>
      <c r="T33" s="18">
        <f>N33-Q33</f>
        <v>2916922.1400000043</v>
      </c>
      <c r="U33" s="36">
        <f>IF(N33&gt;0,Q33/N33,0)</f>
        <v>0.841481805897034</v>
      </c>
      <c r="V33" s="35">
        <v>88860696.78</v>
      </c>
      <c r="W33" s="35">
        <v>86611881.86</v>
      </c>
      <c r="X33" s="36">
        <v>0.9746928056892511</v>
      </c>
      <c r="Y33" s="35">
        <v>18401182</v>
      </c>
      <c r="Z33" s="17" t="s">
        <v>225</v>
      </c>
      <c r="AA33" s="35">
        <v>9922902</v>
      </c>
      <c r="AB33" s="35">
        <v>180000</v>
      </c>
      <c r="AC33" s="35">
        <v>0</v>
      </c>
      <c r="AD33" s="35">
        <v>0</v>
      </c>
      <c r="AE33" s="12" t="s">
        <v>86</v>
      </c>
      <c r="AF33" s="12" t="s">
        <v>87</v>
      </c>
      <c r="AG33" s="18">
        <v>84.09</v>
      </c>
      <c r="AH33" s="12" t="s">
        <v>109</v>
      </c>
      <c r="AI33" s="12" t="s">
        <v>89</v>
      </c>
      <c r="AJ33" s="12" t="s">
        <v>89</v>
      </c>
      <c r="AK33" s="12" t="s">
        <v>89</v>
      </c>
      <c r="AL33" s="12" t="s">
        <v>90</v>
      </c>
      <c r="AM33" s="12" t="s">
        <v>91</v>
      </c>
      <c r="AN33" s="17" t="s">
        <v>92</v>
      </c>
    </row>
    <row r="34" spans="1:40">
      <c r="A34" s="12" t="s">
        <v>74</v>
      </c>
      <c r="B34" s="12" t="s">
        <v>75</v>
      </c>
      <c r="C34" s="12" t="s">
        <v>76</v>
      </c>
      <c r="D34" s="12" t="s">
        <v>77</v>
      </c>
      <c r="E34" s="12" t="s">
        <v>221</v>
      </c>
      <c r="F34" s="12" t="s">
        <v>226</v>
      </c>
      <c r="G34" s="12" t="s">
        <v>227</v>
      </c>
      <c r="H34" s="34" t="s">
        <v>228</v>
      </c>
      <c r="I34" s="12" t="s">
        <v>82</v>
      </c>
      <c r="J34" s="12" t="s">
        <v>106</v>
      </c>
      <c r="K34" s="18">
        <v>0</v>
      </c>
      <c r="L34" s="18">
        <v>0</v>
      </c>
      <c r="M34" s="12" t="s">
        <v>107</v>
      </c>
      <c r="N34" s="35">
        <v>10002053</v>
      </c>
      <c r="O34" s="35">
        <v>9646351.48</v>
      </c>
      <c r="P34" s="35">
        <v>9595158.27</v>
      </c>
      <c r="Q34" s="35">
        <v>5473965.060000001</v>
      </c>
      <c r="R34" s="18">
        <f>N34-O34</f>
        <v>355701.51999999955</v>
      </c>
      <c r="S34" s="18">
        <f>O34-P34</f>
        <v>51193.210000000894</v>
      </c>
      <c r="T34" s="18">
        <f>N34-Q34</f>
        <v>4528087.9399999995</v>
      </c>
      <c r="U34" s="36">
        <f>IF(N34&gt;0,Q34/N34,0)</f>
        <v>0.5472841485642999</v>
      </c>
      <c r="V34" s="35">
        <v>67508240.7</v>
      </c>
      <c r="W34" s="35">
        <v>63134059.75</v>
      </c>
      <c r="X34" s="36">
        <v>0.9352052296927951</v>
      </c>
      <c r="Y34" s="35">
        <v>10002053</v>
      </c>
      <c r="Z34" s="17" t="s">
        <v>122</v>
      </c>
      <c r="AA34" s="35">
        <v>4289351</v>
      </c>
      <c r="AB34" s="35">
        <v>500000</v>
      </c>
      <c r="AC34" s="35">
        <v>109570</v>
      </c>
      <c r="AD34" s="35">
        <v>0</v>
      </c>
      <c r="AE34" s="12" t="s">
        <v>86</v>
      </c>
      <c r="AF34" s="12" t="s">
        <v>87</v>
      </c>
      <c r="AG34" s="18">
        <v>53.2</v>
      </c>
      <c r="AH34" s="12" t="s">
        <v>109</v>
      </c>
      <c r="AI34" s="12" t="s">
        <v>89</v>
      </c>
      <c r="AJ34" s="12" t="s">
        <v>89</v>
      </c>
      <c r="AK34" s="12" t="s">
        <v>89</v>
      </c>
      <c r="AL34" s="12" t="s">
        <v>90</v>
      </c>
      <c r="AM34" s="12" t="s">
        <v>91</v>
      </c>
      <c r="AN34" s="17" t="s">
        <v>92</v>
      </c>
    </row>
    <row r="35" spans="1:40">
      <c r="A35" s="12" t="s">
        <v>74</v>
      </c>
      <c r="B35" s="12" t="s">
        <v>75</v>
      </c>
      <c r="C35" s="12" t="s">
        <v>76</v>
      </c>
      <c r="D35" s="12" t="s">
        <v>77</v>
      </c>
      <c r="E35" s="12" t="s">
        <v>221</v>
      </c>
      <c r="F35" s="12" t="s">
        <v>229</v>
      </c>
      <c r="G35" s="12" t="s">
        <v>230</v>
      </c>
      <c r="H35" s="34" t="s">
        <v>231</v>
      </c>
      <c r="I35" s="12" t="s">
        <v>82</v>
      </c>
      <c r="J35" s="12" t="s">
        <v>106</v>
      </c>
      <c r="K35" s="18">
        <v>0</v>
      </c>
      <c r="L35" s="18">
        <v>0</v>
      </c>
      <c r="M35" s="12" t="s">
        <v>121</v>
      </c>
      <c r="N35" s="35">
        <v>3297813</v>
      </c>
      <c r="O35" s="35">
        <v>3286650.45</v>
      </c>
      <c r="P35" s="35">
        <v>3286650.45</v>
      </c>
      <c r="Q35" s="35">
        <v>3269277.28</v>
      </c>
      <c r="R35" s="18">
        <f>N35-O35</f>
        <v>11162.549999999814</v>
      </c>
      <c r="S35" s="18">
        <f>O35-P35</f>
        <v>0.0</v>
      </c>
      <c r="T35" s="18">
        <f>N35-Q35</f>
        <v>28535.71999999974</v>
      </c>
      <c r="U35" s="36">
        <f>IF(N35&gt;0,Q35/N35,0)</f>
        <v>0.9913470775935447</v>
      </c>
      <c r="V35" s="35">
        <v>38802221.62</v>
      </c>
      <c r="W35" s="35">
        <v>39069354.97</v>
      </c>
      <c r="X35" s="36">
        <v>1.006884485961039</v>
      </c>
      <c r="Y35" s="35">
        <v>3297813</v>
      </c>
      <c r="Z35" s="17" t="s">
        <v>122</v>
      </c>
      <c r="AA35" s="35">
        <v>5406629</v>
      </c>
      <c r="AB35" s="35">
        <v>0</v>
      </c>
      <c r="AC35" s="35">
        <v>304959</v>
      </c>
      <c r="AD35" s="35">
        <v>0</v>
      </c>
      <c r="AE35" s="12" t="s">
        <v>86</v>
      </c>
      <c r="AF35" s="12" t="s">
        <v>87</v>
      </c>
      <c r="AG35" s="18">
        <v>98.31</v>
      </c>
      <c r="AH35" s="12" t="s">
        <v>232</v>
      </c>
      <c r="AI35" s="12" t="s">
        <v>89</v>
      </c>
      <c r="AJ35" s="12" t="s">
        <v>89</v>
      </c>
      <c r="AK35" s="12" t="s">
        <v>89</v>
      </c>
      <c r="AL35" s="12" t="s">
        <v>90</v>
      </c>
      <c r="AM35" s="12" t="s">
        <v>91</v>
      </c>
      <c r="AN35" s="17" t="s">
        <v>92</v>
      </c>
    </row>
    <row r="36" spans="1:40">
      <c r="A36" s="12" t="s">
        <v>74</v>
      </c>
      <c r="B36" s="12" t="s">
        <v>75</v>
      </c>
      <c r="C36" s="12" t="s">
        <v>76</v>
      </c>
      <c r="D36" s="12" t="s">
        <v>77</v>
      </c>
      <c r="E36" s="12" t="s">
        <v>221</v>
      </c>
      <c r="F36" s="12" t="s">
        <v>233</v>
      </c>
      <c r="G36" s="12" t="s">
        <v>234</v>
      </c>
      <c r="H36" s="34" t="s">
        <v>235</v>
      </c>
      <c r="I36" s="12" t="s">
        <v>82</v>
      </c>
      <c r="J36" s="12" t="s">
        <v>83</v>
      </c>
      <c r="K36" s="18">
        <v>0</v>
      </c>
      <c r="L36" s="18">
        <v>0</v>
      </c>
      <c r="M36" s="12" t="s">
        <v>84</v>
      </c>
      <c r="N36" s="35">
        <v>2394023</v>
      </c>
      <c r="O36" s="35">
        <v>2316938.79</v>
      </c>
      <c r="P36" s="35">
        <v>2310743.79</v>
      </c>
      <c r="Q36" s="35">
        <v>1138698.84</v>
      </c>
      <c r="R36" s="18">
        <f>N36-O36</f>
        <v>77084.20999999996</v>
      </c>
      <c r="S36" s="18">
        <f>O36-P36</f>
        <v>6195.0</v>
      </c>
      <c r="T36" s="18">
        <f>N36-Q36</f>
        <v>1255324.1600000001</v>
      </c>
      <c r="U36" s="36">
        <f>IF(N36&gt;0,Q36/N36,0)</f>
        <v>0.47564239775474165</v>
      </c>
      <c r="V36" s="35">
        <v>44054730.36</v>
      </c>
      <c r="W36" s="35">
        <v>31899354.82</v>
      </c>
      <c r="X36" s="36">
        <v>0.7240846683052994</v>
      </c>
      <c r="Y36" s="35">
        <v>2394023</v>
      </c>
      <c r="Z36" s="17" t="s">
        <v>236</v>
      </c>
      <c r="AA36" s="35">
        <v>3545977</v>
      </c>
      <c r="AB36" s="35">
        <v>1000000</v>
      </c>
      <c r="AC36" s="35">
        <v>3651450</v>
      </c>
      <c r="AD36" s="35">
        <v>1489826</v>
      </c>
      <c r="AE36" s="12" t="s">
        <v>86</v>
      </c>
      <c r="AF36" s="12" t="s">
        <v>87</v>
      </c>
      <c r="AG36" s="18">
        <v>61.02</v>
      </c>
      <c r="AH36" s="12" t="s">
        <v>109</v>
      </c>
      <c r="AI36" s="12" t="s">
        <v>89</v>
      </c>
      <c r="AJ36" s="12" t="s">
        <v>89</v>
      </c>
      <c r="AK36" s="12" t="s">
        <v>89</v>
      </c>
      <c r="AL36" s="12" t="s">
        <v>90</v>
      </c>
      <c r="AM36" s="12" t="s">
        <v>91</v>
      </c>
      <c r="AN36" s="17" t="s">
        <v>92</v>
      </c>
    </row>
    <row r="37" spans="1:40">
      <c r="A37" s="12" t="s">
        <v>74</v>
      </c>
      <c r="B37" s="12" t="s">
        <v>75</v>
      </c>
      <c r="C37" s="12" t="s">
        <v>76</v>
      </c>
      <c r="D37" s="12" t="s">
        <v>77</v>
      </c>
      <c r="E37" s="12" t="s">
        <v>221</v>
      </c>
      <c r="F37" s="12" t="s">
        <v>237</v>
      </c>
      <c r="G37" s="12" t="s">
        <v>238</v>
      </c>
      <c r="H37" s="34" t="s">
        <v>239</v>
      </c>
      <c r="I37" s="12" t="s">
        <v>82</v>
      </c>
      <c r="J37" s="12" t="s">
        <v>106</v>
      </c>
      <c r="K37" s="18">
        <v>0</v>
      </c>
      <c r="L37" s="18">
        <v>0</v>
      </c>
      <c r="M37" s="12" t="s">
        <v>121</v>
      </c>
      <c r="N37" s="35">
        <v>1122559</v>
      </c>
      <c r="O37" s="35">
        <v>1117871.05</v>
      </c>
      <c r="P37" s="35">
        <v>1117871.05</v>
      </c>
      <c r="Q37" s="35">
        <v>1042098.56</v>
      </c>
      <c r="R37" s="18">
        <f>N37-O37</f>
        <v>4687.950000000186</v>
      </c>
      <c r="S37" s="18">
        <f>O37-P37</f>
        <v>0.0</v>
      </c>
      <c r="T37" s="18">
        <f>N37-Q37</f>
        <v>80460.44000000006</v>
      </c>
      <c r="U37" s="36">
        <f>IF(N37&gt;0,Q37/N37,0)</f>
        <v>0.9283240880880202</v>
      </c>
      <c r="V37" s="35">
        <v>22929777.31</v>
      </c>
      <c r="W37" s="35">
        <v>20453510.64</v>
      </c>
      <c r="X37" s="36">
        <v>0.8920065102891311</v>
      </c>
      <c r="Y37" s="35">
        <v>1122559</v>
      </c>
      <c r="Z37" s="17" t="s">
        <v>122</v>
      </c>
      <c r="AA37" s="35">
        <v>1404195</v>
      </c>
      <c r="AB37" s="35">
        <v>324567</v>
      </c>
      <c r="AC37" s="35">
        <v>0</v>
      </c>
      <c r="AD37" s="35">
        <v>936265</v>
      </c>
      <c r="AE37" s="12" t="s">
        <v>86</v>
      </c>
      <c r="AF37" s="12" t="s">
        <v>87</v>
      </c>
      <c r="AG37" s="18">
        <v>80.78</v>
      </c>
      <c r="AH37" s="12" t="s">
        <v>109</v>
      </c>
      <c r="AI37" s="12" t="s">
        <v>89</v>
      </c>
      <c r="AJ37" s="12" t="s">
        <v>89</v>
      </c>
      <c r="AK37" s="12" t="s">
        <v>89</v>
      </c>
      <c r="AL37" s="12" t="s">
        <v>90</v>
      </c>
      <c r="AM37" s="12" t="s">
        <v>91</v>
      </c>
      <c r="AN37" s="17" t="s">
        <v>92</v>
      </c>
    </row>
    <row r="38" spans="1:40">
      <c r="A38" s="12" t="s">
        <v>74</v>
      </c>
      <c r="B38" s="12" t="s">
        <v>75</v>
      </c>
      <c r="C38" s="12" t="s">
        <v>76</v>
      </c>
      <c r="D38" s="12" t="s">
        <v>77</v>
      </c>
      <c r="E38" s="12" t="s">
        <v>221</v>
      </c>
      <c r="F38" s="12" t="s">
        <v>240</v>
      </c>
      <c r="G38" s="12" t="s">
        <v>241</v>
      </c>
      <c r="H38" s="34" t="s">
        <v>242</v>
      </c>
      <c r="I38" s="12" t="s">
        <v>82</v>
      </c>
      <c r="J38" s="12" t="s">
        <v>106</v>
      </c>
      <c r="K38" s="18">
        <v>0</v>
      </c>
      <c r="L38" s="18">
        <v>0</v>
      </c>
      <c r="M38" s="12" t="s">
        <v>121</v>
      </c>
      <c r="N38" s="35">
        <v>1202934</v>
      </c>
      <c r="O38" s="35">
        <v>1151623.79</v>
      </c>
      <c r="P38" s="35">
        <v>1151623.79</v>
      </c>
      <c r="Q38" s="35">
        <v>1105100.42</v>
      </c>
      <c r="R38" s="18">
        <f>N38-O38</f>
        <v>51310.20999999996</v>
      </c>
      <c r="S38" s="18">
        <f>O38-P38</f>
        <v>0.0</v>
      </c>
      <c r="T38" s="18">
        <f>N38-Q38</f>
        <v>97833.58000000007</v>
      </c>
      <c r="U38" s="36">
        <f>IF(N38&gt;0,Q38/N38,0)</f>
        <v>0.9186708663983227</v>
      </c>
      <c r="V38" s="35">
        <v>60438967.43</v>
      </c>
      <c r="W38" s="35">
        <v>54960128.32</v>
      </c>
      <c r="X38" s="36">
        <v>0.9093492271133594</v>
      </c>
      <c r="Y38" s="35">
        <v>1202934</v>
      </c>
      <c r="Z38" s="17" t="s">
        <v>98</v>
      </c>
      <c r="AA38" s="35">
        <v>2596051</v>
      </c>
      <c r="AB38" s="35">
        <v>120000</v>
      </c>
      <c r="AC38" s="35">
        <v>2215461</v>
      </c>
      <c r="AD38" s="35">
        <v>3675255</v>
      </c>
      <c r="AE38" s="12" t="s">
        <v>86</v>
      </c>
      <c r="AF38" s="12" t="s">
        <v>87</v>
      </c>
      <c r="AG38" s="18">
        <v>100</v>
      </c>
      <c r="AH38" s="12" t="s">
        <v>109</v>
      </c>
      <c r="AI38" s="12" t="s">
        <v>89</v>
      </c>
      <c r="AJ38" s="12" t="s">
        <v>89</v>
      </c>
      <c r="AK38" s="12" t="s">
        <v>89</v>
      </c>
      <c r="AL38" s="12" t="s">
        <v>90</v>
      </c>
      <c r="AM38" s="12" t="s">
        <v>243</v>
      </c>
      <c r="AN38" s="17" t="s">
        <v>92</v>
      </c>
    </row>
    <row r="39" spans="1:40">
      <c r="A39" s="12" t="s">
        <v>74</v>
      </c>
      <c r="B39" s="12" t="s">
        <v>75</v>
      </c>
      <c r="C39" s="12" t="s">
        <v>76</v>
      </c>
      <c r="D39" s="12" t="s">
        <v>77</v>
      </c>
      <c r="E39" s="12" t="s">
        <v>221</v>
      </c>
      <c r="F39" s="12" t="s">
        <v>244</v>
      </c>
      <c r="G39" s="12" t="s">
        <v>245</v>
      </c>
      <c r="H39" s="34" t="s">
        <v>246</v>
      </c>
      <c r="I39" s="12" t="s">
        <v>82</v>
      </c>
      <c r="J39" s="12" t="s">
        <v>83</v>
      </c>
      <c r="K39" s="18">
        <v>0</v>
      </c>
      <c r="L39" s="18">
        <v>0</v>
      </c>
      <c r="M39" s="12" t="s">
        <v>84</v>
      </c>
      <c r="N39" s="35">
        <v>167638</v>
      </c>
      <c r="O39" s="35">
        <v>167637.03</v>
      </c>
      <c r="P39" s="35">
        <v>167637.03</v>
      </c>
      <c r="Q39" s="35">
        <v>124800.07</v>
      </c>
      <c r="R39" s="18">
        <f>N39-O39</f>
        <v>0.9700000000011642</v>
      </c>
      <c r="S39" s="18">
        <f>O39-P39</f>
        <v>0.0</v>
      </c>
      <c r="T39" s="18">
        <f>N39-Q39</f>
        <v>42837.93000000001</v>
      </c>
      <c r="U39" s="36">
        <f>IF(N39&gt;0,Q39/N39,0)</f>
        <v>0.7444616972285519</v>
      </c>
      <c r="V39" s="35">
        <v>23767380.01</v>
      </c>
      <c r="W39" s="35">
        <v>16815577.96</v>
      </c>
      <c r="X39" s="36">
        <v>0.7075065889856154</v>
      </c>
      <c r="Y39" s="35">
        <v>167638</v>
      </c>
      <c r="Z39" s="17" t="s">
        <v>236</v>
      </c>
      <c r="AA39" s="35">
        <v>1200000</v>
      </c>
      <c r="AB39" s="35">
        <v>2500000</v>
      </c>
      <c r="AC39" s="35">
        <v>2882362</v>
      </c>
      <c r="AD39" s="35">
        <v>1526602</v>
      </c>
      <c r="AE39" s="12" t="s">
        <v>86</v>
      </c>
      <c r="AF39" s="12" t="s">
        <v>87</v>
      </c>
      <c r="AG39" s="18">
        <v>69.97</v>
      </c>
      <c r="AH39" s="12" t="s">
        <v>182</v>
      </c>
      <c r="AI39" s="12" t="s">
        <v>89</v>
      </c>
      <c r="AJ39" s="12" t="s">
        <v>89</v>
      </c>
      <c r="AK39" s="12" t="s">
        <v>89</v>
      </c>
      <c r="AL39" s="12" t="s">
        <v>90</v>
      </c>
      <c r="AM39" s="12" t="s">
        <v>247</v>
      </c>
      <c r="AN39" s="17" t="s">
        <v>92</v>
      </c>
    </row>
    <row r="40" spans="1:40">
      <c r="A40" s="12" t="s">
        <v>74</v>
      </c>
      <c r="B40" s="12" t="s">
        <v>75</v>
      </c>
      <c r="C40" s="12" t="s">
        <v>76</v>
      </c>
      <c r="D40" s="12" t="s">
        <v>77</v>
      </c>
      <c r="E40" s="12" t="s">
        <v>221</v>
      </c>
      <c r="F40" s="12" t="s">
        <v>248</v>
      </c>
      <c r="G40" s="12" t="s">
        <v>249</v>
      </c>
      <c r="H40" s="34" t="s">
        <v>250</v>
      </c>
      <c r="I40" s="12" t="s">
        <v>82</v>
      </c>
      <c r="J40" s="12" t="s">
        <v>83</v>
      </c>
      <c r="K40" s="18">
        <v>0</v>
      </c>
      <c r="L40" s="18">
        <v>0</v>
      </c>
      <c r="M40" s="12" t="s">
        <v>84</v>
      </c>
      <c r="N40" s="35">
        <v>844818</v>
      </c>
      <c r="O40" s="35">
        <v>75387.03</v>
      </c>
      <c r="P40" s="35">
        <v>75387.03</v>
      </c>
      <c r="Q40" s="35">
        <v>75387.03</v>
      </c>
      <c r="R40" s="18">
        <f>N40-O40</f>
        <v>769430.97</v>
      </c>
      <c r="S40" s="18">
        <f>O40-P40</f>
        <v>0.0</v>
      </c>
      <c r="T40" s="18">
        <f>N40-Q40</f>
        <v>769430.97</v>
      </c>
      <c r="U40" s="36">
        <f>IF(N40&gt;0,Q40/N40,0)</f>
        <v>0.08923463988693422</v>
      </c>
      <c r="V40" s="35">
        <v>32249383.61</v>
      </c>
      <c r="W40" s="35">
        <v>24778201.21</v>
      </c>
      <c r="X40" s="36">
        <v>0.7683310015983279</v>
      </c>
      <c r="Y40" s="35">
        <v>844818</v>
      </c>
      <c r="Z40" s="17" t="s">
        <v>85</v>
      </c>
      <c r="AA40" s="35">
        <v>1050000</v>
      </c>
      <c r="AB40" s="35">
        <v>50000</v>
      </c>
      <c r="AC40" s="35">
        <v>1054806</v>
      </c>
      <c r="AD40" s="35">
        <v>0</v>
      </c>
      <c r="AE40" s="12" t="s">
        <v>86</v>
      </c>
      <c r="AF40" s="12" t="s">
        <v>190</v>
      </c>
      <c r="AG40" s="18">
        <v>59.46</v>
      </c>
      <c r="AH40" s="12" t="s">
        <v>251</v>
      </c>
      <c r="AI40" s="12" t="s">
        <v>89</v>
      </c>
      <c r="AJ40" s="12" t="s">
        <v>89</v>
      </c>
      <c r="AK40" s="12" t="s">
        <v>89</v>
      </c>
      <c r="AL40" s="12" t="s">
        <v>177</v>
      </c>
      <c r="AM40" s="12" t="s">
        <v>164</v>
      </c>
      <c r="AN40" s="17" t="s">
        <v>92</v>
      </c>
    </row>
    <row r="41" spans="1:40">
      <c r="A41" s="12" t="s">
        <v>74</v>
      </c>
      <c r="B41" s="12" t="s">
        <v>75</v>
      </c>
      <c r="C41" s="12" t="s">
        <v>76</v>
      </c>
      <c r="D41" s="12" t="s">
        <v>77</v>
      </c>
      <c r="E41" s="12" t="s">
        <v>221</v>
      </c>
      <c r="F41" s="12" t="s">
        <v>252</v>
      </c>
      <c r="G41" s="12" t="s">
        <v>253</v>
      </c>
      <c r="H41" s="34" t="s">
        <v>254</v>
      </c>
      <c r="I41" s="12" t="s">
        <v>82</v>
      </c>
      <c r="J41" s="12" t="s">
        <v>149</v>
      </c>
      <c r="K41" s="18">
        <v>0</v>
      </c>
      <c r="L41" s="18">
        <v>0</v>
      </c>
      <c r="M41" s="12" t="s">
        <v>150</v>
      </c>
      <c r="N41" s="35">
        <v>0</v>
      </c>
      <c r="O41" s="35">
        <v>0</v>
      </c>
      <c r="P41" s="35">
        <v>0</v>
      </c>
      <c r="Q41" s="35">
        <v>0</v>
      </c>
      <c r="R41" s="18">
        <f>N41-O41</f>
        <v>0.0</v>
      </c>
      <c r="S41" s="18">
        <f>O41-P41</f>
        <v>0.0</v>
      </c>
      <c r="T41" s="18">
        <f>N41-Q41</f>
        <v>0.0</v>
      </c>
      <c r="U41" s="36">
        <f>IF(N41&gt;0,Q41/N41,0)</f>
        <v>0</v>
      </c>
      <c r="V41" s="35">
        <v>26078517.8</v>
      </c>
      <c r="W41" s="35">
        <v>25076854.41</v>
      </c>
      <c r="X41" s="36">
        <v>0.9615904785048788</v>
      </c>
      <c r="Y41" s="17" t="s">
        <v>151</v>
      </c>
      <c r="Z41" s="17" t="s">
        <v>98</v>
      </c>
      <c r="AA41" s="35">
        <v>675842</v>
      </c>
      <c r="AB41" s="35">
        <v>110000</v>
      </c>
      <c r="AC41" s="35">
        <v>0</v>
      </c>
      <c r="AD41" s="35">
        <v>0</v>
      </c>
      <c r="AE41" s="12" t="s">
        <v>86</v>
      </c>
      <c r="AF41" s="12" t="s">
        <v>87</v>
      </c>
      <c r="AG41" s="18">
        <v>96.11</v>
      </c>
      <c r="AH41" s="12" t="s">
        <v>182</v>
      </c>
      <c r="AI41" s="12" t="s">
        <v>89</v>
      </c>
      <c r="AJ41" s="12" t="s">
        <v>89</v>
      </c>
      <c r="AK41" s="12" t="s">
        <v>89</v>
      </c>
      <c r="AL41" s="12" t="s">
        <v>90</v>
      </c>
      <c r="AM41" s="12" t="s">
        <v>255</v>
      </c>
      <c r="AN41" s="17" t="s">
        <v>92</v>
      </c>
    </row>
    <row r="42" spans="1:40">
      <c r="A42" s="12" t="s">
        <v>74</v>
      </c>
      <c r="B42" s="12" t="s">
        <v>75</v>
      </c>
      <c r="C42" s="12" t="s">
        <v>76</v>
      </c>
      <c r="D42" s="12" t="s">
        <v>77</v>
      </c>
      <c r="E42" s="12" t="s">
        <v>221</v>
      </c>
      <c r="F42" s="12" t="s">
        <v>256</v>
      </c>
      <c r="G42" s="12" t="s">
        <v>257</v>
      </c>
      <c r="H42" s="34" t="s">
        <v>258</v>
      </c>
      <c r="I42" s="12" t="s">
        <v>82</v>
      </c>
      <c r="J42" s="12" t="s">
        <v>83</v>
      </c>
      <c r="K42" s="18">
        <v>0</v>
      </c>
      <c r="L42" s="18">
        <v>0</v>
      </c>
      <c r="M42" s="12" t="s">
        <v>84</v>
      </c>
      <c r="N42" s="35">
        <v>459851</v>
      </c>
      <c r="O42" s="35">
        <v>344060.18</v>
      </c>
      <c r="P42" s="35">
        <v>344060.18</v>
      </c>
      <c r="Q42" s="35">
        <v>300345.76</v>
      </c>
      <c r="R42" s="18">
        <f>N42-O42</f>
        <v>115790.82</v>
      </c>
      <c r="S42" s="18">
        <f>O42-P42</f>
        <v>0.0</v>
      </c>
      <c r="T42" s="18">
        <f>N42-Q42</f>
        <v>159505.24000000005</v>
      </c>
      <c r="U42" s="36">
        <f>IF(N42&gt;0,Q42/N42,0)</f>
        <v>0.6531371248513105</v>
      </c>
      <c r="V42" s="35">
        <v>160534801.58</v>
      </c>
      <c r="W42" s="35">
        <v>121602734.93</v>
      </c>
      <c r="X42" s="36">
        <v>0.7574851915794794</v>
      </c>
      <c r="Y42" s="35">
        <v>1868752</v>
      </c>
      <c r="Z42" s="17" t="s">
        <v>135</v>
      </c>
      <c r="AA42" s="35">
        <v>4800690</v>
      </c>
      <c r="AB42" s="35">
        <v>4000000</v>
      </c>
      <c r="AC42" s="35">
        <v>14883202</v>
      </c>
      <c r="AD42" s="35">
        <v>19038629</v>
      </c>
      <c r="AE42" s="12" t="s">
        <v>86</v>
      </c>
      <c r="AF42" s="12" t="s">
        <v>87</v>
      </c>
      <c r="AG42" s="18">
        <v>68.23999999999999</v>
      </c>
      <c r="AH42" s="12" t="s">
        <v>259</v>
      </c>
      <c r="AI42" s="12" t="s">
        <v>89</v>
      </c>
      <c r="AJ42" s="12" t="s">
        <v>89</v>
      </c>
      <c r="AK42" s="12" t="s">
        <v>89</v>
      </c>
      <c r="AL42" s="12" t="s">
        <v>177</v>
      </c>
      <c r="AM42" s="12" t="s">
        <v>91</v>
      </c>
      <c r="AN42" s="17" t="s">
        <v>92</v>
      </c>
    </row>
    <row r="43" spans="1:40">
      <c r="A43" s="12" t="s">
        <v>74</v>
      </c>
      <c r="B43" s="12" t="s">
        <v>75</v>
      </c>
      <c r="C43" s="12" t="s">
        <v>76</v>
      </c>
      <c r="D43" s="12" t="s">
        <v>77</v>
      </c>
      <c r="E43" s="12" t="s">
        <v>221</v>
      </c>
      <c r="F43" s="12" t="s">
        <v>260</v>
      </c>
      <c r="G43" s="12" t="s">
        <v>261</v>
      </c>
      <c r="H43" s="34" t="s">
        <v>262</v>
      </c>
      <c r="I43" s="12" t="s">
        <v>82</v>
      </c>
      <c r="J43" s="12" t="s">
        <v>106</v>
      </c>
      <c r="K43" s="18">
        <v>0</v>
      </c>
      <c r="L43" s="18">
        <v>0</v>
      </c>
      <c r="M43" s="12" t="s">
        <v>263</v>
      </c>
      <c r="N43" s="35">
        <v>91759</v>
      </c>
      <c r="O43" s="35">
        <v>91758.5</v>
      </c>
      <c r="P43" s="35">
        <v>82308.5</v>
      </c>
      <c r="Q43" s="35">
        <v>82094.58</v>
      </c>
      <c r="R43" s="18">
        <f>N43-O43</f>
        <v>0.5</v>
      </c>
      <c r="S43" s="18">
        <f>O43-P43</f>
        <v>9450.0</v>
      </c>
      <c r="T43" s="18">
        <f>N43-Q43</f>
        <v>9664.419999999998</v>
      </c>
      <c r="U43" s="36">
        <f>IF(N43&gt;0,Q43/N43,0)</f>
        <v>0.8946760535751261</v>
      </c>
      <c r="V43" s="35">
        <v>53161972.03</v>
      </c>
      <c r="W43" s="35">
        <v>53024522.87</v>
      </c>
      <c r="X43" s="36">
        <v>0.9974145210429282</v>
      </c>
      <c r="Y43" s="35">
        <v>91759</v>
      </c>
      <c r="Z43" s="17" t="s">
        <v>135</v>
      </c>
      <c r="AA43" s="35">
        <v>774665</v>
      </c>
      <c r="AB43" s="35">
        <v>0</v>
      </c>
      <c r="AC43" s="35">
        <v>707599</v>
      </c>
      <c r="AD43" s="35">
        <v>0</v>
      </c>
      <c r="AE43" s="12" t="s">
        <v>86</v>
      </c>
      <c r="AF43" s="12" t="s">
        <v>190</v>
      </c>
      <c r="AG43" s="18">
        <v>100</v>
      </c>
      <c r="AH43" s="12" t="s">
        <v>194</v>
      </c>
      <c r="AI43" s="12" t="s">
        <v>89</v>
      </c>
      <c r="AJ43" s="12" t="s">
        <v>89</v>
      </c>
      <c r="AK43" s="12" t="s">
        <v>89</v>
      </c>
      <c r="AL43" s="12" t="s">
        <v>90</v>
      </c>
      <c r="AM43" s="12" t="s">
        <v>91</v>
      </c>
      <c r="AN43" s="17" t="s">
        <v>92</v>
      </c>
    </row>
    <row r="44" spans="1:40">
      <c r="A44" s="12" t="s">
        <v>74</v>
      </c>
      <c r="B44" s="12" t="s">
        <v>75</v>
      </c>
      <c r="C44" s="12" t="s">
        <v>76</v>
      </c>
      <c r="D44" s="12" t="s">
        <v>77</v>
      </c>
      <c r="E44" s="12" t="s">
        <v>221</v>
      </c>
      <c r="F44" s="12" t="s">
        <v>264</v>
      </c>
      <c r="G44" s="12" t="s">
        <v>265</v>
      </c>
      <c r="H44" s="34" t="s">
        <v>266</v>
      </c>
      <c r="I44" s="12" t="s">
        <v>82</v>
      </c>
      <c r="J44" s="12" t="s">
        <v>106</v>
      </c>
      <c r="K44" s="18">
        <v>0</v>
      </c>
      <c r="L44" s="18">
        <v>0</v>
      </c>
      <c r="M44" s="12" t="s">
        <v>267</v>
      </c>
      <c r="N44" s="35">
        <v>104124</v>
      </c>
      <c r="O44" s="35">
        <v>48234.88</v>
      </c>
      <c r="P44" s="35">
        <v>48234.88</v>
      </c>
      <c r="Q44" s="35">
        <v>48234.88</v>
      </c>
      <c r="R44" s="18">
        <f>N44-O44</f>
        <v>55889.12</v>
      </c>
      <c r="S44" s="18">
        <f>O44-P44</f>
        <v>0.0</v>
      </c>
      <c r="T44" s="18">
        <f>N44-Q44</f>
        <v>55889.12</v>
      </c>
      <c r="U44" s="36">
        <f>IF(N44&gt;0,Q44/N44,0)</f>
        <v>0.46324459298528675</v>
      </c>
      <c r="V44" s="35">
        <v>15910424.81</v>
      </c>
      <c r="W44" s="35">
        <v>15186004.17</v>
      </c>
      <c r="X44" s="36">
        <v>0.9544688059149314</v>
      </c>
      <c r="Y44" s="35">
        <v>104124</v>
      </c>
      <c r="Z44" s="17" t="s">
        <v>122</v>
      </c>
      <c r="AA44" s="35">
        <v>228677</v>
      </c>
      <c r="AB44" s="35">
        <v>0</v>
      </c>
      <c r="AC44" s="35">
        <v>0</v>
      </c>
      <c r="AD44" s="35">
        <v>865181</v>
      </c>
      <c r="AE44" s="12" t="s">
        <v>86</v>
      </c>
      <c r="AF44" s="12" t="s">
        <v>190</v>
      </c>
      <c r="AG44" s="18">
        <v>100</v>
      </c>
      <c r="AH44" s="12" t="s">
        <v>109</v>
      </c>
      <c r="AI44" s="12" t="s">
        <v>89</v>
      </c>
      <c r="AJ44" s="12" t="s">
        <v>89</v>
      </c>
      <c r="AK44" s="12" t="s">
        <v>89</v>
      </c>
      <c r="AL44" s="12" t="s">
        <v>90</v>
      </c>
      <c r="AM44" s="12" t="s">
        <v>268</v>
      </c>
      <c r="AN44" s="17" t="s">
        <v>92</v>
      </c>
    </row>
    <row r="45" spans="1:40">
      <c r="A45" s="12" t="s">
        <v>74</v>
      </c>
      <c r="B45" s="12" t="s">
        <v>75</v>
      </c>
      <c r="C45" s="12" t="s">
        <v>76</v>
      </c>
      <c r="D45" s="12" t="s">
        <v>77</v>
      </c>
      <c r="E45" s="12" t="s">
        <v>221</v>
      </c>
      <c r="F45" s="12" t="s">
        <v>269</v>
      </c>
      <c r="G45" s="12" t="s">
        <v>270</v>
      </c>
      <c r="H45" s="34" t="s">
        <v>271</v>
      </c>
      <c r="I45" s="12" t="s">
        <v>82</v>
      </c>
      <c r="J45" s="12" t="s">
        <v>272</v>
      </c>
      <c r="K45" s="18">
        <v>276235.8000000007</v>
      </c>
      <c r="L45" s="18">
        <v>3131588.879999999</v>
      </c>
      <c r="M45" s="12" t="s">
        <v>273</v>
      </c>
      <c r="N45" s="35">
        <v>22224878</v>
      </c>
      <c r="O45" s="35">
        <v>21948642.2</v>
      </c>
      <c r="P45" s="35">
        <v>18817053.32</v>
      </c>
      <c r="Q45" s="35">
        <v>7073509.560000001</v>
      </c>
      <c r="R45" s="18">
        <f>N45-O45</f>
        <v>276235.80000000075</v>
      </c>
      <c r="S45" s="18">
        <f>O45-P45</f>
        <v>3131588.879999999</v>
      </c>
      <c r="T45" s="18">
        <f>N45-Q45</f>
        <v>15151368.44</v>
      </c>
      <c r="U45" s="36">
        <f>IF(N45&gt;0,Q45/N45,0)</f>
        <v>0.31826989376499615</v>
      </c>
      <c r="V45" s="35">
        <v>70516439.03</v>
      </c>
      <c r="W45" s="35">
        <v>7774654.84</v>
      </c>
      <c r="X45" s="36">
        <v>0.1102530834929485</v>
      </c>
      <c r="Y45" s="35">
        <v>16224878</v>
      </c>
      <c r="Z45" s="17" t="s">
        <v>98</v>
      </c>
      <c r="AA45" s="12" t="s">
        <v>99</v>
      </c>
      <c r="AB45" s="12" t="s">
        <v>99</v>
      </c>
      <c r="AC45" s="12" t="s">
        <v>99</v>
      </c>
      <c r="AD45" s="12" t="s">
        <v>99</v>
      </c>
      <c r="AE45" s="12" t="s">
        <v>86</v>
      </c>
      <c r="AF45" s="12" t="s">
        <v>87</v>
      </c>
      <c r="AG45" s="18">
        <v>9.56</v>
      </c>
      <c r="AH45" s="12" t="s">
        <v>274</v>
      </c>
      <c r="AI45" s="12" t="s">
        <v>89</v>
      </c>
      <c r="AJ45" s="12" t="s">
        <v>89</v>
      </c>
      <c r="AK45" s="12" t="s">
        <v>89</v>
      </c>
      <c r="AL45" s="12" t="s">
        <v>101</v>
      </c>
      <c r="AM45" s="12" t="s">
        <v>275</v>
      </c>
      <c r="AN45" s="17" t="s">
        <v>92</v>
      </c>
    </row>
    <row r="46" spans="1:40">
      <c r="A46" s="12" t="s">
        <v>74</v>
      </c>
      <c r="B46" s="12" t="s">
        <v>75</v>
      </c>
      <c r="C46" s="12" t="s">
        <v>76</v>
      </c>
      <c r="D46" s="12" t="s">
        <v>77</v>
      </c>
      <c r="E46" s="12" t="s">
        <v>221</v>
      </c>
      <c r="F46" s="12" t="s">
        <v>276</v>
      </c>
      <c r="G46" s="12" t="s">
        <v>277</v>
      </c>
      <c r="H46" s="34" t="s">
        <v>278</v>
      </c>
      <c r="I46" s="12" t="s">
        <v>82</v>
      </c>
      <c r="J46" s="12" t="s">
        <v>83</v>
      </c>
      <c r="K46" s="18">
        <v>0</v>
      </c>
      <c r="L46" s="18">
        <v>0</v>
      </c>
      <c r="M46" s="12" t="s">
        <v>84</v>
      </c>
      <c r="N46" s="35">
        <v>11412366</v>
      </c>
      <c r="O46" s="35">
        <v>10997105.23</v>
      </c>
      <c r="P46" s="35">
        <v>8448139.23</v>
      </c>
      <c r="Q46" s="35">
        <v>6860678.420000001</v>
      </c>
      <c r="R46" s="18">
        <f>N46-O46</f>
        <v>415260.7700000014</v>
      </c>
      <c r="S46" s="18">
        <f>O46-P46</f>
        <v>2548965.999999998</v>
      </c>
      <c r="T46" s="18">
        <f>N46-Q46</f>
        <v>4551687.579999999</v>
      </c>
      <c r="U46" s="36">
        <f>IF(N46&gt;0,Q46/N46,0)</f>
        <v>0.6011617941450529</v>
      </c>
      <c r="V46" s="35">
        <v>38152030.57</v>
      </c>
      <c r="W46" s="35">
        <v>8541452.25</v>
      </c>
      <c r="X46" s="36">
        <v>0.2238793616588361</v>
      </c>
      <c r="Y46" s="35">
        <v>11412366</v>
      </c>
      <c r="Z46" s="17" t="s">
        <v>279</v>
      </c>
      <c r="AA46" s="35">
        <v>2800000</v>
      </c>
      <c r="AB46" s="35">
        <v>10234564</v>
      </c>
      <c r="AC46" s="35">
        <v>6182303</v>
      </c>
      <c r="AD46" s="35">
        <v>9563936</v>
      </c>
      <c r="AE46" s="12" t="s">
        <v>86</v>
      </c>
      <c r="AF46" s="12" t="s">
        <v>87</v>
      </c>
      <c r="AG46" s="18">
        <v>3.85</v>
      </c>
      <c r="AH46" s="12" t="s">
        <v>280</v>
      </c>
      <c r="AI46" s="12" t="s">
        <v>89</v>
      </c>
      <c r="AJ46" s="12" t="s">
        <v>89</v>
      </c>
      <c r="AK46" s="12" t="s">
        <v>89</v>
      </c>
      <c r="AL46" s="12" t="s">
        <v>127</v>
      </c>
      <c r="AM46" s="12" t="s">
        <v>91</v>
      </c>
      <c r="AN46" s="17" t="s">
        <v>92</v>
      </c>
    </row>
    <row r="47" spans="1:40">
      <c r="A47" s="12" t="s">
        <v>74</v>
      </c>
      <c r="B47" s="12" t="s">
        <v>75</v>
      </c>
      <c r="C47" s="12" t="s">
        <v>76</v>
      </c>
      <c r="D47" s="12" t="s">
        <v>77</v>
      </c>
      <c r="E47" s="12" t="s">
        <v>221</v>
      </c>
      <c r="F47" s="12" t="s">
        <v>281</v>
      </c>
      <c r="G47" s="12" t="s">
        <v>282</v>
      </c>
      <c r="H47" s="34" t="s">
        <v>283</v>
      </c>
      <c r="I47" s="12" t="s">
        <v>82</v>
      </c>
      <c r="J47" s="12" t="s">
        <v>83</v>
      </c>
      <c r="K47" s="18">
        <v>0</v>
      </c>
      <c r="L47" s="18">
        <v>0</v>
      </c>
      <c r="M47" s="12" t="s">
        <v>84</v>
      </c>
      <c r="N47" s="35">
        <v>6736048</v>
      </c>
      <c r="O47" s="35">
        <v>6652871.21</v>
      </c>
      <c r="P47" s="35">
        <v>5551874.71</v>
      </c>
      <c r="Q47" s="35">
        <v>3336854.35</v>
      </c>
      <c r="R47" s="18">
        <f>N47-O47</f>
        <v>83176.79000000004</v>
      </c>
      <c r="S47" s="18">
        <f>O47-P47</f>
        <v>1100996.5</v>
      </c>
      <c r="T47" s="18">
        <f>N47-Q47</f>
        <v>3399193.65</v>
      </c>
      <c r="U47" s="36">
        <f>IF(N47&gt;0,Q47/N47,0)</f>
        <v>0.4953727096362734</v>
      </c>
      <c r="V47" s="35">
        <v>83926737.45999999</v>
      </c>
      <c r="W47" s="35">
        <v>4427229.55</v>
      </c>
      <c r="X47" s="36">
        <v>0.05275112179965348</v>
      </c>
      <c r="Y47" s="35">
        <v>7053232</v>
      </c>
      <c r="Z47" s="17" t="s">
        <v>284</v>
      </c>
      <c r="AA47" s="35">
        <v>800000</v>
      </c>
      <c r="AB47" s="35">
        <v>12057170</v>
      </c>
      <c r="AC47" s="35">
        <v>6000000</v>
      </c>
      <c r="AD47" s="35">
        <v>7375100</v>
      </c>
      <c r="AE47" s="12" t="s">
        <v>86</v>
      </c>
      <c r="AF47" s="12" t="s">
        <v>87</v>
      </c>
      <c r="AG47" s="18">
        <v>5.61</v>
      </c>
      <c r="AH47" s="12" t="s">
        <v>285</v>
      </c>
      <c r="AI47" s="12" t="s">
        <v>89</v>
      </c>
      <c r="AJ47" s="12" t="s">
        <v>89</v>
      </c>
      <c r="AK47" s="12" t="s">
        <v>89</v>
      </c>
      <c r="AL47" s="12" t="s">
        <v>127</v>
      </c>
      <c r="AM47" s="12" t="s">
        <v>91</v>
      </c>
      <c r="AN47" s="17" t="s">
        <v>92</v>
      </c>
    </row>
    <row r="48" spans="1:40">
      <c r="A48" s="12" t="s">
        <v>74</v>
      </c>
      <c r="B48" s="12" t="s">
        <v>75</v>
      </c>
      <c r="C48" s="12" t="s">
        <v>76</v>
      </c>
      <c r="D48" s="12" t="s">
        <v>77</v>
      </c>
      <c r="E48" s="12" t="s">
        <v>221</v>
      </c>
      <c r="F48" s="12" t="s">
        <v>286</v>
      </c>
      <c r="G48" s="12" t="s">
        <v>287</v>
      </c>
      <c r="H48" s="34" t="s">
        <v>288</v>
      </c>
      <c r="I48" s="12" t="s">
        <v>82</v>
      </c>
      <c r="J48" s="12" t="s">
        <v>83</v>
      </c>
      <c r="K48" s="18">
        <v>0</v>
      </c>
      <c r="L48" s="18">
        <v>0</v>
      </c>
      <c r="M48" s="12" t="s">
        <v>84</v>
      </c>
      <c r="N48" s="35">
        <v>9037622</v>
      </c>
      <c r="O48" s="35">
        <v>8223972.09</v>
      </c>
      <c r="P48" s="35">
        <v>7212897.09</v>
      </c>
      <c r="Q48" s="35">
        <v>5290297.699999999</v>
      </c>
      <c r="R48" s="18">
        <f>N48-O48</f>
        <v>813649.9100000001</v>
      </c>
      <c r="S48" s="18">
        <f>O48-P48</f>
        <v>1011075.0</v>
      </c>
      <c r="T48" s="18">
        <f>N48-Q48</f>
        <v>3747324.3000000007</v>
      </c>
      <c r="U48" s="36">
        <f>IF(N48&gt;0,Q48/N48,0)</f>
        <v>0.585363904354486</v>
      </c>
      <c r="V48" s="35">
        <v>24442716.72</v>
      </c>
      <c r="W48" s="35">
        <v>5685756.55</v>
      </c>
      <c r="X48" s="36">
        <v>0.2326155727750054</v>
      </c>
      <c r="Y48" s="35">
        <v>9037622</v>
      </c>
      <c r="Z48" s="17" t="s">
        <v>279</v>
      </c>
      <c r="AA48" s="35">
        <v>2500000</v>
      </c>
      <c r="AB48" s="35">
        <v>6578987</v>
      </c>
      <c r="AC48" s="35">
        <v>6552040</v>
      </c>
      <c r="AD48" s="35">
        <v>2921013</v>
      </c>
      <c r="AE48" s="12" t="s">
        <v>86</v>
      </c>
      <c r="AF48" s="12" t="s">
        <v>87</v>
      </c>
      <c r="AG48" s="18">
        <v>15.96</v>
      </c>
      <c r="AH48" s="12" t="s">
        <v>289</v>
      </c>
      <c r="AI48" s="12" t="s">
        <v>89</v>
      </c>
      <c r="AJ48" s="12" t="s">
        <v>89</v>
      </c>
      <c r="AK48" s="12" t="s">
        <v>89</v>
      </c>
      <c r="AL48" s="12" t="s">
        <v>127</v>
      </c>
      <c r="AM48" s="12" t="s">
        <v>91</v>
      </c>
      <c r="AN48" s="17" t="s">
        <v>92</v>
      </c>
    </row>
    <row r="49" spans="1:40">
      <c r="A49" s="12" t="s">
        <v>74</v>
      </c>
      <c r="B49" s="12" t="s">
        <v>75</v>
      </c>
      <c r="C49" s="12" t="s">
        <v>76</v>
      </c>
      <c r="D49" s="12" t="s">
        <v>77</v>
      </c>
      <c r="E49" s="12" t="s">
        <v>221</v>
      </c>
      <c r="F49" s="12" t="s">
        <v>290</v>
      </c>
      <c r="G49" s="12" t="s">
        <v>291</v>
      </c>
      <c r="H49" s="34" t="s">
        <v>292</v>
      </c>
      <c r="I49" s="12" t="s">
        <v>82</v>
      </c>
      <c r="J49" s="12" t="s">
        <v>106</v>
      </c>
      <c r="K49" s="18">
        <v>0</v>
      </c>
      <c r="L49" s="18">
        <v>0</v>
      </c>
      <c r="M49" s="12" t="s">
        <v>126</v>
      </c>
      <c r="N49" s="35">
        <v>67139</v>
      </c>
      <c r="O49" s="35">
        <v>0</v>
      </c>
      <c r="P49" s="35">
        <v>0</v>
      </c>
      <c r="Q49" s="35">
        <v>0</v>
      </c>
      <c r="R49" s="18">
        <f>N49-O49</f>
        <v>67139.0</v>
      </c>
      <c r="S49" s="18">
        <f>O49-P49</f>
        <v>0.0</v>
      </c>
      <c r="T49" s="18">
        <f>N49-Q49</f>
        <v>67139.0</v>
      </c>
      <c r="U49" s="36">
        <f>IF(N49&gt;0,Q49/N49,0)</f>
        <v>0.0</v>
      </c>
      <c r="V49" s="35">
        <v>109343416.15</v>
      </c>
      <c r="W49" s="35">
        <v>107073475.57</v>
      </c>
      <c r="X49" s="36">
        <v>0.9792402628349745</v>
      </c>
      <c r="Y49" s="35">
        <v>67139</v>
      </c>
      <c r="Z49" s="17" t="s">
        <v>122</v>
      </c>
      <c r="AA49" s="35">
        <v>1732548</v>
      </c>
      <c r="AB49" s="35">
        <v>0</v>
      </c>
      <c r="AC49" s="35">
        <v>2325267</v>
      </c>
      <c r="AD49" s="35">
        <v>0</v>
      </c>
      <c r="AE49" s="12" t="s">
        <v>86</v>
      </c>
      <c r="AF49" s="12" t="s">
        <v>87</v>
      </c>
      <c r="AG49" s="18">
        <v>100</v>
      </c>
      <c r="AH49" s="12" t="s">
        <v>145</v>
      </c>
      <c r="AI49" s="12" t="s">
        <v>89</v>
      </c>
      <c r="AJ49" s="12" t="s">
        <v>89</v>
      </c>
      <c r="AK49" s="12" t="s">
        <v>89</v>
      </c>
      <c r="AL49" s="12" t="s">
        <v>177</v>
      </c>
      <c r="AM49" s="12" t="s">
        <v>91</v>
      </c>
      <c r="AN49" s="17" t="s">
        <v>92</v>
      </c>
    </row>
    <row r="50" spans="1:40">
      <c r="A50" s="12" t="s">
        <v>74</v>
      </c>
      <c r="B50" s="12" t="s">
        <v>75</v>
      </c>
      <c r="C50" s="12" t="s">
        <v>76</v>
      </c>
      <c r="D50" s="12" t="s">
        <v>77</v>
      </c>
      <c r="E50" s="12" t="s">
        <v>221</v>
      </c>
      <c r="F50" s="12" t="s">
        <v>293</v>
      </c>
      <c r="G50" s="12" t="s">
        <v>294</v>
      </c>
      <c r="H50" s="34" t="s">
        <v>295</v>
      </c>
      <c r="I50" s="12" t="s">
        <v>82</v>
      </c>
      <c r="J50" s="12" t="s">
        <v>106</v>
      </c>
      <c r="K50" s="18">
        <v>0</v>
      </c>
      <c r="L50" s="18">
        <v>0</v>
      </c>
      <c r="M50" s="12" t="s">
        <v>107</v>
      </c>
      <c r="N50" s="35">
        <v>105000</v>
      </c>
      <c r="O50" s="35">
        <v>44312.3</v>
      </c>
      <c r="P50" s="35">
        <v>44312.3</v>
      </c>
      <c r="Q50" s="35">
        <v>39935.87</v>
      </c>
      <c r="R50" s="18">
        <f>N50-O50</f>
        <v>60687.7</v>
      </c>
      <c r="S50" s="18">
        <f>O50-P50</f>
        <v>0.0</v>
      </c>
      <c r="T50" s="18">
        <f>N50-Q50</f>
        <v>65064.13</v>
      </c>
      <c r="U50" s="36">
        <f>IF(N50&gt;0,Q50/N50,0)</f>
        <v>0.3803416190476191</v>
      </c>
      <c r="V50" s="35">
        <v>3031531.47</v>
      </c>
      <c r="W50" s="35">
        <v>2835767.18</v>
      </c>
      <c r="X50" s="36">
        <v>0.9354239624634344</v>
      </c>
      <c r="Y50" s="35">
        <v>235700.16</v>
      </c>
      <c r="Z50" s="17" t="s">
        <v>122</v>
      </c>
      <c r="AA50" s="35">
        <v>105000</v>
      </c>
      <c r="AB50" s="35">
        <v>0</v>
      </c>
      <c r="AC50" s="35">
        <v>0</v>
      </c>
      <c r="AD50" s="35">
        <v>0</v>
      </c>
      <c r="AE50" s="12" t="s">
        <v>86</v>
      </c>
      <c r="AF50" s="12" t="s">
        <v>87</v>
      </c>
      <c r="AG50" s="18">
        <v>100</v>
      </c>
      <c r="AH50" s="12" t="s">
        <v>109</v>
      </c>
      <c r="AI50" s="12" t="s">
        <v>89</v>
      </c>
      <c r="AJ50" s="12" t="s">
        <v>89</v>
      </c>
      <c r="AK50" s="12" t="s">
        <v>89</v>
      </c>
      <c r="AL50" s="12" t="s">
        <v>127</v>
      </c>
      <c r="AM50" s="12" t="s">
        <v>296</v>
      </c>
      <c r="AN50" s="17" t="s">
        <v>92</v>
      </c>
    </row>
    <row r="51" spans="1:40">
      <c r="A51" s="12" t="s">
        <v>74</v>
      </c>
      <c r="B51" s="12" t="s">
        <v>75</v>
      </c>
      <c r="C51" s="12" t="s">
        <v>76</v>
      </c>
      <c r="D51" s="12" t="s">
        <v>77</v>
      </c>
      <c r="E51" s="12" t="s">
        <v>221</v>
      </c>
      <c r="F51" s="12" t="s">
        <v>281</v>
      </c>
      <c r="G51" s="12" t="s">
        <v>297</v>
      </c>
      <c r="H51" s="34" t="s">
        <v>283</v>
      </c>
      <c r="I51" s="12" t="s">
        <v>82</v>
      </c>
      <c r="J51" s="12" t="s">
        <v>83</v>
      </c>
      <c r="K51" s="18">
        <v>0</v>
      </c>
      <c r="L51" s="18">
        <v>0</v>
      </c>
      <c r="M51" s="12" t="s">
        <v>84</v>
      </c>
      <c r="N51" s="35">
        <v>94054</v>
      </c>
      <c r="O51" s="35">
        <v>94054</v>
      </c>
      <c r="P51" s="35">
        <v>94054</v>
      </c>
      <c r="Q51" s="35">
        <v>60075.86</v>
      </c>
      <c r="R51" s="18">
        <f>N51-O51</f>
        <v>0.0</v>
      </c>
      <c r="S51" s="18">
        <f>O51-P51</f>
        <v>0.0</v>
      </c>
      <c r="T51" s="18">
        <f>N51-Q51</f>
        <v>33978.14</v>
      </c>
      <c r="U51" s="36">
        <f>IF(N51&gt;0,Q51/N51,0)</f>
        <v>0.638737959044804</v>
      </c>
      <c r="V51" s="35">
        <v>83926737.45999999</v>
      </c>
      <c r="W51" s="35">
        <v>4427229.55</v>
      </c>
      <c r="X51" s="36">
        <v>0.05275112179965348</v>
      </c>
      <c r="Y51" s="35">
        <v>7053232</v>
      </c>
      <c r="Z51" s="17" t="s">
        <v>284</v>
      </c>
      <c r="AA51" s="35">
        <v>800000</v>
      </c>
      <c r="AB51" s="35">
        <v>12057170</v>
      </c>
      <c r="AC51" s="35">
        <v>6000000</v>
      </c>
      <c r="AD51" s="35">
        <v>7375100</v>
      </c>
      <c r="AE51" s="12" t="s">
        <v>86</v>
      </c>
      <c r="AF51" s="12" t="s">
        <v>87</v>
      </c>
      <c r="AG51" s="18">
        <v>5.61</v>
      </c>
      <c r="AH51" s="12" t="s">
        <v>169</v>
      </c>
      <c r="AI51" s="12" t="s">
        <v>89</v>
      </c>
      <c r="AJ51" s="12" t="s">
        <v>89</v>
      </c>
      <c r="AK51" s="12" t="s">
        <v>89</v>
      </c>
      <c r="AL51" s="12" t="s">
        <v>170</v>
      </c>
      <c r="AM51" s="12" t="s">
        <v>91</v>
      </c>
      <c r="AN51" s="17" t="s">
        <v>92</v>
      </c>
    </row>
    <row r="52" spans="1:40">
      <c r="A52" s="12" t="s">
        <v>74</v>
      </c>
      <c r="B52" s="12" t="s">
        <v>75</v>
      </c>
      <c r="C52" s="12" t="s">
        <v>76</v>
      </c>
      <c r="D52" s="12" t="s">
        <v>77</v>
      </c>
      <c r="E52" s="12" t="s">
        <v>221</v>
      </c>
      <c r="F52" s="12" t="s">
        <v>298</v>
      </c>
      <c r="G52" s="12" t="s">
        <v>299</v>
      </c>
      <c r="H52" s="34" t="s">
        <v>300</v>
      </c>
      <c r="I52" s="12" t="s">
        <v>82</v>
      </c>
      <c r="J52" s="12" t="s">
        <v>106</v>
      </c>
      <c r="K52" s="18">
        <v>0</v>
      </c>
      <c r="L52" s="18">
        <v>0</v>
      </c>
      <c r="M52" s="12" t="s">
        <v>121</v>
      </c>
      <c r="N52" s="35">
        <v>28752</v>
      </c>
      <c r="O52" s="35">
        <v>28751.6</v>
      </c>
      <c r="P52" s="35">
        <v>28751.6</v>
      </c>
      <c r="Q52" s="35">
        <v>28751.6</v>
      </c>
      <c r="R52" s="18">
        <f>N52-O52</f>
        <v>0.4000000000014552</v>
      </c>
      <c r="S52" s="18">
        <f>O52-P52</f>
        <v>0.0</v>
      </c>
      <c r="T52" s="18">
        <f>N52-Q52</f>
        <v>0.4000000000014552</v>
      </c>
      <c r="U52" s="36">
        <f>IF(N52&gt;0,Q52/N52,0)</f>
        <v>0.9999860879243183</v>
      </c>
      <c r="V52" s="35">
        <v>13163026.08</v>
      </c>
      <c r="W52" s="35">
        <v>11552721.45</v>
      </c>
      <c r="X52" s="36">
        <v>0.8776645567506161</v>
      </c>
      <c r="Y52" s="35">
        <v>1589056.23</v>
      </c>
      <c r="Z52" s="17" t="s">
        <v>122</v>
      </c>
      <c r="AA52" s="35">
        <v>28752</v>
      </c>
      <c r="AB52" s="35">
        <v>50000</v>
      </c>
      <c r="AC52" s="35">
        <v>0</v>
      </c>
      <c r="AD52" s="35">
        <v>0</v>
      </c>
      <c r="AE52" s="12" t="s">
        <v>86</v>
      </c>
      <c r="AF52" s="12" t="s">
        <v>87</v>
      </c>
      <c r="AG52" s="18">
        <v>100</v>
      </c>
      <c r="AH52" s="12" t="s">
        <v>182</v>
      </c>
      <c r="AI52" s="12" t="s">
        <v>89</v>
      </c>
      <c r="AJ52" s="12" t="s">
        <v>89</v>
      </c>
      <c r="AK52" s="12" t="s">
        <v>89</v>
      </c>
      <c r="AL52" s="12" t="s">
        <v>127</v>
      </c>
      <c r="AM52" s="12" t="s">
        <v>301</v>
      </c>
      <c r="AN52" s="17" t="s">
        <v>92</v>
      </c>
    </row>
    <row r="53" spans="1:40">
      <c r="A53" s="12" t="s">
        <v>74</v>
      </c>
      <c r="B53" s="12" t="s">
        <v>75</v>
      </c>
      <c r="C53" s="12" t="s">
        <v>76</v>
      </c>
      <c r="D53" s="12" t="s">
        <v>77</v>
      </c>
      <c r="E53" s="12" t="s">
        <v>221</v>
      </c>
      <c r="F53" s="12" t="s">
        <v>302</v>
      </c>
      <c r="G53" s="12" t="s">
        <v>303</v>
      </c>
      <c r="H53" s="34" t="s">
        <v>304</v>
      </c>
      <c r="I53" s="12" t="s">
        <v>82</v>
      </c>
      <c r="J53" s="12" t="s">
        <v>149</v>
      </c>
      <c r="K53" s="18">
        <v>0</v>
      </c>
      <c r="L53" s="18">
        <v>0</v>
      </c>
      <c r="M53" s="12" t="s">
        <v>150</v>
      </c>
      <c r="N53" s="35">
        <v>0</v>
      </c>
      <c r="O53" s="35">
        <v>0</v>
      </c>
      <c r="P53" s="35">
        <v>0</v>
      </c>
      <c r="Q53" s="35">
        <v>0</v>
      </c>
      <c r="R53" s="18">
        <f>N53-O53</f>
        <v>0.0</v>
      </c>
      <c r="S53" s="18">
        <f>O53-P53</f>
        <v>0.0</v>
      </c>
      <c r="T53" s="18">
        <f>N53-Q53</f>
        <v>0.0</v>
      </c>
      <c r="U53" s="36">
        <f>IF(N53&gt;0,Q53/N53,0)</f>
        <v>0</v>
      </c>
      <c r="V53" s="35">
        <v>146689143.66</v>
      </c>
      <c r="W53" s="35">
        <v>139130806.47</v>
      </c>
      <c r="X53" s="36">
        <v>0.9484737793035393</v>
      </c>
      <c r="Y53" s="17" t="s">
        <v>151</v>
      </c>
      <c r="Z53" s="17" t="s">
        <v>122</v>
      </c>
      <c r="AA53" s="35">
        <v>7600000</v>
      </c>
      <c r="AB53" s="35">
        <v>413080</v>
      </c>
      <c r="AC53" s="35">
        <v>1413086</v>
      </c>
      <c r="AD53" s="35">
        <v>5797708</v>
      </c>
      <c r="AE53" s="12" t="s">
        <v>86</v>
      </c>
      <c r="AF53" s="12" t="s">
        <v>87</v>
      </c>
      <c r="AG53" s="18">
        <v>100</v>
      </c>
      <c r="AH53" s="12" t="s">
        <v>305</v>
      </c>
      <c r="AI53" s="12" t="s">
        <v>89</v>
      </c>
      <c r="AJ53" s="12" t="s">
        <v>89</v>
      </c>
      <c r="AK53" s="12" t="s">
        <v>89</v>
      </c>
      <c r="AL53" s="12" t="s">
        <v>177</v>
      </c>
      <c r="AM53" s="12" t="s">
        <v>91</v>
      </c>
      <c r="AN53" s="17" t="s">
        <v>92</v>
      </c>
    </row>
    <row r="54" spans="1:40">
      <c r="A54" s="12" t="s">
        <v>74</v>
      </c>
      <c r="B54" s="12" t="s">
        <v>75</v>
      </c>
      <c r="C54" s="12" t="s">
        <v>76</v>
      </c>
      <c r="D54" s="12" t="s">
        <v>77</v>
      </c>
      <c r="E54" s="12" t="s">
        <v>221</v>
      </c>
      <c r="F54" s="12" t="s">
        <v>306</v>
      </c>
      <c r="G54" s="12" t="s">
        <v>307</v>
      </c>
      <c r="H54" s="34" t="s">
        <v>308</v>
      </c>
      <c r="I54" s="12" t="s">
        <v>82</v>
      </c>
      <c r="J54" s="12" t="s">
        <v>149</v>
      </c>
      <c r="K54" s="18">
        <v>0</v>
      </c>
      <c r="L54" s="18">
        <v>0</v>
      </c>
      <c r="M54" s="12" t="s">
        <v>150</v>
      </c>
      <c r="N54" s="35">
        <v>0</v>
      </c>
      <c r="O54" s="35">
        <v>0</v>
      </c>
      <c r="P54" s="35">
        <v>0</v>
      </c>
      <c r="Q54" s="35">
        <v>0</v>
      </c>
      <c r="R54" s="18">
        <f>N54-O54</f>
        <v>0.0</v>
      </c>
      <c r="S54" s="18">
        <f>O54-P54</f>
        <v>0.0</v>
      </c>
      <c r="T54" s="18">
        <f>N54-Q54</f>
        <v>0.0</v>
      </c>
      <c r="U54" s="36">
        <f>IF(N54&gt;0,Q54/N54,0)</f>
        <v>0</v>
      </c>
      <c r="V54" s="35">
        <v>88170850.73999999</v>
      </c>
      <c r="W54" s="35">
        <v>69767863.56999999</v>
      </c>
      <c r="X54" s="36">
        <v>0.7912803719647993</v>
      </c>
      <c r="Y54" s="35">
        <v>17730695.17</v>
      </c>
      <c r="Z54" s="17" t="s">
        <v>85</v>
      </c>
      <c r="AA54" s="35">
        <v>3778561</v>
      </c>
      <c r="AB54" s="35">
        <v>0</v>
      </c>
      <c r="AC54" s="35">
        <v>0</v>
      </c>
      <c r="AD54" s="35">
        <v>1047863</v>
      </c>
      <c r="AE54" s="12" t="s">
        <v>86</v>
      </c>
      <c r="AF54" s="12" t="s">
        <v>87</v>
      </c>
      <c r="AG54" s="18">
        <v>100</v>
      </c>
      <c r="AH54" s="12" t="s">
        <v>145</v>
      </c>
      <c r="AI54" s="12" t="s">
        <v>89</v>
      </c>
      <c r="AJ54" s="12" t="s">
        <v>89</v>
      </c>
      <c r="AK54" s="12" t="s">
        <v>89</v>
      </c>
      <c r="AL54" s="12" t="s">
        <v>177</v>
      </c>
      <c r="AM54" s="12" t="s">
        <v>91</v>
      </c>
      <c r="AN54" s="17" t="s">
        <v>92</v>
      </c>
    </row>
    <row r="55" spans="1:40">
      <c r="A55" s="12" t="s">
        <v>74</v>
      </c>
      <c r="B55" s="12" t="s">
        <v>75</v>
      </c>
      <c r="C55" s="12" t="s">
        <v>76</v>
      </c>
      <c r="D55" s="12" t="s">
        <v>77</v>
      </c>
      <c r="E55" s="12" t="s">
        <v>221</v>
      </c>
      <c r="F55" s="12" t="s">
        <v>309</v>
      </c>
      <c r="G55" s="12" t="s">
        <v>310</v>
      </c>
      <c r="H55" s="34" t="s">
        <v>311</v>
      </c>
      <c r="I55" s="12" t="s">
        <v>82</v>
      </c>
      <c r="J55" s="12" t="s">
        <v>149</v>
      </c>
      <c r="K55" s="18">
        <v>0</v>
      </c>
      <c r="L55" s="18">
        <v>0</v>
      </c>
      <c r="M55" s="12" t="s">
        <v>150</v>
      </c>
      <c r="N55" s="35">
        <v>0</v>
      </c>
      <c r="O55" s="35">
        <v>0</v>
      </c>
      <c r="P55" s="35">
        <v>0</v>
      </c>
      <c r="Q55" s="35">
        <v>0</v>
      </c>
      <c r="R55" s="18">
        <f>N55-O55</f>
        <v>0.0</v>
      </c>
      <c r="S55" s="18">
        <f>O55-P55</f>
        <v>0.0</v>
      </c>
      <c r="T55" s="18">
        <f>N55-Q55</f>
        <v>0.0</v>
      </c>
      <c r="U55" s="36">
        <f>IF(N55&gt;0,Q55/N55,0)</f>
        <v>0</v>
      </c>
      <c r="V55" s="35">
        <v>21452678.08</v>
      </c>
      <c r="W55" s="35">
        <v>8418073.529999999</v>
      </c>
      <c r="X55" s="36">
        <v>0.3924019881624029</v>
      </c>
      <c r="Y55" s="17" t="s">
        <v>151</v>
      </c>
      <c r="Z55" s="17" t="s">
        <v>312</v>
      </c>
      <c r="AA55" s="35">
        <v>1023926</v>
      </c>
      <c r="AB55" s="35">
        <v>0</v>
      </c>
      <c r="AC55" s="35">
        <v>0</v>
      </c>
      <c r="AD55" s="35">
        <v>0</v>
      </c>
      <c r="AE55" s="12" t="s">
        <v>313</v>
      </c>
      <c r="AF55" s="12" t="s">
        <v>314</v>
      </c>
      <c r="AG55" s="18">
        <v>54</v>
      </c>
      <c r="AH55" s="12" t="s">
        <v>145</v>
      </c>
      <c r="AI55" s="12" t="s">
        <v>89</v>
      </c>
      <c r="AJ55" s="12" t="s">
        <v>89</v>
      </c>
      <c r="AK55" s="12" t="s">
        <v>89</v>
      </c>
      <c r="AL55" s="12" t="s">
        <v>177</v>
      </c>
      <c r="AM55" s="12" t="s">
        <v>91</v>
      </c>
      <c r="AN55" s="17" t="s">
        <v>92</v>
      </c>
    </row>
    <row r="56" spans="1:40">
      <c r="A56" s="12" t="s">
        <v>74</v>
      </c>
      <c r="B56" s="12" t="s">
        <v>75</v>
      </c>
      <c r="C56" s="12" t="s">
        <v>76</v>
      </c>
      <c r="D56" s="12" t="s">
        <v>77</v>
      </c>
      <c r="E56" s="12" t="s">
        <v>221</v>
      </c>
      <c r="F56" s="12" t="s">
        <v>315</v>
      </c>
      <c r="G56" s="12" t="s">
        <v>316</v>
      </c>
      <c r="H56" s="34" t="s">
        <v>317</v>
      </c>
      <c r="I56" s="12" t="s">
        <v>82</v>
      </c>
      <c r="J56" s="12" t="s">
        <v>149</v>
      </c>
      <c r="K56" s="18">
        <v>0</v>
      </c>
      <c r="L56" s="18">
        <v>0</v>
      </c>
      <c r="M56" s="12" t="s">
        <v>150</v>
      </c>
      <c r="N56" s="35">
        <v>0</v>
      </c>
      <c r="O56" s="35">
        <v>0</v>
      </c>
      <c r="P56" s="35">
        <v>0</v>
      </c>
      <c r="Q56" s="35">
        <v>0</v>
      </c>
      <c r="R56" s="18">
        <f>N56-O56</f>
        <v>0.0</v>
      </c>
      <c r="S56" s="18">
        <f>O56-P56</f>
        <v>0.0</v>
      </c>
      <c r="T56" s="18">
        <f>N56-Q56</f>
        <v>0.0</v>
      </c>
      <c r="U56" s="36">
        <f>IF(N56&gt;0,Q56/N56,0)</f>
        <v>0</v>
      </c>
      <c r="V56" s="35">
        <v>31732486.84</v>
      </c>
      <c r="W56" s="35">
        <v>1205306.16</v>
      </c>
      <c r="X56" s="36">
        <v>0.03798335018863589</v>
      </c>
      <c r="Y56" s="17" t="s">
        <v>151</v>
      </c>
      <c r="Z56" s="17" t="s">
        <v>122</v>
      </c>
      <c r="AA56" s="35">
        <v>800000</v>
      </c>
      <c r="AB56" s="35">
        <v>2345478</v>
      </c>
      <c r="AC56" s="35">
        <v>9005306</v>
      </c>
      <c r="AD56" s="35">
        <v>19493721</v>
      </c>
      <c r="AE56" s="12" t="s">
        <v>86</v>
      </c>
      <c r="AF56" s="12" t="s">
        <v>87</v>
      </c>
      <c r="AG56" s="18">
        <v>-1</v>
      </c>
      <c r="AH56" s="12" t="s">
        <v>145</v>
      </c>
      <c r="AI56" s="12" t="s">
        <v>89</v>
      </c>
      <c r="AJ56" s="12" t="s">
        <v>89</v>
      </c>
      <c r="AK56" s="12" t="s">
        <v>89</v>
      </c>
      <c r="AL56" s="12" t="s">
        <v>127</v>
      </c>
      <c r="AM56" s="12" t="s">
        <v>318</v>
      </c>
      <c r="AN56" s="17" t="s">
        <v>92</v>
      </c>
    </row>
    <row r="57" spans="1:40">
      <c r="A57" s="12" t="s">
        <v>74</v>
      </c>
      <c r="B57" s="12" t="s">
        <v>75</v>
      </c>
      <c r="C57" s="12" t="s">
        <v>76</v>
      </c>
      <c r="D57" s="12" t="s">
        <v>77</v>
      </c>
      <c r="E57" s="12" t="s">
        <v>319</v>
      </c>
      <c r="F57" s="12" t="s">
        <v>320</v>
      </c>
      <c r="G57" s="12" t="s">
        <v>321</v>
      </c>
      <c r="H57" s="34" t="s">
        <v>322</v>
      </c>
      <c r="I57" s="12" t="s">
        <v>82</v>
      </c>
      <c r="J57" s="12" t="s">
        <v>83</v>
      </c>
      <c r="K57" s="18">
        <v>0</v>
      </c>
      <c r="L57" s="18">
        <v>0</v>
      </c>
      <c r="M57" s="12" t="s">
        <v>84</v>
      </c>
      <c r="N57" s="35">
        <v>5810277</v>
      </c>
      <c r="O57" s="35">
        <v>5204423.6</v>
      </c>
      <c r="P57" s="35">
        <v>3160250.05</v>
      </c>
      <c r="Q57" s="35">
        <v>1157372.6</v>
      </c>
      <c r="R57" s="18">
        <f>N57-O57</f>
        <v>605853.4000000004</v>
      </c>
      <c r="S57" s="18">
        <f>O57-P57</f>
        <v>2044173.5499999998</v>
      </c>
      <c r="T57" s="18">
        <f>N57-Q57</f>
        <v>4652904.4</v>
      </c>
      <c r="U57" s="36">
        <f>IF(N57&gt;0,Q57/N57,0)</f>
        <v>0.19919404875189256</v>
      </c>
      <c r="V57" s="35">
        <v>35568823.66</v>
      </c>
      <c r="W57" s="35">
        <v>24003887.42</v>
      </c>
      <c r="X57" s="36">
        <v>0.6748575001931904</v>
      </c>
      <c r="Y57" s="35">
        <v>5810277</v>
      </c>
      <c r="Z57" s="17" t="s">
        <v>122</v>
      </c>
      <c r="AA57" s="35">
        <v>6269000</v>
      </c>
      <c r="AB57" s="35">
        <v>1345765</v>
      </c>
      <c r="AC57" s="35">
        <v>5566267</v>
      </c>
      <c r="AD57" s="35">
        <v>0</v>
      </c>
      <c r="AE57" s="12" t="s">
        <v>86</v>
      </c>
      <c r="AF57" s="12" t="s">
        <v>87</v>
      </c>
      <c r="AG57" s="18">
        <v>47.63</v>
      </c>
      <c r="AH57" s="12" t="s">
        <v>109</v>
      </c>
      <c r="AI57" s="12" t="s">
        <v>89</v>
      </c>
      <c r="AJ57" s="12" t="s">
        <v>89</v>
      </c>
      <c r="AK57" s="12" t="s">
        <v>89</v>
      </c>
      <c r="AL57" s="12" t="s">
        <v>90</v>
      </c>
      <c r="AM57" s="12" t="s">
        <v>268</v>
      </c>
      <c r="AN57" s="17" t="s">
        <v>92</v>
      </c>
    </row>
    <row r="58" spans="1:40">
      <c r="A58" s="12" t="s">
        <v>74</v>
      </c>
      <c r="B58" s="12" t="s">
        <v>75</v>
      </c>
      <c r="C58" s="12" t="s">
        <v>76</v>
      </c>
      <c r="D58" s="12" t="s">
        <v>77</v>
      </c>
      <c r="E58" s="12" t="s">
        <v>319</v>
      </c>
      <c r="F58" s="12" t="s">
        <v>323</v>
      </c>
      <c r="G58" s="12" t="s">
        <v>324</v>
      </c>
      <c r="H58" s="34" t="s">
        <v>325</v>
      </c>
      <c r="I58" s="12" t="s">
        <v>82</v>
      </c>
      <c r="J58" s="12" t="s">
        <v>272</v>
      </c>
      <c r="K58" s="18">
        <v>309147.4799999995</v>
      </c>
      <c r="L58" s="18">
        <v>2486795.52</v>
      </c>
      <c r="M58" s="12" t="s">
        <v>326</v>
      </c>
      <c r="N58" s="35">
        <v>5921783</v>
      </c>
      <c r="O58" s="35">
        <v>5612635.52</v>
      </c>
      <c r="P58" s="35">
        <v>2263180.37</v>
      </c>
      <c r="Q58" s="35">
        <v>1271806.72</v>
      </c>
      <c r="R58" s="18">
        <f>N58-O58</f>
        <v>309147.4799999995</v>
      </c>
      <c r="S58" s="18">
        <f>O58-P58</f>
        <v>3349455.1500000004</v>
      </c>
      <c r="T58" s="18">
        <f>N58-Q58</f>
        <v>4649976.28</v>
      </c>
      <c r="U58" s="36">
        <f>IF(N58&gt;0,Q58/N58,0)</f>
        <v>0.21476753200851836</v>
      </c>
      <c r="V58" s="35">
        <v>54420486.91</v>
      </c>
      <c r="W58" s="35">
        <v>46070956.23</v>
      </c>
      <c r="X58" s="36">
        <v>0.8465737601023606</v>
      </c>
      <c r="Y58" s="35">
        <v>3125840</v>
      </c>
      <c r="Z58" s="17" t="s">
        <v>327</v>
      </c>
      <c r="AA58" s="35">
        <v>1139986</v>
      </c>
      <c r="AB58" s="35">
        <v>500000</v>
      </c>
      <c r="AC58" s="35">
        <v>3220643</v>
      </c>
      <c r="AD58" s="35">
        <v>0</v>
      </c>
      <c r="AE58" s="12" t="s">
        <v>86</v>
      </c>
      <c r="AF58" s="12" t="s">
        <v>87</v>
      </c>
      <c r="AG58" s="18">
        <v>71.31</v>
      </c>
      <c r="AH58" s="12" t="s">
        <v>328</v>
      </c>
      <c r="AI58" s="12" t="s">
        <v>89</v>
      </c>
      <c r="AJ58" s="12" t="s">
        <v>89</v>
      </c>
      <c r="AK58" s="12" t="s">
        <v>89</v>
      </c>
      <c r="AL58" s="12" t="s">
        <v>90</v>
      </c>
      <c r="AM58" s="12" t="s">
        <v>91</v>
      </c>
      <c r="AN58" s="17" t="s">
        <v>92</v>
      </c>
    </row>
    <row r="59" spans="1:40">
      <c r="A59" s="12" t="s">
        <v>74</v>
      </c>
      <c r="B59" s="12" t="s">
        <v>75</v>
      </c>
      <c r="C59" s="12" t="s">
        <v>76</v>
      </c>
      <c r="D59" s="12" t="s">
        <v>77</v>
      </c>
      <c r="E59" s="12" t="s">
        <v>319</v>
      </c>
      <c r="F59" s="12" t="s">
        <v>329</v>
      </c>
      <c r="G59" s="12" t="s">
        <v>330</v>
      </c>
      <c r="H59" s="34" t="s">
        <v>331</v>
      </c>
      <c r="I59" s="12" t="s">
        <v>82</v>
      </c>
      <c r="J59" s="12" t="s">
        <v>272</v>
      </c>
      <c r="K59" s="18">
        <v>55258.30235039968</v>
      </c>
      <c r="L59" s="18">
        <v>0</v>
      </c>
      <c r="M59" s="12" t="s">
        <v>332</v>
      </c>
      <c r="N59" s="35">
        <v>1180793</v>
      </c>
      <c r="O59" s="35">
        <v>1110291.73</v>
      </c>
      <c r="P59" s="35">
        <v>1110291.73</v>
      </c>
      <c r="Q59" s="35">
        <v>1081390.27</v>
      </c>
      <c r="R59" s="18">
        <f>N59-O59</f>
        <v>70501.27000000002</v>
      </c>
      <c r="S59" s="18">
        <f>O59-P59</f>
        <v>0.0</v>
      </c>
      <c r="T59" s="18">
        <f>N59-Q59</f>
        <v>99402.72999999998</v>
      </c>
      <c r="U59" s="36">
        <f>IF(N59&gt;0,Q59/N59,0)</f>
        <v>0.9158169721534596</v>
      </c>
      <c r="V59" s="35">
        <v>149699616.47</v>
      </c>
      <c r="W59" s="35">
        <v>72480823.81999999</v>
      </c>
      <c r="X59" s="36">
        <v>0.4841750802649868</v>
      </c>
      <c r="Y59" s="35">
        <v>1416491</v>
      </c>
      <c r="Z59" s="17" t="s">
        <v>333</v>
      </c>
      <c r="AA59" s="35">
        <v>11675669</v>
      </c>
      <c r="AB59" s="35">
        <v>6000000</v>
      </c>
      <c r="AC59" s="35">
        <v>6503691</v>
      </c>
      <c r="AD59" s="35">
        <v>7526858</v>
      </c>
      <c r="AE59" s="12" t="s">
        <v>86</v>
      </c>
      <c r="AF59" s="12" t="s">
        <v>87</v>
      </c>
      <c r="AG59" s="18">
        <v>44.43</v>
      </c>
      <c r="AH59" s="12" t="s">
        <v>182</v>
      </c>
      <c r="AI59" s="12" t="s">
        <v>89</v>
      </c>
      <c r="AJ59" s="12" t="s">
        <v>89</v>
      </c>
      <c r="AK59" s="12" t="s">
        <v>89</v>
      </c>
      <c r="AL59" s="12" t="s">
        <v>90</v>
      </c>
      <c r="AM59" s="12" t="s">
        <v>91</v>
      </c>
      <c r="AN59" s="17" t="s">
        <v>92</v>
      </c>
    </row>
    <row r="60" spans="1:40">
      <c r="A60" s="12" t="s">
        <v>74</v>
      </c>
      <c r="B60" s="12" t="s">
        <v>75</v>
      </c>
      <c r="C60" s="12" t="s">
        <v>76</v>
      </c>
      <c r="D60" s="12" t="s">
        <v>77</v>
      </c>
      <c r="E60" s="12" t="s">
        <v>319</v>
      </c>
      <c r="F60" s="12" t="s">
        <v>334</v>
      </c>
      <c r="G60" s="12" t="s">
        <v>335</v>
      </c>
      <c r="H60" s="34" t="s">
        <v>336</v>
      </c>
      <c r="I60" s="12" t="s">
        <v>162</v>
      </c>
      <c r="J60" s="12" t="s">
        <v>272</v>
      </c>
      <c r="K60" s="18">
        <v>27000</v>
      </c>
      <c r="L60" s="18">
        <v>0</v>
      </c>
      <c r="M60" s="12" t="s">
        <v>337</v>
      </c>
      <c r="N60" s="35">
        <v>2167000</v>
      </c>
      <c r="O60" s="35">
        <v>1860545</v>
      </c>
      <c r="P60" s="35">
        <v>1856334.8</v>
      </c>
      <c r="Q60" s="35">
        <v>33059.94</v>
      </c>
      <c r="R60" s="18">
        <f>N60-O60</f>
        <v>306455.0</v>
      </c>
      <c r="S60" s="18">
        <f>O60-P60</f>
        <v>4210.199999999953</v>
      </c>
      <c r="T60" s="18">
        <f>N60-Q60</f>
        <v>2133940.06</v>
      </c>
      <c r="U60" s="36">
        <f>IF(N60&gt;0,Q60/N60,0)</f>
        <v>0.015256086755883712</v>
      </c>
      <c r="V60" s="35">
        <v>4751582.75</v>
      </c>
      <c r="W60" s="35">
        <v>170007.21</v>
      </c>
      <c r="X60" s="36">
        <v>0.03577906961632942</v>
      </c>
      <c r="Y60" s="35">
        <v>2140000</v>
      </c>
      <c r="Z60" s="17" t="s">
        <v>333</v>
      </c>
      <c r="AA60" s="35">
        <v>2000000</v>
      </c>
      <c r="AB60" s="35">
        <v>1547463</v>
      </c>
      <c r="AC60" s="35">
        <v>0</v>
      </c>
      <c r="AD60" s="35">
        <v>0</v>
      </c>
      <c r="AE60" s="12" t="s">
        <v>86</v>
      </c>
      <c r="AF60" s="12" t="s">
        <v>87</v>
      </c>
      <c r="AG60" s="18">
        <v>-1</v>
      </c>
      <c r="AH60" s="12" t="s">
        <v>136</v>
      </c>
      <c r="AI60" s="12" t="s">
        <v>89</v>
      </c>
      <c r="AJ60" s="12" t="s">
        <v>89</v>
      </c>
      <c r="AK60" s="12" t="s">
        <v>89</v>
      </c>
      <c r="AL60" s="12" t="s">
        <v>141</v>
      </c>
      <c r="AM60" s="12" t="s">
        <v>91</v>
      </c>
      <c r="AN60" s="17" t="s">
        <v>92</v>
      </c>
    </row>
    <row r="61" spans="1:40">
      <c r="A61" s="12" t="s">
        <v>74</v>
      </c>
      <c r="B61" s="12" t="s">
        <v>75</v>
      </c>
      <c r="C61" s="12" t="s">
        <v>76</v>
      </c>
      <c r="D61" s="12" t="s">
        <v>77</v>
      </c>
      <c r="E61" s="12" t="s">
        <v>319</v>
      </c>
      <c r="F61" s="12" t="s">
        <v>338</v>
      </c>
      <c r="G61" s="12" t="s">
        <v>339</v>
      </c>
      <c r="H61" s="34" t="s">
        <v>340</v>
      </c>
      <c r="I61" s="12" t="s">
        <v>162</v>
      </c>
      <c r="J61" s="12" t="s">
        <v>83</v>
      </c>
      <c r="K61" s="18">
        <v>0</v>
      </c>
      <c r="L61" s="18">
        <v>0</v>
      </c>
      <c r="M61" s="12" t="s">
        <v>84</v>
      </c>
      <c r="N61" s="35">
        <v>2575916</v>
      </c>
      <c r="O61" s="35">
        <v>2503779</v>
      </c>
      <c r="P61" s="35">
        <v>2111560</v>
      </c>
      <c r="Q61" s="35">
        <v>23527.19</v>
      </c>
      <c r="R61" s="18">
        <f>N61-O61</f>
        <v>72137.0</v>
      </c>
      <c r="S61" s="18">
        <f>O61-P61</f>
        <v>392219.0</v>
      </c>
      <c r="T61" s="18">
        <f>N61-Q61</f>
        <v>2552388.81</v>
      </c>
      <c r="U61" s="36">
        <f>IF(N61&gt;0,Q61/N61,0)</f>
        <v>0.00913352376397367</v>
      </c>
      <c r="V61" s="35">
        <v>6561339.91</v>
      </c>
      <c r="W61" s="35">
        <v>143842.22</v>
      </c>
      <c r="X61" s="36">
        <v>0.02192268987326401</v>
      </c>
      <c r="Y61" s="35">
        <v>2575916.01</v>
      </c>
      <c r="Z61" s="17" t="s">
        <v>135</v>
      </c>
      <c r="AA61" s="35">
        <v>2575916</v>
      </c>
      <c r="AB61" s="35">
        <v>2345678</v>
      </c>
      <c r="AC61" s="35">
        <v>1558799</v>
      </c>
      <c r="AD61" s="35">
        <v>0</v>
      </c>
      <c r="AE61" s="12" t="s">
        <v>86</v>
      </c>
      <c r="AF61" s="12" t="s">
        <v>87</v>
      </c>
      <c r="AG61" s="18">
        <v>-1</v>
      </c>
      <c r="AH61" s="12" t="s">
        <v>136</v>
      </c>
      <c r="AI61" s="12" t="s">
        <v>89</v>
      </c>
      <c r="AJ61" s="12" t="s">
        <v>89</v>
      </c>
      <c r="AK61" s="12" t="s">
        <v>89</v>
      </c>
      <c r="AL61" s="12" t="s">
        <v>141</v>
      </c>
      <c r="AM61" s="12" t="s">
        <v>91</v>
      </c>
      <c r="AN61" s="17" t="s">
        <v>92</v>
      </c>
    </row>
    <row r="62" spans="1:40">
      <c r="A62" s="12" t="s">
        <v>74</v>
      </c>
      <c r="B62" s="12" t="s">
        <v>75</v>
      </c>
      <c r="C62" s="12" t="s">
        <v>76</v>
      </c>
      <c r="D62" s="12" t="s">
        <v>77</v>
      </c>
      <c r="E62" s="12" t="s">
        <v>319</v>
      </c>
      <c r="F62" s="12" t="s">
        <v>341</v>
      </c>
      <c r="G62" s="12" t="s">
        <v>342</v>
      </c>
      <c r="H62" s="34" t="s">
        <v>343</v>
      </c>
      <c r="I62" s="12" t="s">
        <v>162</v>
      </c>
      <c r="J62" s="12" t="s">
        <v>83</v>
      </c>
      <c r="K62" s="18">
        <v>0</v>
      </c>
      <c r="L62" s="18">
        <v>0</v>
      </c>
      <c r="M62" s="12" t="s">
        <v>84</v>
      </c>
      <c r="N62" s="35">
        <v>2054253</v>
      </c>
      <c r="O62" s="35">
        <v>1854253</v>
      </c>
      <c r="P62" s="35">
        <v>0</v>
      </c>
      <c r="Q62" s="35">
        <v>0</v>
      </c>
      <c r="R62" s="18">
        <f>N62-O62</f>
        <v>200000.0</v>
      </c>
      <c r="S62" s="18">
        <f>O62-P62</f>
        <v>1854253.0</v>
      </c>
      <c r="T62" s="18">
        <f>N62-Q62</f>
        <v>2054253.0</v>
      </c>
      <c r="U62" s="36">
        <f>IF(N62&gt;0,Q62/N62,0)</f>
        <v>0.0</v>
      </c>
      <c r="V62" s="35">
        <v>5598164.01</v>
      </c>
      <c r="W62" s="35">
        <v>120309.22</v>
      </c>
      <c r="X62" s="36">
        <v>0.02149083517115462</v>
      </c>
      <c r="Y62" s="35">
        <v>2931065.79</v>
      </c>
      <c r="Z62" s="17" t="s">
        <v>122</v>
      </c>
      <c r="AA62" s="35">
        <v>2054253</v>
      </c>
      <c r="AB62" s="35">
        <v>2546789</v>
      </c>
      <c r="AC62" s="35">
        <v>0</v>
      </c>
      <c r="AD62" s="35">
        <v>0</v>
      </c>
      <c r="AE62" s="12" t="s">
        <v>86</v>
      </c>
      <c r="AF62" s="12" t="s">
        <v>87</v>
      </c>
      <c r="AG62" s="18">
        <v>-1</v>
      </c>
      <c r="AH62" s="12" t="s">
        <v>145</v>
      </c>
      <c r="AI62" s="12" t="s">
        <v>89</v>
      </c>
      <c r="AJ62" s="12" t="s">
        <v>89</v>
      </c>
      <c r="AK62" s="12" t="s">
        <v>89</v>
      </c>
      <c r="AL62" s="12" t="s">
        <v>141</v>
      </c>
      <c r="AM62" s="12" t="s">
        <v>91</v>
      </c>
      <c r="AN62" s="17" t="s">
        <v>92</v>
      </c>
    </row>
    <row r="63" spans="1:40">
      <c r="A63" s="12" t="s">
        <v>74</v>
      </c>
      <c r="B63" s="12" t="s">
        <v>75</v>
      </c>
      <c r="C63" s="12" t="s">
        <v>76</v>
      </c>
      <c r="D63" s="12" t="s">
        <v>77</v>
      </c>
      <c r="E63" s="12" t="s">
        <v>319</v>
      </c>
      <c r="F63" s="12" t="s">
        <v>344</v>
      </c>
      <c r="G63" s="12" t="s">
        <v>345</v>
      </c>
      <c r="H63" s="34" t="s">
        <v>346</v>
      </c>
      <c r="I63" s="12" t="s">
        <v>162</v>
      </c>
      <c r="J63" s="12" t="s">
        <v>83</v>
      </c>
      <c r="K63" s="18">
        <v>0</v>
      </c>
      <c r="L63" s="18">
        <v>0</v>
      </c>
      <c r="M63" s="12" t="s">
        <v>84</v>
      </c>
      <c r="N63" s="35">
        <v>2038388</v>
      </c>
      <c r="O63" s="35">
        <v>2031210.5</v>
      </c>
      <c r="P63" s="35">
        <v>2031210.37</v>
      </c>
      <c r="Q63" s="35">
        <v>1711781.12</v>
      </c>
      <c r="R63" s="18">
        <f>N63-O63</f>
        <v>7177.5</v>
      </c>
      <c r="S63" s="18">
        <f>O63-P63</f>
        <v>0.1299999998882413</v>
      </c>
      <c r="T63" s="18">
        <f>N63-Q63</f>
        <v>326606.8800000001</v>
      </c>
      <c r="U63" s="36">
        <f>IF(N63&gt;0,Q63/N63,0)</f>
        <v>0.8397719766796115</v>
      </c>
      <c r="V63" s="35">
        <v>4402806.69</v>
      </c>
      <c r="W63" s="35">
        <v>1828188.7</v>
      </c>
      <c r="X63" s="36">
        <v>0.4152325615731268</v>
      </c>
      <c r="Y63" s="35">
        <v>2038388</v>
      </c>
      <c r="Z63" s="17" t="s">
        <v>333</v>
      </c>
      <c r="AA63" s="35">
        <v>2028388</v>
      </c>
      <c r="AB63" s="35">
        <v>2258011</v>
      </c>
      <c r="AC63" s="35">
        <v>0</v>
      </c>
      <c r="AD63" s="35">
        <v>0</v>
      </c>
      <c r="AE63" s="12" t="s">
        <v>86</v>
      </c>
      <c r="AF63" s="12" t="s">
        <v>87</v>
      </c>
      <c r="AG63" s="18">
        <v>-1</v>
      </c>
      <c r="AH63" s="12" t="s">
        <v>136</v>
      </c>
      <c r="AI63" s="12" t="s">
        <v>89</v>
      </c>
      <c r="AJ63" s="12" t="s">
        <v>89</v>
      </c>
      <c r="AK63" s="12" t="s">
        <v>89</v>
      </c>
      <c r="AL63" s="12" t="s">
        <v>141</v>
      </c>
      <c r="AM63" s="12" t="s">
        <v>91</v>
      </c>
      <c r="AN63" s="17" t="s">
        <v>92</v>
      </c>
    </row>
    <row r="64" spans="1:40">
      <c r="A64" s="12" t="s">
        <v>74</v>
      </c>
      <c r="B64" s="12" t="s">
        <v>75</v>
      </c>
      <c r="C64" s="12" t="s">
        <v>76</v>
      </c>
      <c r="D64" s="12" t="s">
        <v>77</v>
      </c>
      <c r="E64" s="12" t="s">
        <v>319</v>
      </c>
      <c r="F64" s="12" t="s">
        <v>347</v>
      </c>
      <c r="G64" s="12" t="s">
        <v>348</v>
      </c>
      <c r="H64" s="34" t="s">
        <v>349</v>
      </c>
      <c r="I64" s="12" t="s">
        <v>162</v>
      </c>
      <c r="J64" s="12" t="s">
        <v>83</v>
      </c>
      <c r="K64" s="18">
        <v>0</v>
      </c>
      <c r="L64" s="18">
        <v>0</v>
      </c>
      <c r="M64" s="12" t="s">
        <v>84</v>
      </c>
      <c r="N64" s="35">
        <v>2047936</v>
      </c>
      <c r="O64" s="35">
        <v>377863</v>
      </c>
      <c r="P64" s="35">
        <v>366632.23</v>
      </c>
      <c r="Q64" s="35">
        <v>318047.53</v>
      </c>
      <c r="R64" s="18">
        <f>N64-O64</f>
        <v>1670073.0</v>
      </c>
      <c r="S64" s="18">
        <f>O64-P64</f>
        <v>11230.770000000019</v>
      </c>
      <c r="T64" s="18">
        <f>N64-Q64</f>
        <v>1729888.47</v>
      </c>
      <c r="U64" s="36">
        <f>IF(N64&gt;0,Q64/N64,0)</f>
        <v>0.1553014986796462</v>
      </c>
      <c r="V64" s="35">
        <v>4028416.07</v>
      </c>
      <c r="W64" s="35">
        <v>439656.61</v>
      </c>
      <c r="X64" s="36">
        <v>0.1091388283534476</v>
      </c>
      <c r="Y64" s="35">
        <v>2047936</v>
      </c>
      <c r="Z64" s="17" t="s">
        <v>122</v>
      </c>
      <c r="AA64" s="35">
        <v>327863</v>
      </c>
      <c r="AB64" s="35">
        <v>1876545</v>
      </c>
      <c r="AC64" s="35">
        <v>0</v>
      </c>
      <c r="AD64" s="35">
        <v>0</v>
      </c>
      <c r="AE64" s="12" t="s">
        <v>86</v>
      </c>
      <c r="AF64" s="12" t="s">
        <v>87</v>
      </c>
      <c r="AG64" s="18">
        <v>-1</v>
      </c>
      <c r="AH64" s="12" t="s">
        <v>136</v>
      </c>
      <c r="AI64" s="12" t="s">
        <v>89</v>
      </c>
      <c r="AJ64" s="12" t="s">
        <v>89</v>
      </c>
      <c r="AK64" s="12" t="s">
        <v>89</v>
      </c>
      <c r="AL64" s="12" t="s">
        <v>101</v>
      </c>
      <c r="AM64" s="12" t="s">
        <v>91</v>
      </c>
      <c r="AN64" s="17" t="s">
        <v>92</v>
      </c>
    </row>
    <row r="65" spans="1:40">
      <c r="A65" s="12" t="s">
        <v>74</v>
      </c>
      <c r="B65" s="12" t="s">
        <v>75</v>
      </c>
      <c r="C65" s="12" t="s">
        <v>76</v>
      </c>
      <c r="D65" s="12" t="s">
        <v>77</v>
      </c>
      <c r="E65" s="12" t="s">
        <v>319</v>
      </c>
      <c r="F65" s="12" t="s">
        <v>350</v>
      </c>
      <c r="G65" s="12" t="s">
        <v>351</v>
      </c>
      <c r="H65" s="34" t="s">
        <v>352</v>
      </c>
      <c r="I65" s="12" t="s">
        <v>162</v>
      </c>
      <c r="J65" s="12" t="s">
        <v>83</v>
      </c>
      <c r="K65" s="18">
        <v>0</v>
      </c>
      <c r="L65" s="18">
        <v>0</v>
      </c>
      <c r="M65" s="12" t="s">
        <v>84</v>
      </c>
      <c r="N65" s="35">
        <v>290270</v>
      </c>
      <c r="O65" s="35">
        <v>100000</v>
      </c>
      <c r="P65" s="35">
        <v>0</v>
      </c>
      <c r="Q65" s="35">
        <v>0</v>
      </c>
      <c r="R65" s="18">
        <f>N65-O65</f>
        <v>190270.0</v>
      </c>
      <c r="S65" s="18">
        <f>O65-P65</f>
        <v>100000.0</v>
      </c>
      <c r="T65" s="18">
        <f>N65-Q65</f>
        <v>290270.0</v>
      </c>
      <c r="U65" s="36">
        <f>IF(N65&gt;0,Q65/N65,0)</f>
        <v>0.0</v>
      </c>
      <c r="V65" s="35">
        <v>17083148.44</v>
      </c>
      <c r="W65" s="35">
        <v>137405.91</v>
      </c>
      <c r="X65" s="36">
        <v>0.008043359833967466</v>
      </c>
      <c r="Y65" s="35">
        <v>290270</v>
      </c>
      <c r="Z65" s="17" t="s">
        <v>122</v>
      </c>
      <c r="AA65" s="35">
        <v>100000</v>
      </c>
      <c r="AB65" s="35">
        <v>2089685</v>
      </c>
      <c r="AC65" s="35">
        <v>3000000</v>
      </c>
      <c r="AD65" s="35">
        <v>11639950</v>
      </c>
      <c r="AE65" s="12" t="s">
        <v>86</v>
      </c>
      <c r="AF65" s="12" t="s">
        <v>87</v>
      </c>
      <c r="AG65" s="18">
        <v>-1</v>
      </c>
      <c r="AH65" s="12" t="s">
        <v>145</v>
      </c>
      <c r="AI65" s="12" t="s">
        <v>89</v>
      </c>
      <c r="AJ65" s="12" t="s">
        <v>89</v>
      </c>
      <c r="AK65" s="12" t="s">
        <v>89</v>
      </c>
      <c r="AL65" s="12" t="s">
        <v>101</v>
      </c>
      <c r="AM65" s="12" t="s">
        <v>91</v>
      </c>
      <c r="AN65" s="17" t="s">
        <v>92</v>
      </c>
    </row>
    <row r="66" spans="1:40">
      <c r="A66" s="12" t="s">
        <v>74</v>
      </c>
      <c r="B66" s="12" t="s">
        <v>75</v>
      </c>
      <c r="C66" s="12" t="s">
        <v>76</v>
      </c>
      <c r="D66" s="12" t="s">
        <v>77</v>
      </c>
      <c r="E66" s="12" t="s">
        <v>353</v>
      </c>
      <c r="F66" s="12" t="s">
        <v>354</v>
      </c>
      <c r="G66" s="12" t="s">
        <v>355</v>
      </c>
      <c r="H66" s="34" t="s">
        <v>356</v>
      </c>
      <c r="I66" s="12" t="s">
        <v>82</v>
      </c>
      <c r="J66" s="12" t="s">
        <v>106</v>
      </c>
      <c r="K66" s="18">
        <v>0</v>
      </c>
      <c r="L66" s="18">
        <v>0</v>
      </c>
      <c r="M66" s="12" t="s">
        <v>121</v>
      </c>
      <c r="N66" s="35">
        <v>7609099</v>
      </c>
      <c r="O66" s="35">
        <v>7595390.88</v>
      </c>
      <c r="P66" s="35">
        <v>7595390.88</v>
      </c>
      <c r="Q66" s="35">
        <v>7570246.390000001</v>
      </c>
      <c r="R66" s="18">
        <f>N66-O66</f>
        <v>13708.120000000112</v>
      </c>
      <c r="S66" s="18">
        <f>O66-P66</f>
        <v>0.0</v>
      </c>
      <c r="T66" s="18">
        <f>N66-Q66</f>
        <v>38852.609999999404</v>
      </c>
      <c r="U66" s="36">
        <f>IF(N66&gt;0,Q66/N66,0)</f>
        <v>0.9948939276516182</v>
      </c>
      <c r="V66" s="35">
        <v>148838271.59</v>
      </c>
      <c r="W66" s="35">
        <v>139385272.83</v>
      </c>
      <c r="X66" s="36">
        <v>0.936488117881133</v>
      </c>
      <c r="Y66" s="35">
        <v>7609099</v>
      </c>
      <c r="Z66" s="17" t="s">
        <v>113</v>
      </c>
      <c r="AA66" s="35">
        <v>6185000</v>
      </c>
      <c r="AB66" s="35">
        <v>1000000</v>
      </c>
      <c r="AC66" s="35">
        <v>0</v>
      </c>
      <c r="AD66" s="35">
        <v>1000000</v>
      </c>
      <c r="AE66" s="12" t="s">
        <v>86</v>
      </c>
      <c r="AF66" s="12" t="s">
        <v>87</v>
      </c>
      <c r="AG66" s="18">
        <v>92.3</v>
      </c>
      <c r="AH66" s="12" t="s">
        <v>357</v>
      </c>
      <c r="AI66" s="12" t="s">
        <v>89</v>
      </c>
      <c r="AJ66" s="12" t="s">
        <v>89</v>
      </c>
      <c r="AK66" s="12" t="s">
        <v>89</v>
      </c>
      <c r="AL66" s="12" t="s">
        <v>358</v>
      </c>
      <c r="AM66" s="12" t="s">
        <v>91</v>
      </c>
      <c r="AN66" s="17" t="s">
        <v>92</v>
      </c>
    </row>
    <row r="67" spans="1:40">
      <c r="A67" s="12" t="s">
        <v>74</v>
      </c>
      <c r="B67" s="12" t="s">
        <v>75</v>
      </c>
      <c r="C67" s="12" t="s">
        <v>76</v>
      </c>
      <c r="D67" s="12" t="s">
        <v>77</v>
      </c>
      <c r="E67" s="12" t="s">
        <v>359</v>
      </c>
      <c r="F67" s="12" t="s">
        <v>360</v>
      </c>
      <c r="G67" s="12" t="s">
        <v>361</v>
      </c>
      <c r="H67" s="34" t="s">
        <v>362</v>
      </c>
      <c r="I67" s="12" t="s">
        <v>82</v>
      </c>
      <c r="J67" s="12" t="s">
        <v>106</v>
      </c>
      <c r="K67" s="18">
        <v>0</v>
      </c>
      <c r="L67" s="18">
        <v>0</v>
      </c>
      <c r="M67" s="12" t="s">
        <v>121</v>
      </c>
      <c r="N67" s="35">
        <v>99230</v>
      </c>
      <c r="O67" s="35">
        <v>99007.59</v>
      </c>
      <c r="P67" s="35">
        <v>96667.59</v>
      </c>
      <c r="Q67" s="35">
        <v>96198.77</v>
      </c>
      <c r="R67" s="18">
        <f>N67-O67</f>
        <v>222.4100000000035</v>
      </c>
      <c r="S67" s="18">
        <f>O67-P67</f>
        <v>2340.0</v>
      </c>
      <c r="T67" s="18">
        <f>N67-Q67</f>
        <v>3031.229999999996</v>
      </c>
      <c r="U67" s="36">
        <f>IF(N67&gt;0,Q67/N67,0)</f>
        <v>0.969452484127784</v>
      </c>
      <c r="V67" s="35">
        <v>6409208.24</v>
      </c>
      <c r="W67" s="35">
        <v>6323569.84</v>
      </c>
      <c r="X67" s="36">
        <v>0.9866382247552</v>
      </c>
      <c r="Y67" s="35">
        <v>99230</v>
      </c>
      <c r="Z67" s="17" t="s">
        <v>122</v>
      </c>
      <c r="AA67" s="35">
        <v>99230</v>
      </c>
      <c r="AB67" s="35">
        <v>0</v>
      </c>
      <c r="AC67" s="35">
        <v>0</v>
      </c>
      <c r="AD67" s="35">
        <v>0</v>
      </c>
      <c r="AE67" s="12" t="s">
        <v>86</v>
      </c>
      <c r="AF67" s="12" t="s">
        <v>190</v>
      </c>
      <c r="AG67" s="18">
        <v>100</v>
      </c>
      <c r="AH67" s="12" t="s">
        <v>109</v>
      </c>
      <c r="AI67" s="12" t="s">
        <v>89</v>
      </c>
      <c r="AJ67" s="12" t="s">
        <v>89</v>
      </c>
      <c r="AK67" s="12" t="s">
        <v>89</v>
      </c>
      <c r="AL67" s="12" t="s">
        <v>89</v>
      </c>
      <c r="AM67" s="12" t="s">
        <v>91</v>
      </c>
      <c r="AN67" s="17" t="s">
        <v>92</v>
      </c>
    </row>
    <row r="68" spans="1:40">
      <c r="A68" s="12" t="s">
        <v>74</v>
      </c>
      <c r="B68" s="12" t="s">
        <v>75</v>
      </c>
      <c r="C68" s="12" t="s">
        <v>76</v>
      </c>
      <c r="D68" s="12" t="s">
        <v>77</v>
      </c>
      <c r="E68" s="12" t="s">
        <v>359</v>
      </c>
      <c r="F68" s="12" t="s">
        <v>363</v>
      </c>
      <c r="G68" s="12" t="s">
        <v>364</v>
      </c>
      <c r="H68" s="34" t="s">
        <v>365</v>
      </c>
      <c r="I68" s="12" t="s">
        <v>82</v>
      </c>
      <c r="J68" s="12" t="s">
        <v>106</v>
      </c>
      <c r="K68" s="18">
        <v>0</v>
      </c>
      <c r="L68" s="18">
        <v>0</v>
      </c>
      <c r="M68" s="12" t="s">
        <v>188</v>
      </c>
      <c r="N68" s="35">
        <v>133512</v>
      </c>
      <c r="O68" s="35">
        <v>0</v>
      </c>
      <c r="P68" s="35">
        <v>0</v>
      </c>
      <c r="Q68" s="35">
        <v>0</v>
      </c>
      <c r="R68" s="18">
        <f>N68-O68</f>
        <v>133512.0</v>
      </c>
      <c r="S68" s="18">
        <f>O68-P68</f>
        <v>0.0</v>
      </c>
      <c r="T68" s="18">
        <f>N68-Q68</f>
        <v>133512.0</v>
      </c>
      <c r="U68" s="36">
        <f>IF(N68&gt;0,Q68/N68,0)</f>
        <v>0.0</v>
      </c>
      <c r="V68" s="35">
        <v>14884752.86</v>
      </c>
      <c r="W68" s="35">
        <v>14726875.29</v>
      </c>
      <c r="X68" s="36">
        <v>0.9893933361551291</v>
      </c>
      <c r="Y68" s="17" t="s">
        <v>151</v>
      </c>
      <c r="Z68" s="17" t="s">
        <v>168</v>
      </c>
      <c r="AA68" s="12" t="s">
        <v>99</v>
      </c>
      <c r="AB68" s="12" t="s">
        <v>99</v>
      </c>
      <c r="AC68" s="12" t="s">
        <v>99</v>
      </c>
      <c r="AD68" s="12" t="s">
        <v>99</v>
      </c>
      <c r="AE68" s="12" t="s">
        <v>86</v>
      </c>
      <c r="AF68" s="12" t="s">
        <v>87</v>
      </c>
      <c r="AG68" s="18">
        <v>100</v>
      </c>
      <c r="AH68" s="12" t="s">
        <v>182</v>
      </c>
      <c r="AI68" s="12" t="s">
        <v>89</v>
      </c>
      <c r="AJ68" s="12" t="s">
        <v>89</v>
      </c>
      <c r="AK68" s="12" t="s">
        <v>366</v>
      </c>
      <c r="AL68" s="12" t="s">
        <v>89</v>
      </c>
      <c r="AM68" s="12" t="s">
        <v>91</v>
      </c>
      <c r="AN68" s="17" t="s">
        <v>87</v>
      </c>
    </row>
    <row r="69" spans="1:40">
      <c r="A69" s="12" t="s">
        <v>74</v>
      </c>
      <c r="B69" s="12" t="s">
        <v>75</v>
      </c>
      <c r="C69" s="12" t="s">
        <v>76</v>
      </c>
      <c r="D69" s="12" t="s">
        <v>367</v>
      </c>
      <c r="E69" s="12" t="s">
        <v>78</v>
      </c>
      <c r="F69" s="12" t="s">
        <v>368</v>
      </c>
      <c r="G69" s="12" t="s">
        <v>369</v>
      </c>
      <c r="H69" s="34" t="s">
        <v>370</v>
      </c>
      <c r="I69" s="12" t="s">
        <v>82</v>
      </c>
      <c r="J69" s="12" t="s">
        <v>272</v>
      </c>
      <c r="K69" s="18">
        <v>617941.4299999997</v>
      </c>
      <c r="L69" s="18">
        <v>0</v>
      </c>
      <c r="M69" s="12" t="s">
        <v>371</v>
      </c>
      <c r="N69" s="35">
        <v>8256172</v>
      </c>
      <c r="O69" s="35">
        <v>7558918.91</v>
      </c>
      <c r="P69" s="35">
        <v>5777278.370000001</v>
      </c>
      <c r="Q69" s="35">
        <v>4485721.810000001</v>
      </c>
      <c r="R69" s="18">
        <f>N69-O69</f>
        <v>697253.0899999999</v>
      </c>
      <c r="S69" s="18">
        <f>O69-P69</f>
        <v>1781640.539999999</v>
      </c>
      <c r="T69" s="18">
        <f>N69-Q69</f>
        <v>3770450.1899999995</v>
      </c>
      <c r="U69" s="36">
        <f>IF(N69&gt;0,Q69/N69,0)</f>
        <v>0.5433173884943289</v>
      </c>
      <c r="V69" s="35">
        <v>24125881.86</v>
      </c>
      <c r="W69" s="35">
        <v>11090013.55</v>
      </c>
      <c r="X69" s="36">
        <v>0.4596728780466639</v>
      </c>
      <c r="Y69" s="35">
        <v>7638230.57</v>
      </c>
      <c r="Z69" s="17" t="s">
        <v>236</v>
      </c>
      <c r="AA69" s="35">
        <v>9468125</v>
      </c>
      <c r="AB69" s="35">
        <v>933429</v>
      </c>
      <c r="AC69" s="35">
        <v>6042788</v>
      </c>
      <c r="AD69" s="35">
        <v>2500000</v>
      </c>
      <c r="AE69" s="12" t="s">
        <v>86</v>
      </c>
      <c r="AF69" s="12" t="s">
        <v>87</v>
      </c>
      <c r="AG69" s="18">
        <v>40.13</v>
      </c>
      <c r="AH69" s="12" t="s">
        <v>114</v>
      </c>
      <c r="AI69" s="12" t="s">
        <v>89</v>
      </c>
      <c r="AJ69" s="12" t="s">
        <v>89</v>
      </c>
      <c r="AK69" s="12" t="s">
        <v>89</v>
      </c>
      <c r="AL69" s="12" t="s">
        <v>127</v>
      </c>
      <c r="AM69" s="12" t="s">
        <v>91</v>
      </c>
      <c r="AN69" s="17" t="s">
        <v>92</v>
      </c>
    </row>
    <row r="70" spans="1:40">
      <c r="A70" s="12" t="s">
        <v>74</v>
      </c>
      <c r="B70" s="12" t="s">
        <v>75</v>
      </c>
      <c r="C70" s="12" t="s">
        <v>76</v>
      </c>
      <c r="D70" s="12" t="s">
        <v>367</v>
      </c>
      <c r="E70" s="12" t="s">
        <v>78</v>
      </c>
      <c r="F70" s="12" t="s">
        <v>372</v>
      </c>
      <c r="G70" s="12" t="s">
        <v>373</v>
      </c>
      <c r="H70" s="34" t="s">
        <v>374</v>
      </c>
      <c r="I70" s="12" t="s">
        <v>82</v>
      </c>
      <c r="J70" s="12" t="s">
        <v>96</v>
      </c>
      <c r="K70" s="18">
        <v>190</v>
      </c>
      <c r="L70" s="18">
        <v>6993828</v>
      </c>
      <c r="M70" s="12" t="s">
        <v>375</v>
      </c>
      <c r="N70" s="35">
        <v>7374992</v>
      </c>
      <c r="O70" s="35">
        <v>7374802</v>
      </c>
      <c r="P70" s="35">
        <v>0</v>
      </c>
      <c r="Q70" s="35">
        <v>0</v>
      </c>
      <c r="R70" s="18">
        <f>N70-O70</f>
        <v>190.0</v>
      </c>
      <c r="S70" s="18">
        <f>O70-P70</f>
        <v>7374802.0</v>
      </c>
      <c r="T70" s="18">
        <f>N70-Q70</f>
        <v>7374992.0</v>
      </c>
      <c r="U70" s="36">
        <f>IF(N70&gt;0,Q70/N70,0)</f>
        <v>0.0</v>
      </c>
      <c r="V70" s="35">
        <v>28710803.34</v>
      </c>
      <c r="W70" s="35">
        <v>1373606.27</v>
      </c>
      <c r="X70" s="36">
        <v>0.04784283650072189</v>
      </c>
      <c r="Y70" s="35">
        <v>380974</v>
      </c>
      <c r="Z70" s="17" t="s">
        <v>376</v>
      </c>
      <c r="AA70" s="35">
        <v>8000000</v>
      </c>
      <c r="AB70" s="35">
        <v>8258658</v>
      </c>
      <c r="AC70" s="35">
        <v>10741348</v>
      </c>
      <c r="AD70" s="35">
        <v>1075057</v>
      </c>
      <c r="AE70" s="12" t="s">
        <v>86</v>
      </c>
      <c r="AF70" s="12" t="s">
        <v>87</v>
      </c>
      <c r="AG70" s="18">
        <v>-1</v>
      </c>
      <c r="AH70" s="12" t="s">
        <v>145</v>
      </c>
      <c r="AI70" s="12" t="s">
        <v>89</v>
      </c>
      <c r="AJ70" s="12" t="s">
        <v>89</v>
      </c>
      <c r="AK70" s="12" t="s">
        <v>89</v>
      </c>
      <c r="AL70" s="12" t="s">
        <v>101</v>
      </c>
      <c r="AM70" s="12" t="s">
        <v>91</v>
      </c>
      <c r="AN70" s="17" t="s">
        <v>92</v>
      </c>
    </row>
    <row r="71" spans="1:40">
      <c r="A71" s="12" t="s">
        <v>74</v>
      </c>
      <c r="B71" s="12" t="s">
        <v>75</v>
      </c>
      <c r="C71" s="12" t="s">
        <v>76</v>
      </c>
      <c r="D71" s="12" t="s">
        <v>367</v>
      </c>
      <c r="E71" s="12" t="s">
        <v>78</v>
      </c>
      <c r="F71" s="12" t="s">
        <v>377</v>
      </c>
      <c r="G71" s="12" t="s">
        <v>378</v>
      </c>
      <c r="H71" s="34" t="s">
        <v>379</v>
      </c>
      <c r="I71" s="12" t="s">
        <v>82</v>
      </c>
      <c r="J71" s="12" t="s">
        <v>272</v>
      </c>
      <c r="K71" s="18">
        <v>210271.1900000004</v>
      </c>
      <c r="L71" s="18">
        <v>1463593.729999999</v>
      </c>
      <c r="M71" s="12" t="s">
        <v>380</v>
      </c>
      <c r="N71" s="35">
        <v>6997430</v>
      </c>
      <c r="O71" s="35">
        <v>6787158.81</v>
      </c>
      <c r="P71" s="35">
        <v>5323565.080000001</v>
      </c>
      <c r="Q71" s="35">
        <v>2630352.42</v>
      </c>
      <c r="R71" s="18">
        <f>N71-O71</f>
        <v>210271.1900000004</v>
      </c>
      <c r="S71" s="18">
        <f>O71-P71</f>
        <v>1463593.7299999986</v>
      </c>
      <c r="T71" s="18">
        <f>N71-Q71</f>
        <v>4367077.58</v>
      </c>
      <c r="U71" s="36">
        <f>IF(N71&gt;0,Q71/N71,0)</f>
        <v>0.375902641398342</v>
      </c>
      <c r="V71" s="35">
        <v>41218033.61</v>
      </c>
      <c r="W71" s="35">
        <v>8444001.859999999</v>
      </c>
      <c r="X71" s="36">
        <v>0.2048618315928439</v>
      </c>
      <c r="Y71" s="35">
        <v>3621470.01</v>
      </c>
      <c r="Z71" s="17" t="s">
        <v>98</v>
      </c>
      <c r="AA71" s="35">
        <v>8000000</v>
      </c>
      <c r="AB71" s="35">
        <v>10256256</v>
      </c>
      <c r="AC71" s="35">
        <v>15069544</v>
      </c>
      <c r="AD71" s="35">
        <v>4478827</v>
      </c>
      <c r="AE71" s="12" t="s">
        <v>86</v>
      </c>
      <c r="AF71" s="12" t="s">
        <v>87</v>
      </c>
      <c r="AG71" s="18">
        <v>7.56</v>
      </c>
      <c r="AH71" s="12" t="s">
        <v>140</v>
      </c>
      <c r="AI71" s="12" t="s">
        <v>89</v>
      </c>
      <c r="AJ71" s="12" t="s">
        <v>89</v>
      </c>
      <c r="AK71" s="12" t="s">
        <v>89</v>
      </c>
      <c r="AL71" s="12" t="s">
        <v>127</v>
      </c>
      <c r="AM71" s="12" t="s">
        <v>91</v>
      </c>
      <c r="AN71" s="17" t="s">
        <v>92</v>
      </c>
    </row>
    <row r="72" spans="1:40">
      <c r="A72" s="12" t="s">
        <v>74</v>
      </c>
      <c r="B72" s="12" t="s">
        <v>75</v>
      </c>
      <c r="C72" s="12" t="s">
        <v>76</v>
      </c>
      <c r="D72" s="12" t="s">
        <v>367</v>
      </c>
      <c r="E72" s="12" t="s">
        <v>78</v>
      </c>
      <c r="F72" s="12" t="s">
        <v>381</v>
      </c>
      <c r="G72" s="12" t="s">
        <v>382</v>
      </c>
      <c r="H72" s="34" t="s">
        <v>383</v>
      </c>
      <c r="I72" s="12" t="s">
        <v>82</v>
      </c>
      <c r="J72" s="12" t="s">
        <v>83</v>
      </c>
      <c r="K72" s="18">
        <v>0</v>
      </c>
      <c r="L72" s="18">
        <v>0</v>
      </c>
      <c r="M72" s="12" t="s">
        <v>84</v>
      </c>
      <c r="N72" s="35">
        <v>6688287</v>
      </c>
      <c r="O72" s="35">
        <v>6161937.919999998</v>
      </c>
      <c r="P72" s="35">
        <v>4951426.74</v>
      </c>
      <c r="Q72" s="35">
        <v>3692512.7</v>
      </c>
      <c r="R72" s="18">
        <f>N72-O72</f>
        <v>526349.0800000019</v>
      </c>
      <c r="S72" s="18">
        <f>O72-P72</f>
        <v>1210511.1799999978</v>
      </c>
      <c r="T72" s="18">
        <f>N72-Q72</f>
        <v>2995774.3000000003</v>
      </c>
      <c r="U72" s="36">
        <f>IF(N72&gt;0,Q72/N72,0)</f>
        <v>0.5520864610026454</v>
      </c>
      <c r="V72" s="35">
        <v>11592947.85</v>
      </c>
      <c r="W72" s="35">
        <v>8612239.18</v>
      </c>
      <c r="X72" s="36">
        <v>0.7428860451571858</v>
      </c>
      <c r="Y72" s="35">
        <v>6688287</v>
      </c>
      <c r="Z72" s="17" t="s">
        <v>113</v>
      </c>
      <c r="AA72" s="35">
        <v>2822702</v>
      </c>
      <c r="AB72" s="35">
        <v>65844</v>
      </c>
      <c r="AC72" s="35">
        <v>0</v>
      </c>
      <c r="AD72" s="35">
        <v>0</v>
      </c>
      <c r="AE72" s="12" t="s">
        <v>86</v>
      </c>
      <c r="AF72" s="12" t="s">
        <v>87</v>
      </c>
      <c r="AG72" s="18">
        <v>78.59</v>
      </c>
      <c r="AH72" s="12" t="s">
        <v>114</v>
      </c>
      <c r="AI72" s="12" t="s">
        <v>89</v>
      </c>
      <c r="AJ72" s="12" t="s">
        <v>89</v>
      </c>
      <c r="AK72" s="12" t="s">
        <v>89</v>
      </c>
      <c r="AL72" s="12" t="s">
        <v>127</v>
      </c>
      <c r="AM72" s="12" t="s">
        <v>384</v>
      </c>
      <c r="AN72" s="17" t="s">
        <v>92</v>
      </c>
    </row>
    <row r="73" spans="1:40">
      <c r="A73" s="12" t="s">
        <v>74</v>
      </c>
      <c r="B73" s="12" t="s">
        <v>75</v>
      </c>
      <c r="C73" s="12" t="s">
        <v>76</v>
      </c>
      <c r="D73" s="12" t="s">
        <v>367</v>
      </c>
      <c r="E73" s="12" t="s">
        <v>78</v>
      </c>
      <c r="F73" s="12" t="s">
        <v>385</v>
      </c>
      <c r="G73" s="12" t="s">
        <v>386</v>
      </c>
      <c r="H73" s="34" t="s">
        <v>387</v>
      </c>
      <c r="I73" s="12" t="s">
        <v>82</v>
      </c>
      <c r="J73" s="12" t="s">
        <v>83</v>
      </c>
      <c r="K73" s="18">
        <v>0</v>
      </c>
      <c r="L73" s="18">
        <v>0</v>
      </c>
      <c r="M73" s="12" t="s">
        <v>84</v>
      </c>
      <c r="N73" s="35">
        <v>3318026</v>
      </c>
      <c r="O73" s="35">
        <v>3164071.57</v>
      </c>
      <c r="P73" s="35">
        <v>2893837.57</v>
      </c>
      <c r="Q73" s="35">
        <v>2243366.709999999</v>
      </c>
      <c r="R73" s="18">
        <f>N73-O73</f>
        <v>153954.4299999997</v>
      </c>
      <c r="S73" s="18">
        <f>O73-P73</f>
        <v>270234.0</v>
      </c>
      <c r="T73" s="18">
        <f>N73-Q73</f>
        <v>1074659.2900000005</v>
      </c>
      <c r="U73" s="36">
        <f>IF(N73&gt;0,Q73/N73,0)</f>
        <v>0.6761148676954308</v>
      </c>
      <c r="V73" s="35">
        <v>5512024.64</v>
      </c>
      <c r="W73" s="35">
        <v>4177403.28</v>
      </c>
      <c r="X73" s="36">
        <v>0.7578709372387711</v>
      </c>
      <c r="Y73" s="35">
        <v>3530651</v>
      </c>
      <c r="Z73" s="17" t="s">
        <v>284</v>
      </c>
      <c r="AA73" s="35">
        <v>821892</v>
      </c>
      <c r="AB73" s="35">
        <v>47336</v>
      </c>
      <c r="AC73" s="35">
        <v>0</v>
      </c>
      <c r="AD73" s="35">
        <v>0</v>
      </c>
      <c r="AE73" s="12" t="s">
        <v>86</v>
      </c>
      <c r="AF73" s="12" t="s">
        <v>87</v>
      </c>
      <c r="AG73" s="18">
        <v>53.28</v>
      </c>
      <c r="AH73" s="12" t="s">
        <v>388</v>
      </c>
      <c r="AI73" s="12" t="s">
        <v>89</v>
      </c>
      <c r="AJ73" s="12" t="s">
        <v>89</v>
      </c>
      <c r="AK73" s="12" t="s">
        <v>89</v>
      </c>
      <c r="AL73" s="12" t="s">
        <v>127</v>
      </c>
      <c r="AM73" s="12" t="s">
        <v>389</v>
      </c>
      <c r="AN73" s="17" t="s">
        <v>92</v>
      </c>
    </row>
    <row r="74" spans="1:40">
      <c r="A74" s="12" t="s">
        <v>74</v>
      </c>
      <c r="B74" s="12" t="s">
        <v>75</v>
      </c>
      <c r="C74" s="12" t="s">
        <v>76</v>
      </c>
      <c r="D74" s="12" t="s">
        <v>367</v>
      </c>
      <c r="E74" s="12" t="s">
        <v>78</v>
      </c>
      <c r="F74" s="12" t="s">
        <v>390</v>
      </c>
      <c r="G74" s="12" t="s">
        <v>391</v>
      </c>
      <c r="H74" s="34" t="s">
        <v>392</v>
      </c>
      <c r="I74" s="12" t="s">
        <v>82</v>
      </c>
      <c r="J74" s="12" t="s">
        <v>149</v>
      </c>
      <c r="K74" s="18">
        <v>0</v>
      </c>
      <c r="L74" s="18">
        <v>0</v>
      </c>
      <c r="M74" s="12" t="s">
        <v>150</v>
      </c>
      <c r="N74" s="35">
        <v>0</v>
      </c>
      <c r="O74" s="35">
        <v>0</v>
      </c>
      <c r="P74" s="35">
        <v>0</v>
      </c>
      <c r="Q74" s="35">
        <v>0</v>
      </c>
      <c r="R74" s="18">
        <f>N74-O74</f>
        <v>0.0</v>
      </c>
      <c r="S74" s="18">
        <f>O74-P74</f>
        <v>0.0</v>
      </c>
      <c r="T74" s="18">
        <f>N74-Q74</f>
        <v>0.0</v>
      </c>
      <c r="U74" s="36">
        <f>IF(N74&gt;0,Q74/N74,0)</f>
        <v>0</v>
      </c>
      <c r="V74" s="35">
        <v>45458471.37</v>
      </c>
      <c r="W74" s="35">
        <v>1709481.55</v>
      </c>
      <c r="X74" s="36">
        <v>0.03760534612099078</v>
      </c>
      <c r="Y74" s="17" t="s">
        <v>151</v>
      </c>
      <c r="Z74" s="17" t="s">
        <v>122</v>
      </c>
      <c r="AA74" s="35">
        <v>12571000</v>
      </c>
      <c r="AB74" s="35">
        <v>5987564</v>
      </c>
      <c r="AC74" s="35">
        <v>16094501</v>
      </c>
      <c r="AD74" s="35">
        <v>22576094</v>
      </c>
      <c r="AE74" s="12" t="s">
        <v>86</v>
      </c>
      <c r="AF74" s="12" t="s">
        <v>87</v>
      </c>
      <c r="AG74" s="18">
        <v>-1</v>
      </c>
      <c r="AH74" s="12" t="s">
        <v>145</v>
      </c>
      <c r="AI74" s="12" t="s">
        <v>89</v>
      </c>
      <c r="AJ74" s="12" t="s">
        <v>89</v>
      </c>
      <c r="AK74" s="12" t="s">
        <v>89</v>
      </c>
      <c r="AL74" s="12" t="s">
        <v>127</v>
      </c>
      <c r="AM74" s="12" t="s">
        <v>91</v>
      </c>
      <c r="AN74" s="17" t="s">
        <v>92</v>
      </c>
    </row>
    <row r="75" spans="1:40">
      <c r="A75" s="12" t="s">
        <v>74</v>
      </c>
      <c r="B75" s="12" t="s">
        <v>75</v>
      </c>
      <c r="C75" s="12" t="s">
        <v>76</v>
      </c>
      <c r="D75" s="12" t="s">
        <v>367</v>
      </c>
      <c r="E75" s="12" t="s">
        <v>102</v>
      </c>
      <c r="F75" s="12" t="s">
        <v>393</v>
      </c>
      <c r="G75" s="12" t="s">
        <v>394</v>
      </c>
      <c r="H75" s="34" t="s">
        <v>395</v>
      </c>
      <c r="I75" s="12" t="s">
        <v>82</v>
      </c>
      <c r="J75" s="12" t="s">
        <v>83</v>
      </c>
      <c r="K75" s="18">
        <v>0</v>
      </c>
      <c r="L75" s="18">
        <v>0</v>
      </c>
      <c r="M75" s="12" t="s">
        <v>84</v>
      </c>
      <c r="N75" s="35">
        <v>21914154</v>
      </c>
      <c r="O75" s="35">
        <v>21779068.05999999</v>
      </c>
      <c r="P75" s="35">
        <v>20527324.14</v>
      </c>
      <c r="Q75" s="35">
        <v>15564867.44</v>
      </c>
      <c r="R75" s="18">
        <f>N75-O75</f>
        <v>135085.94000000507</v>
      </c>
      <c r="S75" s="18">
        <f>O75-P75</f>
        <v>1251743.919999998</v>
      </c>
      <c r="T75" s="18">
        <f>N75-Q75</f>
        <v>6349286.559999997</v>
      </c>
      <c r="U75" s="36">
        <f>IF(N75&gt;0,Q75/N75,0)</f>
        <v>0.710265495076835</v>
      </c>
      <c r="V75" s="35">
        <v>60021872.82</v>
      </c>
      <c r="W75" s="35">
        <v>48106423.26</v>
      </c>
      <c r="X75" s="36">
        <v>0.8014815433078317</v>
      </c>
      <c r="Y75" s="35">
        <v>21914154</v>
      </c>
      <c r="Z75" s="17" t="s">
        <v>225</v>
      </c>
      <c r="AA75" s="35">
        <v>11955231</v>
      </c>
      <c r="AB75" s="35">
        <v>2500000</v>
      </c>
      <c r="AC75" s="35">
        <v>3884089</v>
      </c>
      <c r="AD75" s="35">
        <v>0</v>
      </c>
      <c r="AE75" s="12" t="s">
        <v>86</v>
      </c>
      <c r="AF75" s="12" t="s">
        <v>87</v>
      </c>
      <c r="AG75" s="18">
        <v>83.52</v>
      </c>
      <c r="AH75" s="12" t="s">
        <v>396</v>
      </c>
      <c r="AI75" s="12" t="s">
        <v>89</v>
      </c>
      <c r="AJ75" s="12" t="s">
        <v>89</v>
      </c>
      <c r="AK75" s="12" t="s">
        <v>89</v>
      </c>
      <c r="AL75" s="12" t="s">
        <v>127</v>
      </c>
      <c r="AM75" s="12" t="s">
        <v>91</v>
      </c>
      <c r="AN75" s="17" t="s">
        <v>92</v>
      </c>
    </row>
    <row r="76" spans="1:40">
      <c r="A76" s="12" t="s">
        <v>74</v>
      </c>
      <c r="B76" s="12" t="s">
        <v>75</v>
      </c>
      <c r="C76" s="12" t="s">
        <v>76</v>
      </c>
      <c r="D76" s="12" t="s">
        <v>367</v>
      </c>
      <c r="E76" s="12" t="s">
        <v>102</v>
      </c>
      <c r="F76" s="12" t="s">
        <v>397</v>
      </c>
      <c r="G76" s="12" t="s">
        <v>398</v>
      </c>
      <c r="H76" s="34" t="s">
        <v>399</v>
      </c>
      <c r="I76" s="12" t="s">
        <v>82</v>
      </c>
      <c r="J76" s="12" t="s">
        <v>83</v>
      </c>
      <c r="K76" s="18">
        <v>0</v>
      </c>
      <c r="L76" s="18">
        <v>0</v>
      </c>
      <c r="M76" s="12" t="s">
        <v>84</v>
      </c>
      <c r="N76" s="35">
        <v>22276780</v>
      </c>
      <c r="O76" s="35">
        <v>17932576.21</v>
      </c>
      <c r="P76" s="35">
        <v>17729621.72</v>
      </c>
      <c r="Q76" s="35">
        <v>15417466.05</v>
      </c>
      <c r="R76" s="18">
        <f>N76-O76</f>
        <v>4344203.789999999</v>
      </c>
      <c r="S76" s="18">
        <f>O76-P76</f>
        <v>202954.4900000021</v>
      </c>
      <c r="T76" s="18">
        <f>N76-Q76</f>
        <v>6859313.950000003</v>
      </c>
      <c r="U76" s="36">
        <f>IF(N76&gt;0,Q76/N76,0)</f>
        <v>0.6920868298739763</v>
      </c>
      <c r="V76" s="35">
        <v>77506341.91</v>
      </c>
      <c r="W76" s="35">
        <v>30108888.23</v>
      </c>
      <c r="X76" s="36">
        <v>0.3884699946871741</v>
      </c>
      <c r="Y76" s="35">
        <v>22276780</v>
      </c>
      <c r="Z76" s="17" t="s">
        <v>108</v>
      </c>
      <c r="AA76" s="35">
        <v>15800000</v>
      </c>
      <c r="AB76" s="35">
        <v>14789542</v>
      </c>
      <c r="AC76" s="35">
        <v>15918407</v>
      </c>
      <c r="AD76" s="35">
        <v>10295229</v>
      </c>
      <c r="AE76" s="12" t="s">
        <v>86</v>
      </c>
      <c r="AF76" s="12" t="s">
        <v>87</v>
      </c>
      <c r="AG76" s="18">
        <v>22.25</v>
      </c>
      <c r="AH76" s="12" t="s">
        <v>140</v>
      </c>
      <c r="AI76" s="12" t="s">
        <v>89</v>
      </c>
      <c r="AJ76" s="12" t="s">
        <v>89</v>
      </c>
      <c r="AK76" s="12" t="s">
        <v>89</v>
      </c>
      <c r="AL76" s="12" t="s">
        <v>127</v>
      </c>
      <c r="AM76" s="12" t="s">
        <v>91</v>
      </c>
      <c r="AN76" s="17" t="s">
        <v>92</v>
      </c>
    </row>
    <row r="77" spans="1:40">
      <c r="A77" s="12" t="s">
        <v>74</v>
      </c>
      <c r="B77" s="12" t="s">
        <v>75</v>
      </c>
      <c r="C77" s="12" t="s">
        <v>76</v>
      </c>
      <c r="D77" s="12" t="s">
        <v>367</v>
      </c>
      <c r="E77" s="12" t="s">
        <v>102</v>
      </c>
      <c r="F77" s="12" t="s">
        <v>400</v>
      </c>
      <c r="G77" s="12" t="s">
        <v>401</v>
      </c>
      <c r="H77" s="34" t="s">
        <v>402</v>
      </c>
      <c r="I77" s="12" t="s">
        <v>82</v>
      </c>
      <c r="J77" s="12" t="s">
        <v>83</v>
      </c>
      <c r="K77" s="18">
        <v>0</v>
      </c>
      <c r="L77" s="18">
        <v>0</v>
      </c>
      <c r="M77" s="12" t="s">
        <v>84</v>
      </c>
      <c r="N77" s="35">
        <v>17354707</v>
      </c>
      <c r="O77" s="35">
        <v>17160547.41999999</v>
      </c>
      <c r="P77" s="35">
        <v>13398256.72</v>
      </c>
      <c r="Q77" s="35">
        <v>8610007.65</v>
      </c>
      <c r="R77" s="18">
        <f>N77-O77</f>
        <v>194159.58000000566</v>
      </c>
      <c r="S77" s="18">
        <f>O77-P77</f>
        <v>3762290.6999999974</v>
      </c>
      <c r="T77" s="18">
        <f>N77-Q77</f>
        <v>8744699.35</v>
      </c>
      <c r="U77" s="36">
        <f>IF(N77&gt;0,Q77/N77,0)</f>
        <v>0.49611944759424637</v>
      </c>
      <c r="V77" s="35">
        <v>34997220.02</v>
      </c>
      <c r="W77" s="35">
        <v>20867054.56</v>
      </c>
      <c r="X77" s="36">
        <v>0.5962489177161792</v>
      </c>
      <c r="Y77" s="35">
        <v>17708320</v>
      </c>
      <c r="Z77" s="17" t="s">
        <v>113</v>
      </c>
      <c r="AA77" s="35">
        <v>12500000</v>
      </c>
      <c r="AB77" s="35">
        <v>4806839</v>
      </c>
      <c r="AC77" s="35">
        <v>753613</v>
      </c>
      <c r="AD77" s="35">
        <v>0</v>
      </c>
      <c r="AE77" s="12" t="s">
        <v>86</v>
      </c>
      <c r="AF77" s="12" t="s">
        <v>87</v>
      </c>
      <c r="AG77" s="18">
        <v>36.45</v>
      </c>
      <c r="AH77" s="12" t="s">
        <v>114</v>
      </c>
      <c r="AI77" s="12" t="s">
        <v>89</v>
      </c>
      <c r="AJ77" s="12" t="s">
        <v>89</v>
      </c>
      <c r="AK77" s="12" t="s">
        <v>89</v>
      </c>
      <c r="AL77" s="12" t="s">
        <v>127</v>
      </c>
      <c r="AM77" s="12" t="s">
        <v>91</v>
      </c>
      <c r="AN77" s="17" t="s">
        <v>92</v>
      </c>
    </row>
    <row r="78" spans="1:40">
      <c r="A78" s="12" t="s">
        <v>74</v>
      </c>
      <c r="B78" s="12" t="s">
        <v>75</v>
      </c>
      <c r="C78" s="12" t="s">
        <v>76</v>
      </c>
      <c r="D78" s="12" t="s">
        <v>367</v>
      </c>
      <c r="E78" s="12" t="s">
        <v>102</v>
      </c>
      <c r="F78" s="12" t="s">
        <v>403</v>
      </c>
      <c r="G78" s="12" t="s">
        <v>404</v>
      </c>
      <c r="H78" s="34" t="s">
        <v>405</v>
      </c>
      <c r="I78" s="12" t="s">
        <v>82</v>
      </c>
      <c r="J78" s="12" t="s">
        <v>83</v>
      </c>
      <c r="K78" s="18">
        <v>0</v>
      </c>
      <c r="L78" s="18">
        <v>0</v>
      </c>
      <c r="M78" s="12" t="s">
        <v>84</v>
      </c>
      <c r="N78" s="35">
        <v>19795501</v>
      </c>
      <c r="O78" s="35">
        <v>19793411.72</v>
      </c>
      <c r="P78" s="35">
        <v>18134194.74</v>
      </c>
      <c r="Q78" s="35">
        <v>14545766.24</v>
      </c>
      <c r="R78" s="18">
        <f>N78-O78</f>
        <v>2089.280000001192</v>
      </c>
      <c r="S78" s="18">
        <f>O78-P78</f>
        <v>1659216.9799999967</v>
      </c>
      <c r="T78" s="18">
        <f>N78-Q78</f>
        <v>5249734.7600000035</v>
      </c>
      <c r="U78" s="36">
        <f>IF(N78&gt;0,Q78/N78,0)</f>
        <v>0.7348016218432661</v>
      </c>
      <c r="V78" s="35">
        <v>51728972.02</v>
      </c>
      <c r="W78" s="35">
        <v>39939805.95</v>
      </c>
      <c r="X78" s="36">
        <v>0.7720974222058395</v>
      </c>
      <c r="Y78" s="35">
        <v>20495501</v>
      </c>
      <c r="Z78" s="17" t="s">
        <v>108</v>
      </c>
      <c r="AA78" s="35">
        <v>9609000</v>
      </c>
      <c r="AB78" s="35">
        <v>897867</v>
      </c>
      <c r="AC78" s="35">
        <v>6124874</v>
      </c>
      <c r="AD78" s="35">
        <v>0</v>
      </c>
      <c r="AE78" s="12" t="s">
        <v>86</v>
      </c>
      <c r="AF78" s="12" t="s">
        <v>87</v>
      </c>
      <c r="AG78" s="18">
        <v>60.91</v>
      </c>
      <c r="AH78" s="12" t="s">
        <v>114</v>
      </c>
      <c r="AI78" s="12" t="s">
        <v>89</v>
      </c>
      <c r="AJ78" s="12" t="s">
        <v>89</v>
      </c>
      <c r="AK78" s="12" t="s">
        <v>89</v>
      </c>
      <c r="AL78" s="12" t="s">
        <v>127</v>
      </c>
      <c r="AM78" s="12" t="s">
        <v>91</v>
      </c>
      <c r="AN78" s="17" t="s">
        <v>92</v>
      </c>
    </row>
    <row r="79" spans="1:40">
      <c r="A79" s="12" t="s">
        <v>74</v>
      </c>
      <c r="B79" s="12" t="s">
        <v>75</v>
      </c>
      <c r="C79" s="12" t="s">
        <v>76</v>
      </c>
      <c r="D79" s="12" t="s">
        <v>367</v>
      </c>
      <c r="E79" s="12" t="s">
        <v>102</v>
      </c>
      <c r="F79" s="12" t="s">
        <v>406</v>
      </c>
      <c r="G79" s="12" t="s">
        <v>407</v>
      </c>
      <c r="H79" s="34" t="s">
        <v>408</v>
      </c>
      <c r="I79" s="12" t="s">
        <v>82</v>
      </c>
      <c r="J79" s="12" t="s">
        <v>83</v>
      </c>
      <c r="K79" s="18">
        <v>0</v>
      </c>
      <c r="L79" s="18">
        <v>0</v>
      </c>
      <c r="M79" s="12" t="s">
        <v>84</v>
      </c>
      <c r="N79" s="35">
        <v>17241964</v>
      </c>
      <c r="O79" s="35">
        <v>17144704.56</v>
      </c>
      <c r="P79" s="35">
        <v>14900492.38</v>
      </c>
      <c r="Q79" s="35">
        <v>11639796.34</v>
      </c>
      <c r="R79" s="18">
        <f>N79-O79</f>
        <v>97259.43999999762</v>
      </c>
      <c r="S79" s="18">
        <f>O79-P79</f>
        <v>2244212.1799999997</v>
      </c>
      <c r="T79" s="18">
        <f>N79-Q79</f>
        <v>5602167.66</v>
      </c>
      <c r="U79" s="36">
        <f>IF(N79&gt;0,Q79/N79,0)</f>
        <v>0.6750852942275022</v>
      </c>
      <c r="V79" s="35">
        <v>48159010.94</v>
      </c>
      <c r="W79" s="35">
        <v>30106073.03</v>
      </c>
      <c r="X79" s="36">
        <v>0.6251389395747421</v>
      </c>
      <c r="Y79" s="35">
        <v>17241964</v>
      </c>
      <c r="Z79" s="17" t="s">
        <v>98</v>
      </c>
      <c r="AA79" s="35">
        <v>8016014</v>
      </c>
      <c r="AB79" s="35">
        <v>10000000</v>
      </c>
      <c r="AC79" s="35">
        <v>1057112</v>
      </c>
      <c r="AD79" s="35">
        <v>2541629</v>
      </c>
      <c r="AE79" s="12" t="s">
        <v>86</v>
      </c>
      <c r="AF79" s="12" t="s">
        <v>87</v>
      </c>
      <c r="AG79" s="18">
        <v>45.61</v>
      </c>
      <c r="AH79" s="12" t="s">
        <v>140</v>
      </c>
      <c r="AI79" s="12" t="s">
        <v>89</v>
      </c>
      <c r="AJ79" s="12" t="s">
        <v>89</v>
      </c>
      <c r="AK79" s="12" t="s">
        <v>89</v>
      </c>
      <c r="AL79" s="12" t="s">
        <v>127</v>
      </c>
      <c r="AM79" s="12" t="s">
        <v>91</v>
      </c>
      <c r="AN79" s="17" t="s">
        <v>92</v>
      </c>
    </row>
    <row r="80" spans="1:40">
      <c r="A80" s="12" t="s">
        <v>74</v>
      </c>
      <c r="B80" s="12" t="s">
        <v>75</v>
      </c>
      <c r="C80" s="12" t="s">
        <v>76</v>
      </c>
      <c r="D80" s="12" t="s">
        <v>367</v>
      </c>
      <c r="E80" s="12" t="s">
        <v>102</v>
      </c>
      <c r="F80" s="12" t="s">
        <v>409</v>
      </c>
      <c r="G80" s="12" t="s">
        <v>410</v>
      </c>
      <c r="H80" s="34" t="s">
        <v>411</v>
      </c>
      <c r="I80" s="12" t="s">
        <v>82</v>
      </c>
      <c r="J80" s="12" t="s">
        <v>272</v>
      </c>
      <c r="K80" s="18">
        <v>1045528.839999998</v>
      </c>
      <c r="L80" s="18">
        <v>193060.4600000028</v>
      </c>
      <c r="M80" s="12" t="s">
        <v>412</v>
      </c>
      <c r="N80" s="35">
        <v>15380884</v>
      </c>
      <c r="O80" s="35">
        <v>14335355.16</v>
      </c>
      <c r="P80" s="35">
        <v>11275906.71</v>
      </c>
      <c r="Q80" s="35">
        <v>9463521.460000003</v>
      </c>
      <c r="R80" s="18">
        <f>N80-O80</f>
        <v>1045528.839999998</v>
      </c>
      <c r="S80" s="18">
        <f>O80-P80</f>
        <v>3059448.4499999993</v>
      </c>
      <c r="T80" s="18">
        <f>N80-Q80</f>
        <v>5917362.539999997</v>
      </c>
      <c r="U80" s="36">
        <f>IF(N80&gt;0,Q80/N80,0)</f>
        <v>0.6152781244563058</v>
      </c>
      <c r="V80" s="35">
        <v>23417027.36</v>
      </c>
      <c r="W80" s="35">
        <v>13075371.71</v>
      </c>
      <c r="X80" s="36">
        <v>0.5583702623303423</v>
      </c>
      <c r="Y80" s="35">
        <v>14142294.7</v>
      </c>
      <c r="Z80" s="17" t="s">
        <v>98</v>
      </c>
      <c r="AA80" s="35">
        <v>6000000</v>
      </c>
      <c r="AB80" s="35">
        <v>3456765</v>
      </c>
      <c r="AC80" s="35">
        <v>1108030</v>
      </c>
      <c r="AD80" s="35">
        <v>0</v>
      </c>
      <c r="AE80" s="12" t="s">
        <v>86</v>
      </c>
      <c r="AF80" s="12" t="s">
        <v>87</v>
      </c>
      <c r="AG80" s="18">
        <v>50.46</v>
      </c>
      <c r="AH80" s="12" t="s">
        <v>114</v>
      </c>
      <c r="AI80" s="12" t="s">
        <v>89</v>
      </c>
      <c r="AJ80" s="12" t="s">
        <v>89</v>
      </c>
      <c r="AK80" s="12" t="s">
        <v>89</v>
      </c>
      <c r="AL80" s="12" t="s">
        <v>127</v>
      </c>
      <c r="AM80" s="12" t="s">
        <v>91</v>
      </c>
      <c r="AN80" s="17" t="s">
        <v>92</v>
      </c>
    </row>
    <row r="81" spans="1:40">
      <c r="A81" s="12" t="s">
        <v>74</v>
      </c>
      <c r="B81" s="12" t="s">
        <v>75</v>
      </c>
      <c r="C81" s="12" t="s">
        <v>76</v>
      </c>
      <c r="D81" s="12" t="s">
        <v>367</v>
      </c>
      <c r="E81" s="12" t="s">
        <v>102</v>
      </c>
      <c r="F81" s="12" t="s">
        <v>413</v>
      </c>
      <c r="G81" s="12" t="s">
        <v>414</v>
      </c>
      <c r="H81" s="34" t="s">
        <v>415</v>
      </c>
      <c r="I81" s="12" t="s">
        <v>82</v>
      </c>
      <c r="J81" s="12" t="s">
        <v>83</v>
      </c>
      <c r="K81" s="18">
        <v>0</v>
      </c>
      <c r="L81" s="18">
        <v>0</v>
      </c>
      <c r="M81" s="12" t="s">
        <v>84</v>
      </c>
      <c r="N81" s="35">
        <v>9666000</v>
      </c>
      <c r="O81" s="35">
        <v>9227635.33</v>
      </c>
      <c r="P81" s="35">
        <v>6903258.680000001</v>
      </c>
      <c r="Q81" s="35">
        <v>5594991.060000001</v>
      </c>
      <c r="R81" s="18">
        <f>N81-O81</f>
        <v>438364.6699999999</v>
      </c>
      <c r="S81" s="18">
        <f>O81-P81</f>
        <v>2324376.6499999994</v>
      </c>
      <c r="T81" s="18">
        <f>N81-Q81</f>
        <v>4071008.9399999985</v>
      </c>
      <c r="U81" s="36">
        <f>IF(N81&gt;0,Q81/N81,0)</f>
        <v>0.5788320980757296</v>
      </c>
      <c r="V81" s="35">
        <v>21985707.42</v>
      </c>
      <c r="W81" s="35">
        <v>15354564.18</v>
      </c>
      <c r="X81" s="36">
        <v>0.6983884524012282</v>
      </c>
      <c r="Y81" s="35">
        <v>9666000</v>
      </c>
      <c r="Z81" s="17" t="s">
        <v>225</v>
      </c>
      <c r="AA81" s="35">
        <v>7546000</v>
      </c>
      <c r="AB81" s="35">
        <v>1410563</v>
      </c>
      <c r="AC81" s="35">
        <v>1509243</v>
      </c>
      <c r="AD81" s="35">
        <v>0</v>
      </c>
      <c r="AE81" s="12" t="s">
        <v>86</v>
      </c>
      <c r="AF81" s="12" t="s">
        <v>87</v>
      </c>
      <c r="AG81" s="18">
        <v>36.67</v>
      </c>
      <c r="AH81" s="12" t="s">
        <v>109</v>
      </c>
      <c r="AI81" s="12" t="s">
        <v>89</v>
      </c>
      <c r="AJ81" s="12" t="s">
        <v>89</v>
      </c>
      <c r="AK81" s="12" t="s">
        <v>89</v>
      </c>
      <c r="AL81" s="12" t="s">
        <v>127</v>
      </c>
      <c r="AM81" s="12" t="s">
        <v>91</v>
      </c>
      <c r="AN81" s="17" t="s">
        <v>92</v>
      </c>
    </row>
    <row r="82" spans="1:40">
      <c r="A82" s="12" t="s">
        <v>74</v>
      </c>
      <c r="B82" s="12" t="s">
        <v>75</v>
      </c>
      <c r="C82" s="12" t="s">
        <v>76</v>
      </c>
      <c r="D82" s="12" t="s">
        <v>367</v>
      </c>
      <c r="E82" s="12" t="s">
        <v>102</v>
      </c>
      <c r="F82" s="12" t="s">
        <v>416</v>
      </c>
      <c r="G82" s="12" t="s">
        <v>417</v>
      </c>
      <c r="H82" s="34" t="s">
        <v>418</v>
      </c>
      <c r="I82" s="12" t="s">
        <v>82</v>
      </c>
      <c r="J82" s="12" t="s">
        <v>83</v>
      </c>
      <c r="K82" s="18">
        <v>0</v>
      </c>
      <c r="L82" s="18">
        <v>0</v>
      </c>
      <c r="M82" s="12" t="s">
        <v>84</v>
      </c>
      <c r="N82" s="35">
        <v>6765264</v>
      </c>
      <c r="O82" s="35">
        <v>6670193.79</v>
      </c>
      <c r="P82" s="35">
        <v>5358469.79</v>
      </c>
      <c r="Q82" s="35">
        <v>4177875.529999999</v>
      </c>
      <c r="R82" s="18">
        <f>N82-O82</f>
        <v>95070.20999999996</v>
      </c>
      <c r="S82" s="18">
        <f>O82-P82</f>
        <v>1311724.0</v>
      </c>
      <c r="T82" s="18">
        <f>N82-Q82</f>
        <v>2587388.470000001</v>
      </c>
      <c r="U82" s="36">
        <f>IF(N82&gt;0,Q82/N82,0)</f>
        <v>0.6175480409929308</v>
      </c>
      <c r="V82" s="35">
        <v>12151141.76</v>
      </c>
      <c r="W82" s="35">
        <v>8053143.44</v>
      </c>
      <c r="X82" s="36">
        <v>0.6627478799161011</v>
      </c>
      <c r="Y82" s="35">
        <v>6765264</v>
      </c>
      <c r="Z82" s="17" t="s">
        <v>122</v>
      </c>
      <c r="AA82" s="12" t="s">
        <v>99</v>
      </c>
      <c r="AB82" s="12" t="s">
        <v>99</v>
      </c>
      <c r="AC82" s="12" t="s">
        <v>99</v>
      </c>
      <c r="AD82" s="12" t="s">
        <v>99</v>
      </c>
      <c r="AE82" s="12" t="s">
        <v>86</v>
      </c>
      <c r="AF82" s="12" t="s">
        <v>87</v>
      </c>
      <c r="AG82" s="18">
        <v>45</v>
      </c>
      <c r="AH82" s="12" t="s">
        <v>114</v>
      </c>
      <c r="AI82" s="12" t="s">
        <v>89</v>
      </c>
      <c r="AJ82" s="12" t="s">
        <v>89</v>
      </c>
      <c r="AK82" s="12" t="s">
        <v>89</v>
      </c>
      <c r="AL82" s="12" t="s">
        <v>127</v>
      </c>
      <c r="AM82" s="12" t="s">
        <v>419</v>
      </c>
      <c r="AN82" s="17" t="s">
        <v>92</v>
      </c>
    </row>
    <row r="83" spans="1:40">
      <c r="A83" s="12" t="s">
        <v>74</v>
      </c>
      <c r="B83" s="12" t="s">
        <v>75</v>
      </c>
      <c r="C83" s="12" t="s">
        <v>76</v>
      </c>
      <c r="D83" s="12" t="s">
        <v>367</v>
      </c>
      <c r="E83" s="12" t="s">
        <v>102</v>
      </c>
      <c r="F83" s="12" t="s">
        <v>420</v>
      </c>
      <c r="G83" s="12" t="s">
        <v>421</v>
      </c>
      <c r="H83" s="34" t="s">
        <v>422</v>
      </c>
      <c r="I83" s="12" t="s">
        <v>82</v>
      </c>
      <c r="J83" s="12" t="s">
        <v>106</v>
      </c>
      <c r="K83" s="18">
        <v>0</v>
      </c>
      <c r="L83" s="18">
        <v>0</v>
      </c>
      <c r="M83" s="12" t="s">
        <v>121</v>
      </c>
      <c r="N83" s="35">
        <v>4291327</v>
      </c>
      <c r="O83" s="35">
        <v>4093667.05</v>
      </c>
      <c r="P83" s="35">
        <v>4092925.67</v>
      </c>
      <c r="Q83" s="35">
        <v>3891386.790000001</v>
      </c>
      <c r="R83" s="18">
        <f>N83-O83</f>
        <v>197659.9500000002</v>
      </c>
      <c r="S83" s="18">
        <f>O83-P83</f>
        <v>741.3799999998882</v>
      </c>
      <c r="T83" s="18">
        <f>N83-Q83</f>
        <v>399940.20999999903</v>
      </c>
      <c r="U83" s="36">
        <f>IF(N83&gt;0,Q83/N83,0)</f>
        <v>0.9068026719940011</v>
      </c>
      <c r="V83" s="35">
        <v>15236042.93</v>
      </c>
      <c r="W83" s="35">
        <v>14764957.37</v>
      </c>
      <c r="X83" s="36">
        <v>0.9690808458492575</v>
      </c>
      <c r="Y83" s="35">
        <v>4291327</v>
      </c>
      <c r="Z83" s="17" t="s">
        <v>122</v>
      </c>
      <c r="AA83" s="12" t="s">
        <v>99</v>
      </c>
      <c r="AB83" s="12" t="s">
        <v>99</v>
      </c>
      <c r="AC83" s="12" t="s">
        <v>99</v>
      </c>
      <c r="AD83" s="12" t="s">
        <v>99</v>
      </c>
      <c r="AE83" s="12" t="s">
        <v>86</v>
      </c>
      <c r="AF83" s="12" t="s">
        <v>87</v>
      </c>
      <c r="AG83" s="18">
        <v>91.81</v>
      </c>
      <c r="AH83" s="12" t="s">
        <v>204</v>
      </c>
      <c r="AI83" s="12" t="s">
        <v>89</v>
      </c>
      <c r="AJ83" s="12" t="s">
        <v>89</v>
      </c>
      <c r="AK83" s="12" t="s">
        <v>89</v>
      </c>
      <c r="AL83" s="12" t="s">
        <v>127</v>
      </c>
      <c r="AM83" s="12" t="s">
        <v>423</v>
      </c>
      <c r="AN83" s="17" t="s">
        <v>92</v>
      </c>
    </row>
    <row r="84" spans="1:40">
      <c r="A84" s="12" t="s">
        <v>74</v>
      </c>
      <c r="B84" s="12" t="s">
        <v>75</v>
      </c>
      <c r="C84" s="12" t="s">
        <v>76</v>
      </c>
      <c r="D84" s="12" t="s">
        <v>367</v>
      </c>
      <c r="E84" s="12" t="s">
        <v>102</v>
      </c>
      <c r="F84" s="12" t="s">
        <v>424</v>
      </c>
      <c r="G84" s="12" t="s">
        <v>425</v>
      </c>
      <c r="H84" s="34" t="s">
        <v>426</v>
      </c>
      <c r="I84" s="12" t="s">
        <v>82</v>
      </c>
      <c r="J84" s="12" t="s">
        <v>83</v>
      </c>
      <c r="K84" s="18">
        <v>0</v>
      </c>
      <c r="L84" s="18">
        <v>0</v>
      </c>
      <c r="M84" s="12" t="s">
        <v>84</v>
      </c>
      <c r="N84" s="35">
        <v>5799805</v>
      </c>
      <c r="O84" s="35">
        <v>5301125.51</v>
      </c>
      <c r="P84" s="35">
        <v>5015147.23</v>
      </c>
      <c r="Q84" s="35">
        <v>3934515.880000001</v>
      </c>
      <c r="R84" s="18">
        <f>N84-O84</f>
        <v>498679.4900000002</v>
      </c>
      <c r="S84" s="18">
        <f>O84-P84</f>
        <v>285978.27999999933</v>
      </c>
      <c r="T84" s="18">
        <f>N84-Q84</f>
        <v>1865289.1199999992</v>
      </c>
      <c r="U84" s="36">
        <f>IF(N84&gt;0,Q84/N84,0)</f>
        <v>0.6783876147560135</v>
      </c>
      <c r="V84" s="35">
        <v>14896273.53</v>
      </c>
      <c r="W84" s="35">
        <v>13030984.37</v>
      </c>
      <c r="X84" s="36">
        <v>0.8747814910726871</v>
      </c>
      <c r="Y84" s="35">
        <v>5868236.95</v>
      </c>
      <c r="Z84" s="17" t="s">
        <v>122</v>
      </c>
      <c r="AA84" s="12" t="s">
        <v>99</v>
      </c>
      <c r="AB84" s="12" t="s">
        <v>99</v>
      </c>
      <c r="AC84" s="12" t="s">
        <v>99</v>
      </c>
      <c r="AD84" s="12" t="s">
        <v>99</v>
      </c>
      <c r="AE84" s="12" t="s">
        <v>86</v>
      </c>
      <c r="AF84" s="12" t="s">
        <v>87</v>
      </c>
      <c r="AG84" s="18">
        <v>65.17</v>
      </c>
      <c r="AH84" s="12" t="s">
        <v>204</v>
      </c>
      <c r="AI84" s="12" t="s">
        <v>89</v>
      </c>
      <c r="AJ84" s="12" t="s">
        <v>89</v>
      </c>
      <c r="AK84" s="12" t="s">
        <v>89</v>
      </c>
      <c r="AL84" s="12" t="s">
        <v>127</v>
      </c>
      <c r="AM84" s="12" t="s">
        <v>427</v>
      </c>
      <c r="AN84" s="17" t="s">
        <v>92</v>
      </c>
    </row>
    <row r="85" spans="1:40">
      <c r="A85" s="12" t="s">
        <v>74</v>
      </c>
      <c r="B85" s="12" t="s">
        <v>75</v>
      </c>
      <c r="C85" s="12" t="s">
        <v>76</v>
      </c>
      <c r="D85" s="12" t="s">
        <v>367</v>
      </c>
      <c r="E85" s="12" t="s">
        <v>102</v>
      </c>
      <c r="F85" s="12" t="s">
        <v>428</v>
      </c>
      <c r="G85" s="12" t="s">
        <v>429</v>
      </c>
      <c r="H85" s="34" t="s">
        <v>430</v>
      </c>
      <c r="I85" s="12" t="s">
        <v>82</v>
      </c>
      <c r="J85" s="12" t="s">
        <v>83</v>
      </c>
      <c r="K85" s="18">
        <v>0</v>
      </c>
      <c r="L85" s="18">
        <v>0</v>
      </c>
      <c r="M85" s="12" t="s">
        <v>84</v>
      </c>
      <c r="N85" s="35">
        <v>4802506</v>
      </c>
      <c r="O85" s="35">
        <v>4385171.619999999</v>
      </c>
      <c r="P85" s="35">
        <v>4092158.62</v>
      </c>
      <c r="Q85" s="35">
        <v>3250907.82</v>
      </c>
      <c r="R85" s="18">
        <f>N85-O85</f>
        <v>417334.3800000008</v>
      </c>
      <c r="S85" s="18">
        <f>O85-P85</f>
        <v>293012.99999999953</v>
      </c>
      <c r="T85" s="18">
        <f>N85-Q85</f>
        <v>1551598.1799999997</v>
      </c>
      <c r="U85" s="36">
        <f>IF(N85&gt;0,Q85/N85,0)</f>
        <v>0.6769190543437115</v>
      </c>
      <c r="V85" s="35">
        <v>29408367.57</v>
      </c>
      <c r="W85" s="35">
        <v>12817900.03</v>
      </c>
      <c r="X85" s="36">
        <v>0.4358589438699674</v>
      </c>
      <c r="Y85" s="35">
        <v>9795205</v>
      </c>
      <c r="Z85" s="17" t="s">
        <v>431</v>
      </c>
      <c r="AA85" s="35">
        <v>3770000</v>
      </c>
      <c r="AB85" s="35">
        <v>876556</v>
      </c>
      <c r="AC85" s="35">
        <v>4649244</v>
      </c>
      <c r="AD85" s="35">
        <v>7795363</v>
      </c>
      <c r="AE85" s="12" t="s">
        <v>86</v>
      </c>
      <c r="AF85" s="12" t="s">
        <v>87</v>
      </c>
      <c r="AG85" s="18">
        <v>27.6</v>
      </c>
      <c r="AH85" s="12" t="s">
        <v>204</v>
      </c>
      <c r="AI85" s="12" t="s">
        <v>89</v>
      </c>
      <c r="AJ85" s="12" t="s">
        <v>89</v>
      </c>
      <c r="AK85" s="12" t="s">
        <v>89</v>
      </c>
      <c r="AL85" s="12" t="s">
        <v>127</v>
      </c>
      <c r="AM85" s="12" t="s">
        <v>432</v>
      </c>
      <c r="AN85" s="17" t="s">
        <v>92</v>
      </c>
    </row>
    <row r="86" spans="1:40">
      <c r="A86" s="12" t="s">
        <v>74</v>
      </c>
      <c r="B86" s="12" t="s">
        <v>75</v>
      </c>
      <c r="C86" s="12" t="s">
        <v>76</v>
      </c>
      <c r="D86" s="12" t="s">
        <v>367</v>
      </c>
      <c r="E86" s="12" t="s">
        <v>102</v>
      </c>
      <c r="F86" s="12" t="s">
        <v>428</v>
      </c>
      <c r="G86" s="12" t="s">
        <v>433</v>
      </c>
      <c r="H86" s="34" t="s">
        <v>430</v>
      </c>
      <c r="I86" s="12" t="s">
        <v>82</v>
      </c>
      <c r="J86" s="12" t="s">
        <v>83</v>
      </c>
      <c r="K86" s="18">
        <v>0</v>
      </c>
      <c r="L86" s="18">
        <v>0</v>
      </c>
      <c r="M86" s="12" t="s">
        <v>84</v>
      </c>
      <c r="N86" s="35">
        <v>4992699</v>
      </c>
      <c r="O86" s="35">
        <v>4292921.51</v>
      </c>
      <c r="P86" s="35">
        <v>4122871.959999999</v>
      </c>
      <c r="Q86" s="35">
        <v>3252598.59</v>
      </c>
      <c r="R86" s="18">
        <f>N86-O86</f>
        <v>699777.4900000002</v>
      </c>
      <c r="S86" s="18">
        <f>O86-P86</f>
        <v>170049.55000000028</v>
      </c>
      <c r="T86" s="18">
        <f>N86-Q86</f>
        <v>1740100.4099999997</v>
      </c>
      <c r="U86" s="36">
        <f>IF(N86&gt;0,Q86/N86,0)</f>
        <v>0.6514709959482837</v>
      </c>
      <c r="V86" s="35">
        <v>29408367.57</v>
      </c>
      <c r="W86" s="35">
        <v>12817900.03</v>
      </c>
      <c r="X86" s="36">
        <v>0.4358589438699674</v>
      </c>
      <c r="Y86" s="35">
        <v>9795205</v>
      </c>
      <c r="Z86" s="17" t="s">
        <v>431</v>
      </c>
      <c r="AA86" s="35">
        <v>3770000</v>
      </c>
      <c r="AB86" s="35">
        <v>876556</v>
      </c>
      <c r="AC86" s="35">
        <v>4649244</v>
      </c>
      <c r="AD86" s="35">
        <v>7795363</v>
      </c>
      <c r="AE86" s="12" t="s">
        <v>86</v>
      </c>
      <c r="AF86" s="12" t="s">
        <v>87</v>
      </c>
      <c r="AG86" s="18">
        <v>27.6</v>
      </c>
      <c r="AH86" s="12" t="s">
        <v>204</v>
      </c>
      <c r="AI86" s="12" t="s">
        <v>89</v>
      </c>
      <c r="AJ86" s="12" t="s">
        <v>89</v>
      </c>
      <c r="AK86" s="12" t="s">
        <v>89</v>
      </c>
      <c r="AL86" s="12" t="s">
        <v>127</v>
      </c>
      <c r="AM86" s="12" t="s">
        <v>432</v>
      </c>
      <c r="AN86" s="17" t="s">
        <v>92</v>
      </c>
    </row>
    <row r="87" spans="1:40">
      <c r="A87" s="12" t="s">
        <v>74</v>
      </c>
      <c r="B87" s="12" t="s">
        <v>75</v>
      </c>
      <c r="C87" s="12" t="s">
        <v>76</v>
      </c>
      <c r="D87" s="12" t="s">
        <v>367</v>
      </c>
      <c r="E87" s="12" t="s">
        <v>102</v>
      </c>
      <c r="F87" s="12" t="s">
        <v>434</v>
      </c>
      <c r="G87" s="12" t="s">
        <v>435</v>
      </c>
      <c r="H87" s="34" t="s">
        <v>436</v>
      </c>
      <c r="I87" s="12" t="s">
        <v>82</v>
      </c>
      <c r="J87" s="12" t="s">
        <v>83</v>
      </c>
      <c r="K87" s="18">
        <v>0</v>
      </c>
      <c r="L87" s="18">
        <v>0</v>
      </c>
      <c r="M87" s="12" t="s">
        <v>84</v>
      </c>
      <c r="N87" s="35">
        <v>3853164</v>
      </c>
      <c r="O87" s="35">
        <v>3721345.63</v>
      </c>
      <c r="P87" s="35">
        <v>3690348.76</v>
      </c>
      <c r="Q87" s="35">
        <v>3036070.049999999</v>
      </c>
      <c r="R87" s="18">
        <f>N87-O87</f>
        <v>131818.3700000001</v>
      </c>
      <c r="S87" s="18">
        <f>O87-P87</f>
        <v>30996.87000000011</v>
      </c>
      <c r="T87" s="18">
        <f>N87-Q87</f>
        <v>817093.9500000007</v>
      </c>
      <c r="U87" s="36">
        <f>IF(N87&gt;0,Q87/N87,0)</f>
        <v>0.7879420782504973</v>
      </c>
      <c r="V87" s="35">
        <v>6147388.37</v>
      </c>
      <c r="W87" s="35">
        <v>5220702.55</v>
      </c>
      <c r="X87" s="36">
        <v>0.8492553643556442</v>
      </c>
      <c r="Y87" s="35">
        <v>3853164</v>
      </c>
      <c r="Z87" s="17" t="s">
        <v>113</v>
      </c>
      <c r="AA87" s="12" t="s">
        <v>99</v>
      </c>
      <c r="AB87" s="12" t="s">
        <v>99</v>
      </c>
      <c r="AC87" s="12" t="s">
        <v>99</v>
      </c>
      <c r="AD87" s="12" t="s">
        <v>99</v>
      </c>
      <c r="AE87" s="12" t="s">
        <v>86</v>
      </c>
      <c r="AF87" s="12" t="s">
        <v>87</v>
      </c>
      <c r="AG87" s="18">
        <v>63.93</v>
      </c>
      <c r="AH87" s="12" t="s">
        <v>204</v>
      </c>
      <c r="AI87" s="12" t="s">
        <v>89</v>
      </c>
      <c r="AJ87" s="12" t="s">
        <v>89</v>
      </c>
      <c r="AK87" s="12" t="s">
        <v>89</v>
      </c>
      <c r="AL87" s="12" t="s">
        <v>127</v>
      </c>
      <c r="AM87" s="12" t="s">
        <v>437</v>
      </c>
      <c r="AN87" s="17" t="s">
        <v>92</v>
      </c>
    </row>
    <row r="88" spans="1:40">
      <c r="A88" s="12" t="s">
        <v>74</v>
      </c>
      <c r="B88" s="12" t="s">
        <v>75</v>
      </c>
      <c r="C88" s="12" t="s">
        <v>76</v>
      </c>
      <c r="D88" s="12" t="s">
        <v>367</v>
      </c>
      <c r="E88" s="12" t="s">
        <v>102</v>
      </c>
      <c r="F88" s="12" t="s">
        <v>438</v>
      </c>
      <c r="G88" s="12" t="s">
        <v>439</v>
      </c>
      <c r="H88" s="34" t="s">
        <v>440</v>
      </c>
      <c r="I88" s="12" t="s">
        <v>82</v>
      </c>
      <c r="J88" s="12" t="s">
        <v>83</v>
      </c>
      <c r="K88" s="18">
        <v>0</v>
      </c>
      <c r="L88" s="18">
        <v>0</v>
      </c>
      <c r="M88" s="12" t="s">
        <v>84</v>
      </c>
      <c r="N88" s="35">
        <v>1142346</v>
      </c>
      <c r="O88" s="35">
        <v>916312.3600000001</v>
      </c>
      <c r="P88" s="35">
        <v>703126.63</v>
      </c>
      <c r="Q88" s="35">
        <v>18478.9</v>
      </c>
      <c r="R88" s="18">
        <f>N88-O88</f>
        <v>226033.6399999999</v>
      </c>
      <c r="S88" s="18">
        <f>O88-P88</f>
        <v>213185.7300000001</v>
      </c>
      <c r="T88" s="18">
        <f>N88-Q88</f>
        <v>1123867.1</v>
      </c>
      <c r="U88" s="36">
        <f>IF(N88&gt;0,Q88/N88,0)</f>
        <v>0.016176272337803083</v>
      </c>
      <c r="V88" s="35">
        <v>2187900.52</v>
      </c>
      <c r="W88" s="35">
        <v>105024.13</v>
      </c>
      <c r="X88" s="36">
        <v>0.04800224189352083</v>
      </c>
      <c r="Y88" s="35">
        <v>1142346</v>
      </c>
      <c r="Z88" s="17" t="s">
        <v>122</v>
      </c>
      <c r="AA88" s="35">
        <v>100000</v>
      </c>
      <c r="AB88" s="35">
        <v>0</v>
      </c>
      <c r="AC88" s="35">
        <v>959009</v>
      </c>
      <c r="AD88" s="35">
        <v>0</v>
      </c>
      <c r="AE88" s="12" t="s">
        <v>86</v>
      </c>
      <c r="AF88" s="12" t="s">
        <v>87</v>
      </c>
      <c r="AG88" s="18">
        <v>-1</v>
      </c>
      <c r="AH88" s="12" t="s">
        <v>140</v>
      </c>
      <c r="AI88" s="12" t="s">
        <v>89</v>
      </c>
      <c r="AJ88" s="12" t="s">
        <v>89</v>
      </c>
      <c r="AK88" s="12" t="s">
        <v>89</v>
      </c>
      <c r="AL88" s="12" t="s">
        <v>127</v>
      </c>
      <c r="AM88" s="12" t="s">
        <v>91</v>
      </c>
      <c r="AN88" s="17" t="s">
        <v>92</v>
      </c>
    </row>
    <row r="89" spans="1:40">
      <c r="A89" s="12" t="s">
        <v>74</v>
      </c>
      <c r="B89" s="12" t="s">
        <v>75</v>
      </c>
      <c r="C89" s="12" t="s">
        <v>76</v>
      </c>
      <c r="D89" s="12" t="s">
        <v>367</v>
      </c>
      <c r="E89" s="12" t="s">
        <v>102</v>
      </c>
      <c r="F89" s="12" t="s">
        <v>441</v>
      </c>
      <c r="G89" s="12" t="s">
        <v>442</v>
      </c>
      <c r="H89" s="34" t="s">
        <v>443</v>
      </c>
      <c r="I89" s="12" t="s">
        <v>82</v>
      </c>
      <c r="J89" s="12" t="s">
        <v>83</v>
      </c>
      <c r="K89" s="18">
        <v>0</v>
      </c>
      <c r="L89" s="18">
        <v>0</v>
      </c>
      <c r="M89" s="12" t="s">
        <v>84</v>
      </c>
      <c r="N89" s="35">
        <v>2361641</v>
      </c>
      <c r="O89" s="35">
        <v>1550677.96</v>
      </c>
      <c r="P89" s="35">
        <v>1496527.72</v>
      </c>
      <c r="Q89" s="35">
        <v>1059463.81</v>
      </c>
      <c r="R89" s="18">
        <f>N89-O89</f>
        <v>810963.04</v>
      </c>
      <c r="S89" s="18">
        <f>O89-P89</f>
        <v>54150.23999999999</v>
      </c>
      <c r="T89" s="18">
        <f>N89-Q89</f>
        <v>1302177.1900000002</v>
      </c>
      <c r="U89" s="36">
        <f>IF(N89&gt;0,Q89/N89,0)</f>
        <v>0.4486134048316403</v>
      </c>
      <c r="V89" s="35">
        <v>2554872.1</v>
      </c>
      <c r="W89" s="35">
        <v>1171091.83</v>
      </c>
      <c r="X89" s="36">
        <v>0.4583759124380434</v>
      </c>
      <c r="Y89" s="35">
        <v>2361641.08</v>
      </c>
      <c r="Z89" s="17" t="s">
        <v>85</v>
      </c>
      <c r="AA89" s="35">
        <v>100000</v>
      </c>
      <c r="AB89" s="35">
        <v>45539</v>
      </c>
      <c r="AC89" s="35">
        <v>0</v>
      </c>
      <c r="AD89" s="35">
        <v>0</v>
      </c>
      <c r="AE89" s="12" t="s">
        <v>86</v>
      </c>
      <c r="AF89" s="12" t="s">
        <v>87</v>
      </c>
      <c r="AG89" s="18">
        <v>20.22</v>
      </c>
      <c r="AH89" s="12" t="s">
        <v>204</v>
      </c>
      <c r="AI89" s="12" t="s">
        <v>89</v>
      </c>
      <c r="AJ89" s="12" t="s">
        <v>89</v>
      </c>
      <c r="AK89" s="12" t="s">
        <v>89</v>
      </c>
      <c r="AL89" s="12" t="s">
        <v>141</v>
      </c>
      <c r="AM89" s="12" t="s">
        <v>91</v>
      </c>
      <c r="AN89" s="17" t="s">
        <v>92</v>
      </c>
    </row>
    <row r="90" spans="1:40">
      <c r="A90" s="12" t="s">
        <v>74</v>
      </c>
      <c r="B90" s="12" t="s">
        <v>75</v>
      </c>
      <c r="C90" s="12" t="s">
        <v>76</v>
      </c>
      <c r="D90" s="12" t="s">
        <v>367</v>
      </c>
      <c r="E90" s="12" t="s">
        <v>102</v>
      </c>
      <c r="F90" s="12" t="s">
        <v>444</v>
      </c>
      <c r="G90" s="12" t="s">
        <v>445</v>
      </c>
      <c r="H90" s="34" t="s">
        <v>446</v>
      </c>
      <c r="I90" s="12" t="s">
        <v>82</v>
      </c>
      <c r="J90" s="12" t="s">
        <v>106</v>
      </c>
      <c r="K90" s="18">
        <v>0</v>
      </c>
      <c r="L90" s="18">
        <v>0</v>
      </c>
      <c r="M90" s="12" t="s">
        <v>121</v>
      </c>
      <c r="N90" s="35">
        <v>1272735</v>
      </c>
      <c r="O90" s="35">
        <v>1253656.86</v>
      </c>
      <c r="P90" s="35">
        <v>1253656.86</v>
      </c>
      <c r="Q90" s="35">
        <v>1181486.15</v>
      </c>
      <c r="R90" s="18">
        <f>N90-O90</f>
        <v>19078.14000000013</v>
      </c>
      <c r="S90" s="18">
        <f>O90-P90</f>
        <v>0.0</v>
      </c>
      <c r="T90" s="18">
        <f>N90-Q90</f>
        <v>91248.8500000001</v>
      </c>
      <c r="U90" s="36">
        <f>IF(N90&gt;0,Q90/N90,0)</f>
        <v>0.928304910291616</v>
      </c>
      <c r="V90" s="35">
        <v>13172351</v>
      </c>
      <c r="W90" s="35">
        <v>13361911.23</v>
      </c>
      <c r="X90" s="36">
        <v>1.014390766690016</v>
      </c>
      <c r="Y90" s="35">
        <v>1272735</v>
      </c>
      <c r="Z90" s="17" t="s">
        <v>113</v>
      </c>
      <c r="AA90" s="35">
        <v>1216856</v>
      </c>
      <c r="AB90" s="35">
        <v>370264</v>
      </c>
      <c r="AC90" s="35">
        <v>0</v>
      </c>
      <c r="AD90" s="35">
        <v>0</v>
      </c>
      <c r="AE90" s="12" t="s">
        <v>86</v>
      </c>
      <c r="AF90" s="12" t="s">
        <v>87</v>
      </c>
      <c r="AG90" s="18">
        <v>95.68000000000001</v>
      </c>
      <c r="AH90" s="12" t="s">
        <v>140</v>
      </c>
      <c r="AI90" s="12" t="s">
        <v>89</v>
      </c>
      <c r="AJ90" s="12" t="s">
        <v>89</v>
      </c>
      <c r="AK90" s="12" t="s">
        <v>89</v>
      </c>
      <c r="AL90" s="12" t="s">
        <v>127</v>
      </c>
      <c r="AM90" s="12" t="s">
        <v>91</v>
      </c>
      <c r="AN90" s="17" t="s">
        <v>92</v>
      </c>
    </row>
    <row r="91" spans="1:40">
      <c r="A91" s="12" t="s">
        <v>74</v>
      </c>
      <c r="B91" s="12" t="s">
        <v>75</v>
      </c>
      <c r="C91" s="12" t="s">
        <v>76</v>
      </c>
      <c r="D91" s="12" t="s">
        <v>367</v>
      </c>
      <c r="E91" s="12" t="s">
        <v>102</v>
      </c>
      <c r="F91" s="12" t="s">
        <v>447</v>
      </c>
      <c r="G91" s="12" t="s">
        <v>448</v>
      </c>
      <c r="H91" s="34" t="s">
        <v>449</v>
      </c>
      <c r="I91" s="12" t="s">
        <v>82</v>
      </c>
      <c r="J91" s="12" t="s">
        <v>272</v>
      </c>
      <c r="K91" s="18">
        <v>16359.75</v>
      </c>
      <c r="L91" s="18">
        <v>0</v>
      </c>
      <c r="M91" s="12" t="s">
        <v>450</v>
      </c>
      <c r="N91" s="35">
        <v>919876</v>
      </c>
      <c r="O91" s="35">
        <v>345226.9</v>
      </c>
      <c r="P91" s="35">
        <v>242000</v>
      </c>
      <c r="Q91" s="35">
        <v>7840.91</v>
      </c>
      <c r="R91" s="18">
        <f>N91-O91</f>
        <v>574649.1000000001</v>
      </c>
      <c r="S91" s="18">
        <f>O91-P91</f>
        <v>103226.89999999997</v>
      </c>
      <c r="T91" s="18">
        <f>N91-Q91</f>
        <v>912035.09</v>
      </c>
      <c r="U91" s="36">
        <f>IF(N91&gt;0,Q91/N91,0)</f>
        <v>0.008523877131265518</v>
      </c>
      <c r="V91" s="35">
        <v>2174189.92</v>
      </c>
      <c r="W91" s="35">
        <v>90631.95</v>
      </c>
      <c r="X91" s="36">
        <v>0.04168538781561456</v>
      </c>
      <c r="Y91" s="35">
        <v>903516.25</v>
      </c>
      <c r="Z91" s="17" t="s">
        <v>284</v>
      </c>
      <c r="AA91" s="35">
        <v>903516</v>
      </c>
      <c r="AB91" s="35">
        <v>919620</v>
      </c>
      <c r="AC91" s="35">
        <v>268263</v>
      </c>
      <c r="AD91" s="35">
        <v>0</v>
      </c>
      <c r="AE91" s="12" t="s">
        <v>86</v>
      </c>
      <c r="AF91" s="12" t="s">
        <v>87</v>
      </c>
      <c r="AG91" s="18">
        <v>-1</v>
      </c>
      <c r="AH91" s="12" t="s">
        <v>140</v>
      </c>
      <c r="AI91" s="12" t="s">
        <v>89</v>
      </c>
      <c r="AJ91" s="12" t="s">
        <v>89</v>
      </c>
      <c r="AK91" s="12" t="s">
        <v>89</v>
      </c>
      <c r="AL91" s="12" t="s">
        <v>127</v>
      </c>
      <c r="AM91" s="12" t="s">
        <v>91</v>
      </c>
      <c r="AN91" s="17" t="s">
        <v>92</v>
      </c>
    </row>
    <row r="92" spans="1:40">
      <c r="A92" s="12" t="s">
        <v>74</v>
      </c>
      <c r="B92" s="12" t="s">
        <v>75</v>
      </c>
      <c r="C92" s="12" t="s">
        <v>76</v>
      </c>
      <c r="D92" s="12" t="s">
        <v>367</v>
      </c>
      <c r="E92" s="12" t="s">
        <v>102</v>
      </c>
      <c r="F92" s="12" t="s">
        <v>451</v>
      </c>
      <c r="G92" s="12" t="s">
        <v>452</v>
      </c>
      <c r="H92" s="34" t="s">
        <v>453</v>
      </c>
      <c r="I92" s="12" t="s">
        <v>82</v>
      </c>
      <c r="J92" s="12" t="s">
        <v>106</v>
      </c>
      <c r="K92" s="18">
        <v>0</v>
      </c>
      <c r="L92" s="18">
        <v>0</v>
      </c>
      <c r="M92" s="12" t="s">
        <v>181</v>
      </c>
      <c r="N92" s="35">
        <v>41720</v>
      </c>
      <c r="O92" s="35">
        <v>31883.37</v>
      </c>
      <c r="P92" s="35">
        <v>31883.37</v>
      </c>
      <c r="Q92" s="35">
        <v>31883.37</v>
      </c>
      <c r="R92" s="18">
        <f>N92-O92</f>
        <v>9836.629999999997</v>
      </c>
      <c r="S92" s="18">
        <f>O92-P92</f>
        <v>0.0</v>
      </c>
      <c r="T92" s="18">
        <f>N92-Q92</f>
        <v>9836.629999999997</v>
      </c>
      <c r="U92" s="36">
        <f>IF(N92&gt;0,Q92/N92,0)</f>
        <v>0.7642226749760307</v>
      </c>
      <c r="V92" s="35">
        <v>3541167.46</v>
      </c>
      <c r="W92" s="35">
        <v>3405906.31</v>
      </c>
      <c r="X92" s="36">
        <v>0.9618032325418465</v>
      </c>
      <c r="Y92" s="35">
        <v>167144.52</v>
      </c>
      <c r="Z92" s="17" t="s">
        <v>122</v>
      </c>
      <c r="AA92" s="35">
        <v>120201</v>
      </c>
      <c r="AB92" s="35">
        <v>0</v>
      </c>
      <c r="AC92" s="35">
        <v>0</v>
      </c>
      <c r="AD92" s="35">
        <v>0</v>
      </c>
      <c r="AE92" s="12" t="s">
        <v>86</v>
      </c>
      <c r="AF92" s="12" t="s">
        <v>87</v>
      </c>
      <c r="AG92" s="18">
        <v>100</v>
      </c>
      <c r="AH92" s="12" t="s">
        <v>136</v>
      </c>
      <c r="AI92" s="12" t="s">
        <v>89</v>
      </c>
      <c r="AJ92" s="12" t="s">
        <v>89</v>
      </c>
      <c r="AK92" s="12" t="s">
        <v>89</v>
      </c>
      <c r="AL92" s="12" t="s">
        <v>127</v>
      </c>
      <c r="AM92" s="12" t="s">
        <v>91</v>
      </c>
      <c r="AN92" s="17" t="s">
        <v>92</v>
      </c>
    </row>
    <row r="93" spans="1:40">
      <c r="A93" s="12" t="s">
        <v>74</v>
      </c>
      <c r="B93" s="12" t="s">
        <v>75</v>
      </c>
      <c r="C93" s="12" t="s">
        <v>76</v>
      </c>
      <c r="D93" s="12" t="s">
        <v>367</v>
      </c>
      <c r="E93" s="12" t="s">
        <v>102</v>
      </c>
      <c r="F93" s="12" t="s">
        <v>454</v>
      </c>
      <c r="G93" s="12" t="s">
        <v>455</v>
      </c>
      <c r="H93" s="34" t="s">
        <v>456</v>
      </c>
      <c r="I93" s="12" t="s">
        <v>82</v>
      </c>
      <c r="J93" s="12" t="s">
        <v>83</v>
      </c>
      <c r="K93" s="18">
        <v>0</v>
      </c>
      <c r="L93" s="18">
        <v>0</v>
      </c>
      <c r="M93" s="12" t="s">
        <v>84</v>
      </c>
      <c r="N93" s="35">
        <v>704972</v>
      </c>
      <c r="O93" s="35">
        <v>319119.29</v>
      </c>
      <c r="P93" s="35">
        <v>255972</v>
      </c>
      <c r="Q93" s="35">
        <v>15770.09</v>
      </c>
      <c r="R93" s="18">
        <f>N93-O93</f>
        <v>385852.71</v>
      </c>
      <c r="S93" s="18">
        <f>O93-P93</f>
        <v>63147.28999999998</v>
      </c>
      <c r="T93" s="18">
        <f>N93-Q93</f>
        <v>689201.91</v>
      </c>
      <c r="U93" s="36">
        <f>IF(N93&gt;0,Q93/N93,0)</f>
        <v>0.022369810432187377</v>
      </c>
      <c r="V93" s="35">
        <v>1731971.91</v>
      </c>
      <c r="W93" s="35">
        <v>120847.21</v>
      </c>
      <c r="X93" s="36">
        <v>0.06977434755278451</v>
      </c>
      <c r="Y93" s="35">
        <v>704972</v>
      </c>
      <c r="Z93" s="17" t="s">
        <v>122</v>
      </c>
      <c r="AA93" s="35">
        <v>100000</v>
      </c>
      <c r="AB93" s="35">
        <v>0</v>
      </c>
      <c r="AC93" s="35">
        <v>921923</v>
      </c>
      <c r="AD93" s="35">
        <v>0</v>
      </c>
      <c r="AE93" s="12" t="s">
        <v>86</v>
      </c>
      <c r="AF93" s="12" t="s">
        <v>87</v>
      </c>
      <c r="AG93" s="18">
        <v>-1</v>
      </c>
      <c r="AH93" s="12" t="s">
        <v>285</v>
      </c>
      <c r="AI93" s="12" t="s">
        <v>89</v>
      </c>
      <c r="AJ93" s="12" t="s">
        <v>89</v>
      </c>
      <c r="AK93" s="12" t="s">
        <v>89</v>
      </c>
      <c r="AL93" s="12" t="s">
        <v>141</v>
      </c>
      <c r="AM93" s="12" t="s">
        <v>91</v>
      </c>
      <c r="AN93" s="17" t="s">
        <v>92</v>
      </c>
    </row>
    <row r="94" spans="1:40">
      <c r="A94" s="12" t="s">
        <v>74</v>
      </c>
      <c r="B94" s="12" t="s">
        <v>75</v>
      </c>
      <c r="C94" s="12" t="s">
        <v>76</v>
      </c>
      <c r="D94" s="12" t="s">
        <v>367</v>
      </c>
      <c r="E94" s="12" t="s">
        <v>102</v>
      </c>
      <c r="F94" s="12" t="s">
        <v>457</v>
      </c>
      <c r="G94" s="12" t="s">
        <v>458</v>
      </c>
      <c r="H94" s="34" t="s">
        <v>459</v>
      </c>
      <c r="I94" s="12" t="s">
        <v>162</v>
      </c>
      <c r="J94" s="12" t="s">
        <v>106</v>
      </c>
      <c r="K94" s="18">
        <v>0</v>
      </c>
      <c r="L94" s="18">
        <v>0</v>
      </c>
      <c r="M94" s="12" t="s">
        <v>175</v>
      </c>
      <c r="N94" s="35">
        <v>61203</v>
      </c>
      <c r="O94" s="35">
        <v>0</v>
      </c>
      <c r="P94" s="35">
        <v>0</v>
      </c>
      <c r="Q94" s="35">
        <v>0</v>
      </c>
      <c r="R94" s="18">
        <f>N94-O94</f>
        <v>61203.0</v>
      </c>
      <c r="S94" s="18">
        <f>O94-P94</f>
        <v>0.0</v>
      </c>
      <c r="T94" s="18">
        <f>N94-Q94</f>
        <v>61203.0</v>
      </c>
      <c r="U94" s="36">
        <f>IF(N94&gt;0,Q94/N94,0)</f>
        <v>0.0</v>
      </c>
      <c r="V94" s="35">
        <v>5642296.99</v>
      </c>
      <c r="W94" s="35">
        <v>5451156.55</v>
      </c>
      <c r="X94" s="36">
        <v>0.966123647808904</v>
      </c>
      <c r="Y94" s="35">
        <v>191140.44</v>
      </c>
      <c r="Z94" s="17" t="s">
        <v>122</v>
      </c>
      <c r="AA94" s="35">
        <v>61203</v>
      </c>
      <c r="AB94" s="35">
        <v>0</v>
      </c>
      <c r="AC94" s="35">
        <v>0</v>
      </c>
      <c r="AD94" s="35">
        <v>0</v>
      </c>
      <c r="AE94" s="12" t="s">
        <v>86</v>
      </c>
      <c r="AF94" s="12" t="s">
        <v>190</v>
      </c>
      <c r="AG94" s="18">
        <v>100</v>
      </c>
      <c r="AH94" s="12" t="s">
        <v>182</v>
      </c>
      <c r="AI94" s="12" t="s">
        <v>89</v>
      </c>
      <c r="AJ94" s="12" t="s">
        <v>89</v>
      </c>
      <c r="AK94" s="12" t="s">
        <v>89</v>
      </c>
      <c r="AL94" s="12" t="s">
        <v>127</v>
      </c>
      <c r="AM94" s="12" t="s">
        <v>91</v>
      </c>
      <c r="AN94" s="17" t="s">
        <v>92</v>
      </c>
    </row>
    <row r="95" spans="1:40">
      <c r="A95" s="12" t="s">
        <v>74</v>
      </c>
      <c r="B95" s="12" t="s">
        <v>75</v>
      </c>
      <c r="C95" s="12" t="s">
        <v>76</v>
      </c>
      <c r="D95" s="12" t="s">
        <v>367</v>
      </c>
      <c r="E95" s="12" t="s">
        <v>221</v>
      </c>
      <c r="F95" s="12" t="s">
        <v>460</v>
      </c>
      <c r="G95" s="12" t="s">
        <v>461</v>
      </c>
      <c r="H95" s="34" t="s">
        <v>462</v>
      </c>
      <c r="I95" s="12" t="s">
        <v>82</v>
      </c>
      <c r="J95" s="12" t="s">
        <v>83</v>
      </c>
      <c r="K95" s="18">
        <v>0</v>
      </c>
      <c r="L95" s="18">
        <v>0</v>
      </c>
      <c r="M95" s="12" t="s">
        <v>84</v>
      </c>
      <c r="N95" s="35">
        <v>23143575</v>
      </c>
      <c r="O95" s="35">
        <v>22339569.84</v>
      </c>
      <c r="P95" s="35">
        <v>19031848.84</v>
      </c>
      <c r="Q95" s="35">
        <v>12059018.4</v>
      </c>
      <c r="R95" s="18">
        <f>N95-O95</f>
        <v>804005.1600000001</v>
      </c>
      <c r="S95" s="18">
        <f>O95-P95</f>
        <v>3307721.0</v>
      </c>
      <c r="T95" s="18">
        <f>N95-Q95</f>
        <v>11084556.600000001</v>
      </c>
      <c r="U95" s="36">
        <f>IF(N95&gt;0,Q95/N95,0)</f>
        <v>0.5210525340186206</v>
      </c>
      <c r="V95" s="35">
        <v>64642728.47</v>
      </c>
      <c r="W95" s="35">
        <v>49198338.25</v>
      </c>
      <c r="X95" s="36">
        <v>0.7610807806918674</v>
      </c>
      <c r="Y95" s="35">
        <v>23143575</v>
      </c>
      <c r="Z95" s="17" t="s">
        <v>463</v>
      </c>
      <c r="AA95" s="35">
        <v>15500800</v>
      </c>
      <c r="AB95" s="35">
        <v>4458489</v>
      </c>
      <c r="AC95" s="35">
        <v>450011</v>
      </c>
      <c r="AD95" s="35">
        <v>0</v>
      </c>
      <c r="AE95" s="12" t="s">
        <v>86</v>
      </c>
      <c r="AF95" s="12" t="s">
        <v>87</v>
      </c>
      <c r="AG95" s="18">
        <v>44.89</v>
      </c>
      <c r="AH95" s="12" t="s">
        <v>109</v>
      </c>
      <c r="AI95" s="12" t="s">
        <v>89</v>
      </c>
      <c r="AJ95" s="12" t="s">
        <v>89</v>
      </c>
      <c r="AK95" s="12" t="s">
        <v>89</v>
      </c>
      <c r="AL95" s="12" t="s">
        <v>127</v>
      </c>
      <c r="AM95" s="12" t="s">
        <v>91</v>
      </c>
      <c r="AN95" s="17" t="s">
        <v>92</v>
      </c>
    </row>
    <row r="96" spans="1:40">
      <c r="A96" s="12" t="s">
        <v>74</v>
      </c>
      <c r="B96" s="12" t="s">
        <v>75</v>
      </c>
      <c r="C96" s="12" t="s">
        <v>76</v>
      </c>
      <c r="D96" s="12" t="s">
        <v>367</v>
      </c>
      <c r="E96" s="12" t="s">
        <v>221</v>
      </c>
      <c r="F96" s="12" t="s">
        <v>464</v>
      </c>
      <c r="G96" s="12" t="s">
        <v>465</v>
      </c>
      <c r="H96" s="34" t="s">
        <v>466</v>
      </c>
      <c r="I96" s="12" t="s">
        <v>82</v>
      </c>
      <c r="J96" s="12" t="s">
        <v>106</v>
      </c>
      <c r="K96" s="18">
        <v>0</v>
      </c>
      <c r="L96" s="18">
        <v>0</v>
      </c>
      <c r="M96" s="12" t="s">
        <v>467</v>
      </c>
      <c r="N96" s="35">
        <v>14991498</v>
      </c>
      <c r="O96" s="35">
        <v>14786012.97</v>
      </c>
      <c r="P96" s="35">
        <v>13584705.06</v>
      </c>
      <c r="Q96" s="35">
        <v>11502166.71</v>
      </c>
      <c r="R96" s="18">
        <f>N96-O96</f>
        <v>205485.0300000012</v>
      </c>
      <c r="S96" s="18">
        <f>O96-P96</f>
        <v>1201307.9099999964</v>
      </c>
      <c r="T96" s="18">
        <f>N96-Q96</f>
        <v>3489331.289999999</v>
      </c>
      <c r="U96" s="36">
        <f>IF(N96&gt;0,Q96/N96,0)</f>
        <v>0.7672459890265804</v>
      </c>
      <c r="V96" s="35">
        <v>52717133.73</v>
      </c>
      <c r="W96" s="35">
        <v>48875709.69</v>
      </c>
      <c r="X96" s="36">
        <v>0.9271313941369703</v>
      </c>
      <c r="Y96" s="35">
        <v>14991498</v>
      </c>
      <c r="Z96" s="17" t="s">
        <v>122</v>
      </c>
      <c r="AA96" s="35">
        <v>12491498</v>
      </c>
      <c r="AB96" s="35">
        <v>632388</v>
      </c>
      <c r="AC96" s="35">
        <v>41870</v>
      </c>
      <c r="AD96" s="35">
        <v>0</v>
      </c>
      <c r="AE96" s="12" t="s">
        <v>86</v>
      </c>
      <c r="AF96" s="12" t="s">
        <v>87</v>
      </c>
      <c r="AG96" s="18">
        <v>49.15</v>
      </c>
      <c r="AH96" s="12" t="s">
        <v>109</v>
      </c>
      <c r="AI96" s="12" t="s">
        <v>89</v>
      </c>
      <c r="AJ96" s="12" t="s">
        <v>89</v>
      </c>
      <c r="AK96" s="12" t="s">
        <v>89</v>
      </c>
      <c r="AL96" s="12" t="s">
        <v>127</v>
      </c>
      <c r="AM96" s="12" t="s">
        <v>91</v>
      </c>
      <c r="AN96" s="17" t="s">
        <v>92</v>
      </c>
    </row>
    <row r="97" spans="1:40">
      <c r="A97" s="12" t="s">
        <v>74</v>
      </c>
      <c r="B97" s="12" t="s">
        <v>75</v>
      </c>
      <c r="C97" s="12" t="s">
        <v>76</v>
      </c>
      <c r="D97" s="12" t="s">
        <v>367</v>
      </c>
      <c r="E97" s="12" t="s">
        <v>221</v>
      </c>
      <c r="F97" s="12" t="s">
        <v>468</v>
      </c>
      <c r="G97" s="12" t="s">
        <v>469</v>
      </c>
      <c r="H97" s="34" t="s">
        <v>470</v>
      </c>
      <c r="I97" s="12" t="s">
        <v>82</v>
      </c>
      <c r="J97" s="12" t="s">
        <v>106</v>
      </c>
      <c r="K97" s="18">
        <v>0</v>
      </c>
      <c r="L97" s="18">
        <v>0</v>
      </c>
      <c r="M97" s="12" t="s">
        <v>121</v>
      </c>
      <c r="N97" s="35">
        <v>5270087</v>
      </c>
      <c r="O97" s="35">
        <v>5222084.29</v>
      </c>
      <c r="P97" s="35">
        <v>5222084.29</v>
      </c>
      <c r="Q97" s="35">
        <v>5220159.289999999</v>
      </c>
      <c r="R97" s="18">
        <f>N97-O97</f>
        <v>48002.70999999996</v>
      </c>
      <c r="S97" s="18">
        <f>O97-P97</f>
        <v>0.0</v>
      </c>
      <c r="T97" s="18">
        <f>N97-Q97</f>
        <v>49927.710000000894</v>
      </c>
      <c r="U97" s="36">
        <f>IF(N97&gt;0,Q97/N97,0)</f>
        <v>0.9905262076318663</v>
      </c>
      <c r="V97" s="35">
        <v>21397105.48</v>
      </c>
      <c r="W97" s="35">
        <v>18425928.2</v>
      </c>
      <c r="X97" s="36">
        <v>0.8611411584255086</v>
      </c>
      <c r="Y97" s="35">
        <v>5286087</v>
      </c>
      <c r="Z97" s="17" t="s">
        <v>98</v>
      </c>
      <c r="AA97" s="12" t="s">
        <v>99</v>
      </c>
      <c r="AB97" s="12" t="s">
        <v>99</v>
      </c>
      <c r="AC97" s="12" t="s">
        <v>99</v>
      </c>
      <c r="AD97" s="12" t="s">
        <v>99</v>
      </c>
      <c r="AE97" s="12" t="s">
        <v>86</v>
      </c>
      <c r="AF97" s="12" t="s">
        <v>87</v>
      </c>
      <c r="AG97" s="18">
        <v>99.95</v>
      </c>
      <c r="AH97" s="12" t="s">
        <v>109</v>
      </c>
      <c r="AI97" s="12" t="s">
        <v>89</v>
      </c>
      <c r="AJ97" s="12" t="s">
        <v>89</v>
      </c>
      <c r="AK97" s="12" t="s">
        <v>89</v>
      </c>
      <c r="AL97" s="12" t="s">
        <v>127</v>
      </c>
      <c r="AM97" s="12" t="s">
        <v>471</v>
      </c>
      <c r="AN97" s="17" t="s">
        <v>92</v>
      </c>
    </row>
    <row r="98" spans="1:40">
      <c r="A98" s="12" t="s">
        <v>74</v>
      </c>
      <c r="B98" s="12" t="s">
        <v>75</v>
      </c>
      <c r="C98" s="12" t="s">
        <v>76</v>
      </c>
      <c r="D98" s="12" t="s">
        <v>367</v>
      </c>
      <c r="E98" s="12" t="s">
        <v>221</v>
      </c>
      <c r="F98" s="12" t="s">
        <v>472</v>
      </c>
      <c r="G98" s="12" t="s">
        <v>473</v>
      </c>
      <c r="H98" s="34" t="s">
        <v>474</v>
      </c>
      <c r="I98" s="12" t="s">
        <v>82</v>
      </c>
      <c r="J98" s="12" t="s">
        <v>83</v>
      </c>
      <c r="K98" s="18">
        <v>0</v>
      </c>
      <c r="L98" s="18">
        <v>0</v>
      </c>
      <c r="M98" s="12" t="s">
        <v>84</v>
      </c>
      <c r="N98" s="35">
        <v>6770858</v>
      </c>
      <c r="O98" s="35">
        <v>6117514.289999999</v>
      </c>
      <c r="P98" s="35">
        <v>5148470.100000001</v>
      </c>
      <c r="Q98" s="35">
        <v>3961148.719999999</v>
      </c>
      <c r="R98" s="18">
        <f>N98-O98</f>
        <v>653343.7100000009</v>
      </c>
      <c r="S98" s="18">
        <f>O98-P98</f>
        <v>969044.1899999985</v>
      </c>
      <c r="T98" s="18">
        <f>N98-Q98</f>
        <v>2809709.280000001</v>
      </c>
      <c r="U98" s="36">
        <f>IF(N98&gt;0,Q98/N98,0)</f>
        <v>0.5850290642633472</v>
      </c>
      <c r="V98" s="35">
        <v>7019951.34</v>
      </c>
      <c r="W98" s="35">
        <v>4179485.96</v>
      </c>
      <c r="X98" s="36">
        <v>0.5953724972686206</v>
      </c>
      <c r="Y98" s="35">
        <v>6770858</v>
      </c>
      <c r="Z98" s="17" t="s">
        <v>122</v>
      </c>
      <c r="AA98" s="12" t="s">
        <v>99</v>
      </c>
      <c r="AB98" s="12" t="s">
        <v>99</v>
      </c>
      <c r="AC98" s="12" t="s">
        <v>99</v>
      </c>
      <c r="AD98" s="12" t="s">
        <v>99</v>
      </c>
      <c r="AE98" s="12" t="s">
        <v>86</v>
      </c>
      <c r="AF98" s="12" t="s">
        <v>87</v>
      </c>
      <c r="AG98" s="18">
        <v>31.05</v>
      </c>
      <c r="AH98" s="12" t="s">
        <v>140</v>
      </c>
      <c r="AI98" s="12" t="s">
        <v>89</v>
      </c>
      <c r="AJ98" s="12" t="s">
        <v>89</v>
      </c>
      <c r="AK98" s="12" t="s">
        <v>89</v>
      </c>
      <c r="AL98" s="12" t="s">
        <v>127</v>
      </c>
      <c r="AM98" s="12" t="s">
        <v>475</v>
      </c>
      <c r="AN98" s="17" t="s">
        <v>92</v>
      </c>
    </row>
    <row r="99" spans="1:40">
      <c r="A99" s="12" t="s">
        <v>74</v>
      </c>
      <c r="B99" s="12" t="s">
        <v>75</v>
      </c>
      <c r="C99" s="12" t="s">
        <v>76</v>
      </c>
      <c r="D99" s="12" t="s">
        <v>367</v>
      </c>
      <c r="E99" s="12" t="s">
        <v>221</v>
      </c>
      <c r="F99" s="12" t="s">
        <v>476</v>
      </c>
      <c r="G99" s="12" t="s">
        <v>477</v>
      </c>
      <c r="H99" s="34" t="s">
        <v>478</v>
      </c>
      <c r="I99" s="12" t="s">
        <v>82</v>
      </c>
      <c r="J99" s="12" t="s">
        <v>83</v>
      </c>
      <c r="K99" s="18">
        <v>0</v>
      </c>
      <c r="L99" s="18">
        <v>0</v>
      </c>
      <c r="M99" s="12" t="s">
        <v>84</v>
      </c>
      <c r="N99" s="35">
        <v>2308286</v>
      </c>
      <c r="O99" s="35">
        <v>0</v>
      </c>
      <c r="P99" s="35">
        <v>0</v>
      </c>
      <c r="Q99" s="35">
        <v>0</v>
      </c>
      <c r="R99" s="18">
        <f>N99-O99</f>
        <v>2308286.0</v>
      </c>
      <c r="S99" s="18">
        <f>O99-P99</f>
        <v>0.0</v>
      </c>
      <c r="T99" s="18">
        <f>N99-Q99</f>
        <v>2308286.0</v>
      </c>
      <c r="U99" s="36">
        <f>IF(N99&gt;0,Q99/N99,0)</f>
        <v>0.0</v>
      </c>
      <c r="V99" s="35">
        <v>53382514.7</v>
      </c>
      <c r="W99" s="35">
        <v>820619.5</v>
      </c>
      <c r="X99" s="36">
        <v>0.01537243991992007</v>
      </c>
      <c r="Y99" s="35">
        <v>2308286</v>
      </c>
      <c r="Z99" s="17" t="s">
        <v>85</v>
      </c>
      <c r="AA99" s="35">
        <v>800000</v>
      </c>
      <c r="AB99" s="35">
        <v>10345657</v>
      </c>
      <c r="AC99" s="35">
        <v>0</v>
      </c>
      <c r="AD99" s="35">
        <v>10973904</v>
      </c>
      <c r="AE99" s="12" t="s">
        <v>86</v>
      </c>
      <c r="AF99" s="12" t="s">
        <v>87</v>
      </c>
      <c r="AG99" s="18">
        <v>-1</v>
      </c>
      <c r="AH99" s="12" t="s">
        <v>232</v>
      </c>
      <c r="AI99" s="12" t="s">
        <v>89</v>
      </c>
      <c r="AJ99" s="12" t="s">
        <v>89</v>
      </c>
      <c r="AK99" s="12" t="s">
        <v>89</v>
      </c>
      <c r="AL99" s="12" t="s">
        <v>127</v>
      </c>
      <c r="AM99" s="12" t="s">
        <v>91</v>
      </c>
      <c r="AN99" s="17" t="s">
        <v>92</v>
      </c>
    </row>
    <row r="100" spans="1:40">
      <c r="A100" s="12" t="s">
        <v>74</v>
      </c>
      <c r="B100" s="12" t="s">
        <v>75</v>
      </c>
      <c r="C100" s="12" t="s">
        <v>76</v>
      </c>
      <c r="D100" s="12" t="s">
        <v>367</v>
      </c>
      <c r="E100" s="12" t="s">
        <v>221</v>
      </c>
      <c r="F100" s="12" t="s">
        <v>479</v>
      </c>
      <c r="G100" s="12" t="s">
        <v>480</v>
      </c>
      <c r="H100" s="34" t="s">
        <v>481</v>
      </c>
      <c r="I100" s="12" t="s">
        <v>82</v>
      </c>
      <c r="J100" s="12" t="s">
        <v>83</v>
      </c>
      <c r="K100" s="18">
        <v>0</v>
      </c>
      <c r="L100" s="18">
        <v>0</v>
      </c>
      <c r="M100" s="12" t="s">
        <v>84</v>
      </c>
      <c r="N100" s="35">
        <v>1827737</v>
      </c>
      <c r="O100" s="35">
        <v>1038425.98</v>
      </c>
      <c r="P100" s="35">
        <v>408304.6</v>
      </c>
      <c r="Q100" s="35">
        <v>13810.34</v>
      </c>
      <c r="R100" s="18">
        <f>N100-O100</f>
        <v>789311.02</v>
      </c>
      <c r="S100" s="18">
        <f>O100-P100</f>
        <v>630121.38</v>
      </c>
      <c r="T100" s="18">
        <f>N100-Q100</f>
        <v>1813926.66</v>
      </c>
      <c r="U100" s="36">
        <f>IF(N100&gt;0,Q100/N100,0)</f>
        <v>0.007555977692633021</v>
      </c>
      <c r="V100" s="35">
        <v>36372049.47</v>
      </c>
      <c r="W100" s="35">
        <v>213848.22</v>
      </c>
      <c r="X100" s="36">
        <v>0.005879465774299686</v>
      </c>
      <c r="Y100" s="35">
        <v>1852936</v>
      </c>
      <c r="Z100" s="17" t="s">
        <v>279</v>
      </c>
      <c r="AA100" s="12" t="s">
        <v>99</v>
      </c>
      <c r="AB100" s="12" t="s">
        <v>99</v>
      </c>
      <c r="AC100" s="12" t="s">
        <v>99</v>
      </c>
      <c r="AD100" s="12" t="s">
        <v>99</v>
      </c>
      <c r="AE100" s="12" t="s">
        <v>86</v>
      </c>
      <c r="AF100" s="12" t="s">
        <v>87</v>
      </c>
      <c r="AG100" s="18">
        <v>-1</v>
      </c>
      <c r="AH100" s="12" t="s">
        <v>232</v>
      </c>
      <c r="AI100" s="12" t="s">
        <v>89</v>
      </c>
      <c r="AJ100" s="12" t="s">
        <v>89</v>
      </c>
      <c r="AK100" s="12" t="s">
        <v>89</v>
      </c>
      <c r="AL100" s="12" t="s">
        <v>127</v>
      </c>
      <c r="AM100" s="12" t="s">
        <v>482</v>
      </c>
      <c r="AN100" s="17" t="s">
        <v>92</v>
      </c>
    </row>
    <row r="101" spans="1:40">
      <c r="A101" s="12" t="s">
        <v>74</v>
      </c>
      <c r="B101" s="12" t="s">
        <v>75</v>
      </c>
      <c r="C101" s="12" t="s">
        <v>76</v>
      </c>
      <c r="D101" s="12" t="s">
        <v>367</v>
      </c>
      <c r="E101" s="12" t="s">
        <v>221</v>
      </c>
      <c r="F101" s="12" t="s">
        <v>483</v>
      </c>
      <c r="G101" s="12" t="s">
        <v>484</v>
      </c>
      <c r="H101" s="34" t="s">
        <v>485</v>
      </c>
      <c r="I101" s="12" t="s">
        <v>82</v>
      </c>
      <c r="J101" s="12" t="s">
        <v>83</v>
      </c>
      <c r="K101" s="18">
        <v>0</v>
      </c>
      <c r="L101" s="18">
        <v>0</v>
      </c>
      <c r="M101" s="12" t="s">
        <v>84</v>
      </c>
      <c r="N101" s="35">
        <v>4106961</v>
      </c>
      <c r="O101" s="35">
        <v>3413280.53</v>
      </c>
      <c r="P101" s="35">
        <v>2112653.24</v>
      </c>
      <c r="Q101" s="35">
        <v>1831598.54</v>
      </c>
      <c r="R101" s="18">
        <f>N101-O101</f>
        <v>693680.4699999997</v>
      </c>
      <c r="S101" s="18">
        <f>O101-P101</f>
        <v>1300627.2900000005</v>
      </c>
      <c r="T101" s="18">
        <f>N101-Q101</f>
        <v>2275362.46</v>
      </c>
      <c r="U101" s="36">
        <f>IF(N101&gt;0,Q101/N101,0)</f>
        <v>0.4459741740912563</v>
      </c>
      <c r="V101" s="35">
        <v>5246381.58</v>
      </c>
      <c r="W101" s="35">
        <v>2887182.15</v>
      </c>
      <c r="X101" s="36">
        <v>0.5503187494036604</v>
      </c>
      <c r="Y101" s="35">
        <v>4106961</v>
      </c>
      <c r="Z101" s="17" t="s">
        <v>284</v>
      </c>
      <c r="AA101" s="12" t="s">
        <v>99</v>
      </c>
      <c r="AB101" s="12" t="s">
        <v>99</v>
      </c>
      <c r="AC101" s="12" t="s">
        <v>99</v>
      </c>
      <c r="AD101" s="12" t="s">
        <v>99</v>
      </c>
      <c r="AE101" s="12" t="s">
        <v>86</v>
      </c>
      <c r="AF101" s="12" t="s">
        <v>87</v>
      </c>
      <c r="AG101" s="18">
        <v>62.64</v>
      </c>
      <c r="AH101" s="12" t="s">
        <v>109</v>
      </c>
      <c r="AI101" s="12" t="s">
        <v>89</v>
      </c>
      <c r="AJ101" s="12" t="s">
        <v>89</v>
      </c>
      <c r="AK101" s="12" t="s">
        <v>89</v>
      </c>
      <c r="AL101" s="12" t="s">
        <v>127</v>
      </c>
      <c r="AM101" s="12" t="s">
        <v>486</v>
      </c>
      <c r="AN101" s="17" t="s">
        <v>92</v>
      </c>
    </row>
    <row r="102" spans="1:40">
      <c r="A102" s="12" t="s">
        <v>74</v>
      </c>
      <c r="B102" s="12" t="s">
        <v>75</v>
      </c>
      <c r="C102" s="12" t="s">
        <v>76</v>
      </c>
      <c r="D102" s="12" t="s">
        <v>367</v>
      </c>
      <c r="E102" s="12" t="s">
        <v>221</v>
      </c>
      <c r="F102" s="12" t="s">
        <v>487</v>
      </c>
      <c r="G102" s="12" t="s">
        <v>488</v>
      </c>
      <c r="H102" s="34" t="s">
        <v>489</v>
      </c>
      <c r="I102" s="12" t="s">
        <v>82</v>
      </c>
      <c r="J102" s="12" t="s">
        <v>83</v>
      </c>
      <c r="K102" s="18">
        <v>0</v>
      </c>
      <c r="L102" s="18">
        <v>0</v>
      </c>
      <c r="M102" s="12" t="s">
        <v>84</v>
      </c>
      <c r="N102" s="35">
        <v>7751873</v>
      </c>
      <c r="O102" s="35">
        <v>7581999.37</v>
      </c>
      <c r="P102" s="35">
        <v>6516624.89</v>
      </c>
      <c r="Q102" s="35">
        <v>5292812.77</v>
      </c>
      <c r="R102" s="18">
        <f>N102-O102</f>
        <v>169873.6299999999</v>
      </c>
      <c r="S102" s="18">
        <f>O102-P102</f>
        <v>1065374.4800000004</v>
      </c>
      <c r="T102" s="18">
        <f>N102-Q102</f>
        <v>2459060.2299999995</v>
      </c>
      <c r="U102" s="36">
        <f>IF(N102&gt;0,Q102/N102,0)</f>
        <v>0.6827785710627613</v>
      </c>
      <c r="V102" s="35">
        <v>19793324.35</v>
      </c>
      <c r="W102" s="35">
        <v>16313437.64</v>
      </c>
      <c r="X102" s="36">
        <v>0.8241888705269461</v>
      </c>
      <c r="Y102" s="35">
        <v>7871473</v>
      </c>
      <c r="Z102" s="17" t="s">
        <v>284</v>
      </c>
      <c r="AA102" s="12" t="s">
        <v>99</v>
      </c>
      <c r="AB102" s="12" t="s">
        <v>99</v>
      </c>
      <c r="AC102" s="12" t="s">
        <v>99</v>
      </c>
      <c r="AD102" s="12" t="s">
        <v>99</v>
      </c>
      <c r="AE102" s="12" t="s">
        <v>86</v>
      </c>
      <c r="AF102" s="12" t="s">
        <v>87</v>
      </c>
      <c r="AG102" s="18">
        <v>62.8</v>
      </c>
      <c r="AH102" s="12" t="s">
        <v>140</v>
      </c>
      <c r="AI102" s="12" t="s">
        <v>89</v>
      </c>
      <c r="AJ102" s="12" t="s">
        <v>89</v>
      </c>
      <c r="AK102" s="12" t="s">
        <v>89</v>
      </c>
      <c r="AL102" s="12" t="s">
        <v>127</v>
      </c>
      <c r="AM102" s="12" t="s">
        <v>471</v>
      </c>
      <c r="AN102" s="17" t="s">
        <v>92</v>
      </c>
    </row>
    <row r="103" spans="1:40">
      <c r="A103" s="12" t="s">
        <v>74</v>
      </c>
      <c r="B103" s="12" t="s">
        <v>75</v>
      </c>
      <c r="C103" s="12" t="s">
        <v>76</v>
      </c>
      <c r="D103" s="12" t="s">
        <v>367</v>
      </c>
      <c r="E103" s="12" t="s">
        <v>221</v>
      </c>
      <c r="F103" s="12" t="s">
        <v>490</v>
      </c>
      <c r="G103" s="12" t="s">
        <v>491</v>
      </c>
      <c r="H103" s="34" t="s">
        <v>492</v>
      </c>
      <c r="I103" s="12" t="s">
        <v>82</v>
      </c>
      <c r="J103" s="12" t="s">
        <v>106</v>
      </c>
      <c r="K103" s="18">
        <v>0</v>
      </c>
      <c r="L103" s="18">
        <v>0</v>
      </c>
      <c r="M103" s="12" t="s">
        <v>121</v>
      </c>
      <c r="N103" s="35">
        <v>936343</v>
      </c>
      <c r="O103" s="35">
        <v>868354.77</v>
      </c>
      <c r="P103" s="35">
        <v>868354.77</v>
      </c>
      <c r="Q103" s="35">
        <v>868354.72</v>
      </c>
      <c r="R103" s="18">
        <f>N103-O103</f>
        <v>67988.22999999998</v>
      </c>
      <c r="S103" s="18">
        <f>O103-P103</f>
        <v>0.0</v>
      </c>
      <c r="T103" s="18">
        <f>N103-Q103</f>
        <v>67988.28000000003</v>
      </c>
      <c r="U103" s="36">
        <f>IF(N103&gt;0,Q103/N103,0)</f>
        <v>0.927389557031985</v>
      </c>
      <c r="V103" s="35">
        <v>21535179.68</v>
      </c>
      <c r="W103" s="35">
        <v>21430852.02</v>
      </c>
      <c r="X103" s="36">
        <v>0.9951554776161496</v>
      </c>
      <c r="Y103" s="35">
        <v>936343</v>
      </c>
      <c r="Z103" s="17" t="s">
        <v>236</v>
      </c>
      <c r="AA103" s="12" t="s">
        <v>99</v>
      </c>
      <c r="AB103" s="12" t="s">
        <v>99</v>
      </c>
      <c r="AC103" s="12" t="s">
        <v>99</v>
      </c>
      <c r="AD103" s="12" t="s">
        <v>99</v>
      </c>
      <c r="AE103" s="12" t="s">
        <v>86</v>
      </c>
      <c r="AF103" s="12" t="s">
        <v>87</v>
      </c>
      <c r="AG103" s="18">
        <v>100</v>
      </c>
      <c r="AH103" s="12" t="s">
        <v>109</v>
      </c>
      <c r="AI103" s="12" t="s">
        <v>89</v>
      </c>
      <c r="AJ103" s="12" t="s">
        <v>89</v>
      </c>
      <c r="AK103" s="12" t="s">
        <v>89</v>
      </c>
      <c r="AL103" s="12" t="s">
        <v>127</v>
      </c>
      <c r="AM103" s="12" t="s">
        <v>482</v>
      </c>
      <c r="AN103" s="17" t="s">
        <v>92</v>
      </c>
    </row>
    <row r="104" spans="1:40">
      <c r="A104" s="12" t="s">
        <v>74</v>
      </c>
      <c r="B104" s="12" t="s">
        <v>75</v>
      </c>
      <c r="C104" s="12" t="s">
        <v>76</v>
      </c>
      <c r="D104" s="12" t="s">
        <v>367</v>
      </c>
      <c r="E104" s="12" t="s">
        <v>221</v>
      </c>
      <c r="F104" s="12" t="s">
        <v>493</v>
      </c>
      <c r="G104" s="12" t="s">
        <v>494</v>
      </c>
      <c r="H104" s="34" t="s">
        <v>495</v>
      </c>
      <c r="I104" s="12" t="s">
        <v>82</v>
      </c>
      <c r="J104" s="12" t="s">
        <v>106</v>
      </c>
      <c r="K104" s="18">
        <v>0</v>
      </c>
      <c r="L104" s="18">
        <v>0</v>
      </c>
      <c r="M104" s="12" t="s">
        <v>267</v>
      </c>
      <c r="N104" s="35">
        <v>565870</v>
      </c>
      <c r="O104" s="35">
        <v>502948.5700000001</v>
      </c>
      <c r="P104" s="35">
        <v>500422.57</v>
      </c>
      <c r="Q104" s="35">
        <v>446229.16</v>
      </c>
      <c r="R104" s="18">
        <f>N104-O104</f>
        <v>62921.429999999935</v>
      </c>
      <c r="S104" s="18">
        <f>O104-P104</f>
        <v>2526.000000000058</v>
      </c>
      <c r="T104" s="18">
        <f>N104-Q104</f>
        <v>119640.84000000003</v>
      </c>
      <c r="U104" s="36">
        <f>IF(N104&gt;0,Q104/N104,0)</f>
        <v>0.7885718627953416</v>
      </c>
      <c r="V104" s="35">
        <v>6834129.01</v>
      </c>
      <c r="W104" s="35">
        <v>6460471.64</v>
      </c>
      <c r="X104" s="36">
        <v>0.9453248000654878</v>
      </c>
      <c r="Y104" s="35">
        <v>565870.78</v>
      </c>
      <c r="Z104" s="17" t="s">
        <v>122</v>
      </c>
      <c r="AA104" s="12" t="s">
        <v>99</v>
      </c>
      <c r="AB104" s="12" t="s">
        <v>99</v>
      </c>
      <c r="AC104" s="12" t="s">
        <v>99</v>
      </c>
      <c r="AD104" s="12" t="s">
        <v>99</v>
      </c>
      <c r="AE104" s="12" t="s">
        <v>86</v>
      </c>
      <c r="AF104" s="12" t="s">
        <v>87</v>
      </c>
      <c r="AG104" s="18">
        <v>100</v>
      </c>
      <c r="AH104" s="12" t="s">
        <v>109</v>
      </c>
      <c r="AI104" s="12" t="s">
        <v>89</v>
      </c>
      <c r="AJ104" s="12" t="s">
        <v>89</v>
      </c>
      <c r="AK104" s="12" t="s">
        <v>89</v>
      </c>
      <c r="AL104" s="12" t="s">
        <v>127</v>
      </c>
      <c r="AM104" s="12" t="s">
        <v>496</v>
      </c>
      <c r="AN104" s="17" t="s">
        <v>92</v>
      </c>
    </row>
    <row r="105" spans="1:40">
      <c r="A105" s="12" t="s">
        <v>74</v>
      </c>
      <c r="B105" s="12" t="s">
        <v>75</v>
      </c>
      <c r="C105" s="12" t="s">
        <v>76</v>
      </c>
      <c r="D105" s="12" t="s">
        <v>367</v>
      </c>
      <c r="E105" s="12" t="s">
        <v>319</v>
      </c>
      <c r="F105" s="12" t="s">
        <v>497</v>
      </c>
      <c r="G105" s="12" t="s">
        <v>498</v>
      </c>
      <c r="H105" s="34" t="s">
        <v>499</v>
      </c>
      <c r="I105" s="12" t="s">
        <v>162</v>
      </c>
      <c r="J105" s="12" t="s">
        <v>272</v>
      </c>
      <c r="K105" s="18">
        <v>12826</v>
      </c>
      <c r="L105" s="18">
        <v>999127</v>
      </c>
      <c r="M105" s="12" t="s">
        <v>500</v>
      </c>
      <c r="N105" s="35">
        <v>1075076</v>
      </c>
      <c r="O105" s="35">
        <v>1062250</v>
      </c>
      <c r="P105" s="35">
        <v>25418</v>
      </c>
      <c r="Q105" s="35">
        <v>20822.47</v>
      </c>
      <c r="R105" s="18">
        <f>N105-O105</f>
        <v>12826.0</v>
      </c>
      <c r="S105" s="18">
        <f>O105-P105</f>
        <v>1036832.0</v>
      </c>
      <c r="T105" s="18">
        <f>N105-Q105</f>
        <v>1054253.53</v>
      </c>
      <c r="U105" s="36">
        <f>IF(N105&gt;0,Q105/N105,0)</f>
        <v>0.019368370236150748</v>
      </c>
      <c r="V105" s="35">
        <v>3656947.46</v>
      </c>
      <c r="W105" s="35">
        <v>121963.09</v>
      </c>
      <c r="X105" s="36">
        <v>0.03335106433276457</v>
      </c>
      <c r="Y105" s="35">
        <v>63123</v>
      </c>
      <c r="Z105" s="17" t="s">
        <v>284</v>
      </c>
      <c r="AA105" s="35">
        <v>1062638</v>
      </c>
      <c r="AB105" s="35">
        <v>245874</v>
      </c>
      <c r="AC105" s="35">
        <v>0</v>
      </c>
      <c r="AD105" s="35">
        <v>0</v>
      </c>
      <c r="AE105" s="12" t="s">
        <v>86</v>
      </c>
      <c r="AF105" s="12" t="s">
        <v>87</v>
      </c>
      <c r="AG105" s="18">
        <v>-1</v>
      </c>
      <c r="AH105" s="12" t="s">
        <v>501</v>
      </c>
      <c r="AI105" s="12" t="s">
        <v>89</v>
      </c>
      <c r="AJ105" s="12" t="s">
        <v>89</v>
      </c>
      <c r="AK105" s="12" t="s">
        <v>89</v>
      </c>
      <c r="AL105" s="12" t="s">
        <v>141</v>
      </c>
      <c r="AM105" s="12" t="s">
        <v>91</v>
      </c>
      <c r="AN105" s="17" t="s">
        <v>92</v>
      </c>
    </row>
    <row r="106" spans="1:40">
      <c r="A106" s="12" t="s">
        <v>74</v>
      </c>
      <c r="B106" s="12" t="s">
        <v>75</v>
      </c>
      <c r="C106" s="12" t="s">
        <v>76</v>
      </c>
      <c r="D106" s="12" t="s">
        <v>367</v>
      </c>
      <c r="E106" s="12" t="s">
        <v>319</v>
      </c>
      <c r="F106" s="12" t="s">
        <v>502</v>
      </c>
      <c r="G106" s="12" t="s">
        <v>503</v>
      </c>
      <c r="H106" s="34" t="s">
        <v>504</v>
      </c>
      <c r="I106" s="12" t="s">
        <v>162</v>
      </c>
      <c r="J106" s="12" t="s">
        <v>96</v>
      </c>
      <c r="K106" s="18">
        <v>99</v>
      </c>
      <c r="L106" s="18">
        <v>4438806</v>
      </c>
      <c r="M106" s="12" t="s">
        <v>505</v>
      </c>
      <c r="N106" s="35">
        <v>4474004</v>
      </c>
      <c r="O106" s="35">
        <v>4473905</v>
      </c>
      <c r="P106" s="35">
        <v>0</v>
      </c>
      <c r="Q106" s="35">
        <v>0</v>
      </c>
      <c r="R106" s="18">
        <f>N106-O106</f>
        <v>99.0</v>
      </c>
      <c r="S106" s="18">
        <f>O106-P106</f>
        <v>4473905.0</v>
      </c>
      <c r="T106" s="18">
        <f>N106-Q106</f>
        <v>4474004.0</v>
      </c>
      <c r="U106" s="36">
        <f>IF(N106&gt;0,Q106/N106,0)</f>
        <v>0.0</v>
      </c>
      <c r="V106" s="35">
        <v>7590555.22</v>
      </c>
      <c r="W106" s="35">
        <v>112934.35</v>
      </c>
      <c r="X106" s="36">
        <v>0.01487827263313157</v>
      </c>
      <c r="Y106" s="35">
        <v>35099</v>
      </c>
      <c r="Z106" s="17" t="s">
        <v>284</v>
      </c>
      <c r="AA106" s="35">
        <v>1556258</v>
      </c>
      <c r="AB106" s="35">
        <v>2054256</v>
      </c>
      <c r="AC106" s="35">
        <v>0</v>
      </c>
      <c r="AD106" s="35">
        <v>994904</v>
      </c>
      <c r="AE106" s="12" t="s">
        <v>86</v>
      </c>
      <c r="AF106" s="12" t="s">
        <v>87</v>
      </c>
      <c r="AG106" s="18">
        <v>-1</v>
      </c>
      <c r="AH106" s="12" t="s">
        <v>501</v>
      </c>
      <c r="AI106" s="12" t="s">
        <v>89</v>
      </c>
      <c r="AJ106" s="12" t="s">
        <v>89</v>
      </c>
      <c r="AK106" s="12" t="s">
        <v>89</v>
      </c>
      <c r="AL106" s="12" t="s">
        <v>101</v>
      </c>
      <c r="AM106" s="12" t="s">
        <v>91</v>
      </c>
      <c r="AN106" s="17" t="s">
        <v>92</v>
      </c>
    </row>
    <row r="107" spans="1:40">
      <c r="A107" s="12" t="s">
        <v>74</v>
      </c>
      <c r="B107" s="12" t="s">
        <v>75</v>
      </c>
      <c r="C107" s="12" t="s">
        <v>76</v>
      </c>
      <c r="D107" s="12" t="s">
        <v>367</v>
      </c>
      <c r="E107" s="12" t="s">
        <v>319</v>
      </c>
      <c r="F107" s="12" t="s">
        <v>506</v>
      </c>
      <c r="G107" s="12" t="s">
        <v>507</v>
      </c>
      <c r="H107" s="34" t="s">
        <v>508</v>
      </c>
      <c r="I107" s="12" t="s">
        <v>82</v>
      </c>
      <c r="J107" s="12" t="s">
        <v>83</v>
      </c>
      <c r="K107" s="18">
        <v>0</v>
      </c>
      <c r="L107" s="18">
        <v>0</v>
      </c>
      <c r="M107" s="12" t="s">
        <v>84</v>
      </c>
      <c r="N107" s="35">
        <v>900000</v>
      </c>
      <c r="O107" s="35">
        <v>855389.64</v>
      </c>
      <c r="P107" s="35">
        <v>536922.54</v>
      </c>
      <c r="Q107" s="35">
        <v>187642.38</v>
      </c>
      <c r="R107" s="18">
        <f>N107-O107</f>
        <v>44610.359999999986</v>
      </c>
      <c r="S107" s="18">
        <f>O107-P107</f>
        <v>318467.1</v>
      </c>
      <c r="T107" s="18">
        <f>N107-Q107</f>
        <v>712357.62</v>
      </c>
      <c r="U107" s="36">
        <f>IF(N107&gt;0,Q107/N107,0)</f>
        <v>0.20849153333333334</v>
      </c>
      <c r="V107" s="35">
        <v>4367838.32</v>
      </c>
      <c r="W107" s="35">
        <v>238192.38</v>
      </c>
      <c r="X107" s="36">
        <v>0.05453324105641346</v>
      </c>
      <c r="Y107" s="35">
        <v>1001100</v>
      </c>
      <c r="Z107" s="17" t="s">
        <v>98</v>
      </c>
      <c r="AA107" s="12" t="s">
        <v>99</v>
      </c>
      <c r="AB107" s="12" t="s">
        <v>99</v>
      </c>
      <c r="AC107" s="12" t="s">
        <v>99</v>
      </c>
      <c r="AD107" s="12" t="s">
        <v>99</v>
      </c>
      <c r="AE107" s="12" t="s">
        <v>86</v>
      </c>
      <c r="AF107" s="12" t="s">
        <v>87</v>
      </c>
      <c r="AG107" s="18">
        <v>0</v>
      </c>
      <c r="AH107" s="12" t="s">
        <v>140</v>
      </c>
      <c r="AI107" s="12" t="s">
        <v>89</v>
      </c>
      <c r="AJ107" s="12" t="s">
        <v>89</v>
      </c>
      <c r="AK107" s="12" t="s">
        <v>89</v>
      </c>
      <c r="AL107" s="12" t="s">
        <v>127</v>
      </c>
      <c r="AM107" s="12" t="s">
        <v>509</v>
      </c>
      <c r="AN107" s="17" t="s">
        <v>92</v>
      </c>
    </row>
    <row r="108" spans="1:40">
      <c r="A108" s="12" t="s">
        <v>74</v>
      </c>
      <c r="B108" s="12" t="s">
        <v>75</v>
      </c>
      <c r="C108" s="12" t="s">
        <v>76</v>
      </c>
      <c r="D108" s="12" t="s">
        <v>510</v>
      </c>
      <c r="E108" s="12" t="s">
        <v>102</v>
      </c>
      <c r="F108" s="12" t="s">
        <v>511</v>
      </c>
      <c r="G108" s="12" t="s">
        <v>512</v>
      </c>
      <c r="H108" s="34" t="s">
        <v>513</v>
      </c>
      <c r="I108" s="12" t="s">
        <v>82</v>
      </c>
      <c r="J108" s="12" t="s">
        <v>83</v>
      </c>
      <c r="K108" s="18">
        <v>0</v>
      </c>
      <c r="L108" s="18">
        <v>0</v>
      </c>
      <c r="M108" s="12" t="s">
        <v>84</v>
      </c>
      <c r="N108" s="35">
        <v>8692228</v>
      </c>
      <c r="O108" s="35">
        <v>8634477.359999999</v>
      </c>
      <c r="P108" s="35">
        <v>5176877.000000002</v>
      </c>
      <c r="Q108" s="35">
        <v>4987667.55</v>
      </c>
      <c r="R108" s="18">
        <f>N108-O108</f>
        <v>57750.640000000596</v>
      </c>
      <c r="S108" s="18">
        <f>O108-P108</f>
        <v>3457600.3599999975</v>
      </c>
      <c r="T108" s="18">
        <f>N108-Q108</f>
        <v>3704560.45</v>
      </c>
      <c r="U108" s="36">
        <f>IF(N108&gt;0,Q108/N108,0)</f>
        <v>0.5738077222548695</v>
      </c>
      <c r="V108" s="35">
        <v>27491990.04</v>
      </c>
      <c r="W108" s="35">
        <v>6198476.84</v>
      </c>
      <c r="X108" s="36">
        <v>0.2254648292459515</v>
      </c>
      <c r="Y108" s="35">
        <v>8692228</v>
      </c>
      <c r="Z108" s="17" t="s">
        <v>327</v>
      </c>
      <c r="AA108" s="35">
        <v>12431185</v>
      </c>
      <c r="AB108" s="35">
        <v>4843790</v>
      </c>
      <c r="AC108" s="35">
        <v>2910115</v>
      </c>
      <c r="AD108" s="35">
        <v>0</v>
      </c>
      <c r="AE108" s="12" t="s">
        <v>86</v>
      </c>
      <c r="AF108" s="12" t="s">
        <v>87</v>
      </c>
      <c r="AG108" s="18">
        <v>9.74</v>
      </c>
      <c r="AH108" s="12" t="s">
        <v>514</v>
      </c>
      <c r="AI108" s="12" t="s">
        <v>89</v>
      </c>
      <c r="AJ108" s="12" t="s">
        <v>89</v>
      </c>
      <c r="AK108" s="12" t="s">
        <v>89</v>
      </c>
      <c r="AL108" s="12" t="s">
        <v>101</v>
      </c>
      <c r="AM108" s="12" t="s">
        <v>91</v>
      </c>
      <c r="AN108" s="17" t="s">
        <v>92</v>
      </c>
    </row>
    <row r="109" spans="1:40">
      <c r="A109" s="12" t="s">
        <v>74</v>
      </c>
      <c r="B109" s="12" t="s">
        <v>75</v>
      </c>
      <c r="C109" s="12" t="s">
        <v>76</v>
      </c>
      <c r="D109" s="12" t="s">
        <v>510</v>
      </c>
      <c r="E109" s="12" t="s">
        <v>102</v>
      </c>
      <c r="F109" s="12" t="s">
        <v>515</v>
      </c>
      <c r="G109" s="12" t="s">
        <v>516</v>
      </c>
      <c r="H109" s="34" t="s">
        <v>517</v>
      </c>
      <c r="I109" s="12" t="s">
        <v>82</v>
      </c>
      <c r="J109" s="12" t="s">
        <v>83</v>
      </c>
      <c r="K109" s="18">
        <v>0</v>
      </c>
      <c r="L109" s="18">
        <v>0</v>
      </c>
      <c r="M109" s="12" t="s">
        <v>84</v>
      </c>
      <c r="N109" s="35">
        <v>4437995</v>
      </c>
      <c r="O109" s="35">
        <v>3605496.859999999</v>
      </c>
      <c r="P109" s="35">
        <v>3197640.99</v>
      </c>
      <c r="Q109" s="35">
        <v>2493396.69</v>
      </c>
      <c r="R109" s="18">
        <f>N109-O109</f>
        <v>832498.1400000006</v>
      </c>
      <c r="S109" s="18">
        <f>O109-P109</f>
        <v>407855.8699999992</v>
      </c>
      <c r="T109" s="18">
        <f>N109-Q109</f>
        <v>1944598.31</v>
      </c>
      <c r="U109" s="36">
        <f>IF(N109&gt;0,Q109/N109,0)</f>
        <v>0.5618295401414377</v>
      </c>
      <c r="V109" s="35">
        <v>4609443.8</v>
      </c>
      <c r="W109" s="35">
        <v>2636396.69</v>
      </c>
      <c r="X109" s="36">
        <v>0.5719554905951993</v>
      </c>
      <c r="Y109" s="35">
        <v>4437995</v>
      </c>
      <c r="Z109" s="17" t="s">
        <v>85</v>
      </c>
      <c r="AA109" s="12" t="s">
        <v>99</v>
      </c>
      <c r="AB109" s="12" t="s">
        <v>99</v>
      </c>
      <c r="AC109" s="12" t="s">
        <v>99</v>
      </c>
      <c r="AD109" s="12" t="s">
        <v>99</v>
      </c>
      <c r="AE109" s="12" t="s">
        <v>86</v>
      </c>
      <c r="AF109" s="12" t="s">
        <v>87</v>
      </c>
      <c r="AG109" s="18">
        <v>4.21</v>
      </c>
      <c r="AH109" s="12" t="s">
        <v>204</v>
      </c>
      <c r="AI109" s="12" t="s">
        <v>89</v>
      </c>
      <c r="AJ109" s="12" t="s">
        <v>89</v>
      </c>
      <c r="AK109" s="12" t="s">
        <v>89</v>
      </c>
      <c r="AL109" s="12" t="s">
        <v>127</v>
      </c>
      <c r="AM109" s="12" t="s">
        <v>275</v>
      </c>
      <c r="AN109" s="17" t="s">
        <v>92</v>
      </c>
    </row>
    <row r="110" spans="1:40">
      <c r="A110" s="12" t="s">
        <v>74</v>
      </c>
      <c r="B110" s="12" t="s">
        <v>75</v>
      </c>
      <c r="C110" s="12" t="s">
        <v>76</v>
      </c>
      <c r="D110" s="12" t="s">
        <v>510</v>
      </c>
      <c r="E110" s="12" t="s">
        <v>102</v>
      </c>
      <c r="F110" s="12" t="s">
        <v>518</v>
      </c>
      <c r="G110" s="12" t="s">
        <v>519</v>
      </c>
      <c r="H110" s="34" t="s">
        <v>520</v>
      </c>
      <c r="I110" s="12" t="s">
        <v>82</v>
      </c>
      <c r="J110" s="12" t="s">
        <v>83</v>
      </c>
      <c r="K110" s="18">
        <v>0</v>
      </c>
      <c r="L110" s="18">
        <v>0</v>
      </c>
      <c r="M110" s="12" t="s">
        <v>84</v>
      </c>
      <c r="N110" s="35">
        <v>4265759</v>
      </c>
      <c r="O110" s="35">
        <v>3847052.94</v>
      </c>
      <c r="P110" s="35">
        <v>3704328.129999999</v>
      </c>
      <c r="Q110" s="35">
        <v>2741829.61</v>
      </c>
      <c r="R110" s="18">
        <f>N110-O110</f>
        <v>418706.06000000006</v>
      </c>
      <c r="S110" s="18">
        <f>O110-P110</f>
        <v>142724.81000000052</v>
      </c>
      <c r="T110" s="18">
        <f>N110-Q110</f>
        <v>1523929.3900000001</v>
      </c>
      <c r="U110" s="36">
        <f>IF(N110&gt;0,Q110/N110,0)</f>
        <v>0.6427530505122301</v>
      </c>
      <c r="V110" s="35">
        <v>4997949.02</v>
      </c>
      <c r="W110" s="35">
        <v>2973978.11</v>
      </c>
      <c r="X110" s="36">
        <v>0.5950397049067939</v>
      </c>
      <c r="Y110" s="35">
        <v>4265759.52</v>
      </c>
      <c r="Z110" s="17" t="s">
        <v>122</v>
      </c>
      <c r="AA110" s="12" t="s">
        <v>99</v>
      </c>
      <c r="AB110" s="12" t="s">
        <v>99</v>
      </c>
      <c r="AC110" s="12" t="s">
        <v>99</v>
      </c>
      <c r="AD110" s="12" t="s">
        <v>99</v>
      </c>
      <c r="AE110" s="12" t="s">
        <v>86</v>
      </c>
      <c r="AF110" s="12" t="s">
        <v>87</v>
      </c>
      <c r="AG110" s="18">
        <v>20.1</v>
      </c>
      <c r="AH110" s="12" t="s">
        <v>204</v>
      </c>
      <c r="AI110" s="12" t="s">
        <v>89</v>
      </c>
      <c r="AJ110" s="12" t="s">
        <v>89</v>
      </c>
      <c r="AK110" s="12" t="s">
        <v>89</v>
      </c>
      <c r="AL110" s="12" t="s">
        <v>127</v>
      </c>
      <c r="AM110" s="12" t="s">
        <v>521</v>
      </c>
      <c r="AN110" s="17" t="s">
        <v>92</v>
      </c>
    </row>
    <row r="111" spans="1:40">
      <c r="A111" s="12" t="s">
        <v>74</v>
      </c>
      <c r="B111" s="12" t="s">
        <v>75</v>
      </c>
      <c r="C111" s="12" t="s">
        <v>76</v>
      </c>
      <c r="D111" s="12" t="s">
        <v>510</v>
      </c>
      <c r="E111" s="12" t="s">
        <v>102</v>
      </c>
      <c r="F111" s="12" t="s">
        <v>522</v>
      </c>
      <c r="G111" s="12" t="s">
        <v>523</v>
      </c>
      <c r="H111" s="34" t="s">
        <v>524</v>
      </c>
      <c r="I111" s="12" t="s">
        <v>82</v>
      </c>
      <c r="J111" s="12" t="s">
        <v>83</v>
      </c>
      <c r="K111" s="18">
        <v>0</v>
      </c>
      <c r="L111" s="18">
        <v>0</v>
      </c>
      <c r="M111" s="12" t="s">
        <v>84</v>
      </c>
      <c r="N111" s="35">
        <v>2342684</v>
      </c>
      <c r="O111" s="35">
        <v>2160743.33</v>
      </c>
      <c r="P111" s="35">
        <v>1958587.66</v>
      </c>
      <c r="Q111" s="35">
        <v>1123789.35</v>
      </c>
      <c r="R111" s="18">
        <f>N111-O111</f>
        <v>181940.66999999993</v>
      </c>
      <c r="S111" s="18">
        <f>O111-P111</f>
        <v>202155.67000000016</v>
      </c>
      <c r="T111" s="18">
        <f>N111-Q111</f>
        <v>1218894.65</v>
      </c>
      <c r="U111" s="36">
        <f>IF(N111&gt;0,Q111/N111,0)</f>
        <v>0.47970163709659525</v>
      </c>
      <c r="V111" s="35">
        <v>3634791.24</v>
      </c>
      <c r="W111" s="35">
        <v>1673214.18</v>
      </c>
      <c r="X111" s="36">
        <v>0.4603329516112732</v>
      </c>
      <c r="Y111" s="35">
        <v>2342684.19</v>
      </c>
      <c r="Z111" s="17" t="s">
        <v>122</v>
      </c>
      <c r="AA111" s="35">
        <v>800000</v>
      </c>
      <c r="AB111" s="35">
        <v>26969</v>
      </c>
      <c r="AC111" s="35">
        <v>0</v>
      </c>
      <c r="AD111" s="35">
        <v>0</v>
      </c>
      <c r="AE111" s="12" t="s">
        <v>86</v>
      </c>
      <c r="AF111" s="12" t="s">
        <v>87</v>
      </c>
      <c r="AG111" s="18">
        <v>1.94</v>
      </c>
      <c r="AH111" s="12" t="s">
        <v>109</v>
      </c>
      <c r="AI111" s="12" t="s">
        <v>89</v>
      </c>
      <c r="AJ111" s="12" t="s">
        <v>89</v>
      </c>
      <c r="AK111" s="12" t="s">
        <v>89</v>
      </c>
      <c r="AL111" s="12" t="s">
        <v>127</v>
      </c>
      <c r="AM111" s="12" t="s">
        <v>91</v>
      </c>
      <c r="AN111" s="17" t="s">
        <v>92</v>
      </c>
    </row>
    <row r="112" spans="1:40">
      <c r="A112" s="12" t="s">
        <v>74</v>
      </c>
      <c r="B112" s="12" t="s">
        <v>75</v>
      </c>
      <c r="C112" s="12" t="s">
        <v>76</v>
      </c>
      <c r="D112" s="12" t="s">
        <v>510</v>
      </c>
      <c r="E112" s="12" t="s">
        <v>102</v>
      </c>
      <c r="F112" s="12" t="s">
        <v>525</v>
      </c>
      <c r="G112" s="12" t="s">
        <v>526</v>
      </c>
      <c r="H112" s="34" t="s">
        <v>527</v>
      </c>
      <c r="I112" s="12" t="s">
        <v>82</v>
      </c>
      <c r="J112" s="12" t="s">
        <v>83</v>
      </c>
      <c r="K112" s="18">
        <v>0</v>
      </c>
      <c r="L112" s="18">
        <v>0</v>
      </c>
      <c r="M112" s="12" t="s">
        <v>84</v>
      </c>
      <c r="N112" s="35">
        <v>4026127</v>
      </c>
      <c r="O112" s="35">
        <v>3941445.94</v>
      </c>
      <c r="P112" s="35">
        <v>2228280.54</v>
      </c>
      <c r="Q112" s="35">
        <v>1387806.25</v>
      </c>
      <c r="R112" s="18">
        <f>N112-O112</f>
        <v>84681.06000000006</v>
      </c>
      <c r="S112" s="18">
        <f>O112-P112</f>
        <v>1713165.4</v>
      </c>
      <c r="T112" s="18">
        <f>N112-Q112</f>
        <v>2638320.75</v>
      </c>
      <c r="U112" s="36">
        <f>IF(N112&gt;0,Q112/N112,0)</f>
        <v>0.34470006783193874</v>
      </c>
      <c r="V112" s="35">
        <v>14908875.94</v>
      </c>
      <c r="W112" s="35">
        <v>2181912.74</v>
      </c>
      <c r="X112" s="36">
        <v>0.1463499159011716</v>
      </c>
      <c r="Y112" s="35">
        <v>4026127</v>
      </c>
      <c r="Z112" s="17" t="s">
        <v>333</v>
      </c>
      <c r="AA112" s="35">
        <v>2120577</v>
      </c>
      <c r="AB112" s="35">
        <v>5094106</v>
      </c>
      <c r="AC112" s="35">
        <v>4994536</v>
      </c>
      <c r="AD112" s="35">
        <v>0</v>
      </c>
      <c r="AE112" s="12" t="s">
        <v>86</v>
      </c>
      <c r="AF112" s="12" t="s">
        <v>87</v>
      </c>
      <c r="AG112" s="18">
        <v>-1</v>
      </c>
      <c r="AH112" s="12" t="s">
        <v>136</v>
      </c>
      <c r="AI112" s="12" t="s">
        <v>89</v>
      </c>
      <c r="AJ112" s="12" t="s">
        <v>89</v>
      </c>
      <c r="AK112" s="12" t="s">
        <v>89</v>
      </c>
      <c r="AL112" s="12" t="s">
        <v>141</v>
      </c>
      <c r="AM112" s="12" t="s">
        <v>91</v>
      </c>
      <c r="AN112" s="17" t="s">
        <v>92</v>
      </c>
    </row>
    <row r="113" spans="1:40">
      <c r="A113" s="12" t="s">
        <v>74</v>
      </c>
      <c r="B113" s="12" t="s">
        <v>75</v>
      </c>
      <c r="C113" s="12" t="s">
        <v>76</v>
      </c>
      <c r="D113" s="12" t="s">
        <v>510</v>
      </c>
      <c r="E113" s="12" t="s">
        <v>102</v>
      </c>
      <c r="F113" s="12" t="s">
        <v>528</v>
      </c>
      <c r="G113" s="12" t="s">
        <v>529</v>
      </c>
      <c r="H113" s="34" t="s">
        <v>530</v>
      </c>
      <c r="I113" s="12" t="s">
        <v>82</v>
      </c>
      <c r="J113" s="12" t="s">
        <v>83</v>
      </c>
      <c r="K113" s="18">
        <v>0</v>
      </c>
      <c r="L113" s="18">
        <v>0</v>
      </c>
      <c r="M113" s="12" t="s">
        <v>84</v>
      </c>
      <c r="N113" s="35">
        <v>4927527</v>
      </c>
      <c r="O113" s="35">
        <v>4223260.689999999</v>
      </c>
      <c r="P113" s="35">
        <v>2285234.67</v>
      </c>
      <c r="Q113" s="35">
        <v>1725644.14</v>
      </c>
      <c r="R113" s="18">
        <f>N113-O113</f>
        <v>704266.3100000005</v>
      </c>
      <c r="S113" s="18">
        <f>O113-P113</f>
        <v>1938026.019999999</v>
      </c>
      <c r="T113" s="18">
        <f>N113-Q113</f>
        <v>3201882.8600000003</v>
      </c>
      <c r="U113" s="36">
        <f>IF(N113&gt;0,Q113/N113,0)</f>
        <v>0.35020490806037186</v>
      </c>
      <c r="V113" s="35">
        <v>37278070.87</v>
      </c>
      <c r="W113" s="35">
        <v>2598131.76</v>
      </c>
      <c r="X113" s="36">
        <v>0.06969598209790624</v>
      </c>
      <c r="Y113" s="35">
        <v>4927527</v>
      </c>
      <c r="Z113" s="17" t="s">
        <v>113</v>
      </c>
      <c r="AA113" s="35">
        <v>2000000</v>
      </c>
      <c r="AB113" s="35">
        <v>8000000</v>
      </c>
      <c r="AC113" s="35">
        <v>9133500</v>
      </c>
      <c r="AD113" s="35">
        <v>8629252</v>
      </c>
      <c r="AE113" s="12" t="s">
        <v>86</v>
      </c>
      <c r="AF113" s="12" t="s">
        <v>87</v>
      </c>
      <c r="AG113" s="18">
        <v>0.31</v>
      </c>
      <c r="AH113" s="12" t="s">
        <v>204</v>
      </c>
      <c r="AI113" s="12" t="s">
        <v>89</v>
      </c>
      <c r="AJ113" s="12" t="s">
        <v>89</v>
      </c>
      <c r="AK113" s="12" t="s">
        <v>89</v>
      </c>
      <c r="AL113" s="12" t="s">
        <v>141</v>
      </c>
      <c r="AM113" s="12" t="s">
        <v>91</v>
      </c>
      <c r="AN113" s="17" t="s">
        <v>92</v>
      </c>
    </row>
    <row r="114" spans="1:40">
      <c r="A114" s="12" t="s">
        <v>74</v>
      </c>
      <c r="B114" s="12" t="s">
        <v>75</v>
      </c>
      <c r="C114" s="12" t="s">
        <v>76</v>
      </c>
      <c r="D114" s="12" t="s">
        <v>510</v>
      </c>
      <c r="E114" s="12" t="s">
        <v>102</v>
      </c>
      <c r="F114" s="12" t="s">
        <v>531</v>
      </c>
      <c r="G114" s="12" t="s">
        <v>532</v>
      </c>
      <c r="H114" s="34" t="s">
        <v>533</v>
      </c>
      <c r="I114" s="12" t="s">
        <v>82</v>
      </c>
      <c r="J114" s="12" t="s">
        <v>96</v>
      </c>
      <c r="K114" s="18">
        <v>5679.969999999972</v>
      </c>
      <c r="L114" s="18">
        <v>1335804.03</v>
      </c>
      <c r="M114" s="12" t="s">
        <v>534</v>
      </c>
      <c r="N114" s="35">
        <v>1479604</v>
      </c>
      <c r="O114" s="35">
        <v>1473924.03</v>
      </c>
      <c r="P114" s="35">
        <v>9462.030000000001</v>
      </c>
      <c r="Q114" s="35">
        <v>7416.86</v>
      </c>
      <c r="R114" s="18">
        <f>N114-O114</f>
        <v>5679.969999999972</v>
      </c>
      <c r="S114" s="18">
        <f>O114-P114</f>
        <v>1464462.0</v>
      </c>
      <c r="T114" s="18">
        <f>N114-Q114</f>
        <v>1472187.14</v>
      </c>
      <c r="U114" s="36">
        <f>IF(N114&gt;0,Q114/N114,0)</f>
        <v>0.005012733136704145</v>
      </c>
      <c r="V114" s="35">
        <v>15591687.62</v>
      </c>
      <c r="W114" s="35">
        <v>546689.6899999999</v>
      </c>
      <c r="X114" s="36">
        <v>0.03506289398068379</v>
      </c>
      <c r="Y114" s="35">
        <v>138120</v>
      </c>
      <c r="Z114" s="17" t="s">
        <v>284</v>
      </c>
      <c r="AA114" s="35">
        <v>3000000</v>
      </c>
      <c r="AB114" s="35">
        <v>6984785</v>
      </c>
      <c r="AC114" s="35">
        <v>0</v>
      </c>
      <c r="AD114" s="35">
        <v>6681576</v>
      </c>
      <c r="AE114" s="12" t="s">
        <v>86</v>
      </c>
      <c r="AF114" s="12" t="s">
        <v>87</v>
      </c>
      <c r="AG114" s="18">
        <v>-1</v>
      </c>
      <c r="AH114" s="12" t="s">
        <v>501</v>
      </c>
      <c r="AI114" s="12" t="s">
        <v>89</v>
      </c>
      <c r="AJ114" s="12" t="s">
        <v>89</v>
      </c>
      <c r="AK114" s="12" t="s">
        <v>89</v>
      </c>
      <c r="AL114" s="12" t="s">
        <v>141</v>
      </c>
      <c r="AM114" s="12" t="s">
        <v>91</v>
      </c>
      <c r="AN114" s="17" t="s">
        <v>92</v>
      </c>
    </row>
    <row r="115" spans="1:40">
      <c r="A115" s="12" t="s">
        <v>74</v>
      </c>
      <c r="B115" s="12" t="s">
        <v>75</v>
      </c>
      <c r="C115" s="12" t="s">
        <v>76</v>
      </c>
      <c r="D115" s="12" t="s">
        <v>510</v>
      </c>
      <c r="E115" s="12" t="s">
        <v>102</v>
      </c>
      <c r="F115" s="12" t="s">
        <v>535</v>
      </c>
      <c r="G115" s="12" t="s">
        <v>536</v>
      </c>
      <c r="H115" s="34" t="s">
        <v>537</v>
      </c>
      <c r="I115" s="12" t="s">
        <v>82</v>
      </c>
      <c r="J115" s="12" t="s">
        <v>96</v>
      </c>
      <c r="K115" s="18">
        <v>0</v>
      </c>
      <c r="L115" s="18">
        <v>970838</v>
      </c>
      <c r="M115" s="12" t="s">
        <v>538</v>
      </c>
      <c r="N115" s="35">
        <v>1038097</v>
      </c>
      <c r="O115" s="35">
        <v>1038097</v>
      </c>
      <c r="P115" s="35">
        <v>0</v>
      </c>
      <c r="Q115" s="35">
        <v>0</v>
      </c>
      <c r="R115" s="18">
        <f>N115-O115</f>
        <v>0.0</v>
      </c>
      <c r="S115" s="18">
        <f>O115-P115</f>
        <v>1038097.0</v>
      </c>
      <c r="T115" s="18">
        <f>N115-Q115</f>
        <v>1038097.0</v>
      </c>
      <c r="U115" s="36">
        <f>IF(N115&gt;0,Q115/N115,0)</f>
        <v>0.0</v>
      </c>
      <c r="V115" s="35">
        <v>10869004.84</v>
      </c>
      <c r="W115" s="35">
        <v>177091</v>
      </c>
      <c r="X115" s="36">
        <v>0.01629321199198215</v>
      </c>
      <c r="Y115" s="35">
        <v>67259</v>
      </c>
      <c r="Z115" s="17" t="s">
        <v>284</v>
      </c>
      <c r="AA115" s="12" t="s">
        <v>99</v>
      </c>
      <c r="AB115" s="12" t="s">
        <v>99</v>
      </c>
      <c r="AC115" s="12" t="s">
        <v>99</v>
      </c>
      <c r="AD115" s="12" t="s">
        <v>99</v>
      </c>
      <c r="AE115" s="12" t="s">
        <v>86</v>
      </c>
      <c r="AF115" s="12" t="s">
        <v>87</v>
      </c>
      <c r="AG115" s="18">
        <v>-1</v>
      </c>
      <c r="AH115" s="12" t="s">
        <v>145</v>
      </c>
      <c r="AI115" s="12" t="s">
        <v>89</v>
      </c>
      <c r="AJ115" s="12" t="s">
        <v>89</v>
      </c>
      <c r="AK115" s="12" t="s">
        <v>89</v>
      </c>
      <c r="AL115" s="12" t="s">
        <v>127</v>
      </c>
      <c r="AM115" s="12" t="s">
        <v>296</v>
      </c>
      <c r="AN115" s="17" t="s">
        <v>92</v>
      </c>
    </row>
    <row r="116" spans="1:40">
      <c r="A116" s="12" t="s">
        <v>74</v>
      </c>
      <c r="B116" s="12" t="s">
        <v>75</v>
      </c>
      <c r="C116" s="12" t="s">
        <v>76</v>
      </c>
      <c r="D116" s="12" t="s">
        <v>510</v>
      </c>
      <c r="E116" s="12" t="s">
        <v>102</v>
      </c>
      <c r="F116" s="12" t="s">
        <v>539</v>
      </c>
      <c r="G116" s="12" t="s">
        <v>540</v>
      </c>
      <c r="H116" s="34" t="s">
        <v>541</v>
      </c>
      <c r="I116" s="12" t="s">
        <v>82</v>
      </c>
      <c r="J116" s="12" t="s">
        <v>149</v>
      </c>
      <c r="K116" s="18">
        <v>0</v>
      </c>
      <c r="L116" s="18">
        <v>0</v>
      </c>
      <c r="M116" s="12" t="s">
        <v>150</v>
      </c>
      <c r="N116" s="35">
        <v>0</v>
      </c>
      <c r="O116" s="35">
        <v>0</v>
      </c>
      <c r="P116" s="35">
        <v>0</v>
      </c>
      <c r="Q116" s="35">
        <v>0</v>
      </c>
      <c r="R116" s="18">
        <f>N116-O116</f>
        <v>0.0</v>
      </c>
      <c r="S116" s="18">
        <f>O116-P116</f>
        <v>0.0</v>
      </c>
      <c r="T116" s="18">
        <f>N116-Q116</f>
        <v>0.0</v>
      </c>
      <c r="U116" s="36">
        <f>IF(N116&gt;0,Q116/N116,0)</f>
        <v>0</v>
      </c>
      <c r="V116" s="35">
        <v>8247867.68</v>
      </c>
      <c r="W116" s="35">
        <v>8018866.56</v>
      </c>
      <c r="X116" s="36">
        <v>0.9722351122878343</v>
      </c>
      <c r="Y116" s="35">
        <v>0.12</v>
      </c>
      <c r="Z116" s="17" t="s">
        <v>122</v>
      </c>
      <c r="AA116" s="35">
        <v>144908</v>
      </c>
      <c r="AB116" s="35">
        <v>229001</v>
      </c>
      <c r="AC116" s="35">
        <v>0</v>
      </c>
      <c r="AD116" s="35">
        <v>0</v>
      </c>
      <c r="AE116" s="12" t="s">
        <v>86</v>
      </c>
      <c r="AF116" s="12" t="s">
        <v>87</v>
      </c>
      <c r="AG116" s="18">
        <v>91.33</v>
      </c>
      <c r="AH116" s="12" t="s">
        <v>305</v>
      </c>
      <c r="AI116" s="12" t="s">
        <v>89</v>
      </c>
      <c r="AJ116" s="12" t="s">
        <v>89</v>
      </c>
      <c r="AK116" s="12" t="s">
        <v>89</v>
      </c>
      <c r="AL116" s="12" t="s">
        <v>177</v>
      </c>
      <c r="AM116" s="12" t="s">
        <v>91</v>
      </c>
      <c r="AN116" s="17" t="s">
        <v>92</v>
      </c>
    </row>
    <row r="117" spans="1:40">
      <c r="A117" s="12" t="s">
        <v>74</v>
      </c>
      <c r="B117" s="12" t="s">
        <v>75</v>
      </c>
      <c r="C117" s="12" t="s">
        <v>76</v>
      </c>
      <c r="D117" s="12" t="s">
        <v>510</v>
      </c>
      <c r="E117" s="12" t="s">
        <v>78</v>
      </c>
      <c r="F117" s="12" t="s">
        <v>542</v>
      </c>
      <c r="G117" s="12" t="s">
        <v>543</v>
      </c>
      <c r="H117" s="34" t="s">
        <v>544</v>
      </c>
      <c r="I117" s="12" t="s">
        <v>82</v>
      </c>
      <c r="J117" s="12" t="s">
        <v>83</v>
      </c>
      <c r="K117" s="18">
        <v>0</v>
      </c>
      <c r="L117" s="18">
        <v>0</v>
      </c>
      <c r="M117" s="12" t="s">
        <v>84</v>
      </c>
      <c r="N117" s="35">
        <v>56150305</v>
      </c>
      <c r="O117" s="35">
        <v>56150304.02</v>
      </c>
      <c r="P117" s="35">
        <v>55370047.94</v>
      </c>
      <c r="Q117" s="35">
        <v>29724123.72</v>
      </c>
      <c r="R117" s="18">
        <f>N117-O117</f>
        <v>0.9799999967217445</v>
      </c>
      <c r="S117" s="18">
        <f>O117-P117</f>
        <v>780256.0800000057</v>
      </c>
      <c r="T117" s="18">
        <f>N117-Q117</f>
        <v>26426181.279999997</v>
      </c>
      <c r="U117" s="36">
        <f>IF(N117&gt;0,Q117/N117,0)</f>
        <v>0.5293670928412588</v>
      </c>
      <c r="V117" s="35">
        <v>194338861.28</v>
      </c>
      <c r="W117" s="35">
        <v>111267690.04</v>
      </c>
      <c r="X117" s="36">
        <v>0.5725447257802313</v>
      </c>
      <c r="Y117" s="35">
        <v>56150305</v>
      </c>
      <c r="Z117" s="17" t="s">
        <v>135</v>
      </c>
      <c r="AA117" s="12" t="s">
        <v>99</v>
      </c>
      <c r="AB117" s="12" t="s">
        <v>99</v>
      </c>
      <c r="AC117" s="12" t="s">
        <v>99</v>
      </c>
      <c r="AD117" s="12" t="s">
        <v>99</v>
      </c>
      <c r="AE117" s="12" t="s">
        <v>86</v>
      </c>
      <c r="AF117" s="12" t="s">
        <v>87</v>
      </c>
      <c r="AG117" s="18">
        <v>23.81</v>
      </c>
      <c r="AH117" s="12" t="s">
        <v>136</v>
      </c>
      <c r="AI117" s="12" t="s">
        <v>89</v>
      </c>
      <c r="AJ117" s="12" t="s">
        <v>89</v>
      </c>
      <c r="AK117" s="12" t="s">
        <v>89</v>
      </c>
      <c r="AL117" s="12" t="s">
        <v>101</v>
      </c>
      <c r="AM117" s="12" t="s">
        <v>91</v>
      </c>
      <c r="AN117" s="17" t="s">
        <v>92</v>
      </c>
    </row>
    <row r="118" spans="1:40">
      <c r="A118" s="12" t="s">
        <v>74</v>
      </c>
      <c r="B118" s="12" t="s">
        <v>75</v>
      </c>
      <c r="C118" s="12" t="s">
        <v>76</v>
      </c>
      <c r="D118" s="12" t="s">
        <v>510</v>
      </c>
      <c r="E118" s="12" t="s">
        <v>78</v>
      </c>
      <c r="F118" s="12" t="s">
        <v>545</v>
      </c>
      <c r="G118" s="12" t="s">
        <v>546</v>
      </c>
      <c r="H118" s="34" t="s">
        <v>547</v>
      </c>
      <c r="I118" s="12" t="s">
        <v>82</v>
      </c>
      <c r="J118" s="12" t="s">
        <v>83</v>
      </c>
      <c r="K118" s="18">
        <v>0</v>
      </c>
      <c r="L118" s="18">
        <v>0</v>
      </c>
      <c r="M118" s="12" t="s">
        <v>84</v>
      </c>
      <c r="N118" s="35">
        <v>8766661</v>
      </c>
      <c r="O118" s="35">
        <v>8493624.369999997</v>
      </c>
      <c r="P118" s="35">
        <v>4063268.09</v>
      </c>
      <c r="Q118" s="35">
        <v>3843826.37</v>
      </c>
      <c r="R118" s="18">
        <f>N118-O118</f>
        <v>273036.6300000027</v>
      </c>
      <c r="S118" s="18">
        <f>O118-P118</f>
        <v>4430356.2799999975</v>
      </c>
      <c r="T118" s="18">
        <f>N118-Q118</f>
        <v>4922834.63</v>
      </c>
      <c r="U118" s="36">
        <f>IF(N118&gt;0,Q118/N118,0)</f>
        <v>0.4384595651639775</v>
      </c>
      <c r="V118" s="35">
        <v>68648395.18000001</v>
      </c>
      <c r="W118" s="35">
        <v>27901409.98</v>
      </c>
      <c r="X118" s="36">
        <v>0.4064393625931227</v>
      </c>
      <c r="Y118" s="35">
        <v>8766661</v>
      </c>
      <c r="Z118" s="17" t="s">
        <v>333</v>
      </c>
      <c r="AA118" s="35">
        <v>22181694</v>
      </c>
      <c r="AB118" s="35">
        <v>12443559</v>
      </c>
      <c r="AC118" s="35">
        <v>23194677</v>
      </c>
      <c r="AD118" s="35">
        <v>529157</v>
      </c>
      <c r="AE118" s="12" t="s">
        <v>86</v>
      </c>
      <c r="AF118" s="12" t="s">
        <v>87</v>
      </c>
      <c r="AG118" s="18">
        <v>14.55</v>
      </c>
      <c r="AH118" s="12" t="s">
        <v>136</v>
      </c>
      <c r="AI118" s="12" t="s">
        <v>89</v>
      </c>
      <c r="AJ118" s="12" t="s">
        <v>89</v>
      </c>
      <c r="AK118" s="12" t="s">
        <v>89</v>
      </c>
      <c r="AL118" s="12" t="s">
        <v>101</v>
      </c>
      <c r="AM118" s="12" t="s">
        <v>171</v>
      </c>
      <c r="AN118" s="17" t="s">
        <v>92</v>
      </c>
    </row>
    <row r="119" spans="1:40">
      <c r="A119" s="12" t="s">
        <v>74</v>
      </c>
      <c r="B119" s="12" t="s">
        <v>75</v>
      </c>
      <c r="C119" s="12" t="s">
        <v>76</v>
      </c>
      <c r="D119" s="12" t="s">
        <v>510</v>
      </c>
      <c r="E119" s="12" t="s">
        <v>78</v>
      </c>
      <c r="F119" s="12" t="s">
        <v>548</v>
      </c>
      <c r="G119" s="12" t="s">
        <v>549</v>
      </c>
      <c r="H119" s="34" t="s">
        <v>550</v>
      </c>
      <c r="I119" s="12" t="s">
        <v>82</v>
      </c>
      <c r="J119" s="12" t="s">
        <v>106</v>
      </c>
      <c r="K119" s="18">
        <v>0</v>
      </c>
      <c r="L119" s="18">
        <v>0</v>
      </c>
      <c r="M119" s="12" t="s">
        <v>121</v>
      </c>
      <c r="N119" s="35">
        <v>18753537</v>
      </c>
      <c r="O119" s="35">
        <v>18471517.02</v>
      </c>
      <c r="P119" s="35">
        <v>17212318.05</v>
      </c>
      <c r="Q119" s="35">
        <v>17212318.05</v>
      </c>
      <c r="R119" s="18">
        <f>N119-O119</f>
        <v>282019.98000000045</v>
      </c>
      <c r="S119" s="18">
        <f>O119-P119</f>
        <v>1259198.9699999988</v>
      </c>
      <c r="T119" s="18">
        <f>N119-Q119</f>
        <v>1541218.9499999993</v>
      </c>
      <c r="U119" s="36">
        <f>IF(N119&gt;0,Q119/N119,0)</f>
        <v>0.9178171589711317</v>
      </c>
      <c r="V119" s="35">
        <v>71697082.11</v>
      </c>
      <c r="W119" s="35">
        <v>18319193.86</v>
      </c>
      <c r="X119" s="36">
        <v>0.2555082204307017</v>
      </c>
      <c r="Y119" s="35">
        <v>16217742</v>
      </c>
      <c r="Z119" s="17" t="s">
        <v>85</v>
      </c>
      <c r="AA119" s="35">
        <v>12200258</v>
      </c>
      <c r="AB119" s="35">
        <v>14587856</v>
      </c>
      <c r="AC119" s="35">
        <v>16487882</v>
      </c>
      <c r="AD119" s="35">
        <v>20726909</v>
      </c>
      <c r="AE119" s="12" t="s">
        <v>86</v>
      </c>
      <c r="AF119" s="12" t="s">
        <v>87</v>
      </c>
      <c r="AG119" s="18">
        <v>0.57</v>
      </c>
      <c r="AH119" s="12" t="s">
        <v>145</v>
      </c>
      <c r="AI119" s="12" t="s">
        <v>89</v>
      </c>
      <c r="AJ119" s="12" t="s">
        <v>89</v>
      </c>
      <c r="AK119" s="12" t="s">
        <v>89</v>
      </c>
      <c r="AL119" s="12" t="s">
        <v>141</v>
      </c>
      <c r="AM119" s="12" t="s">
        <v>91</v>
      </c>
      <c r="AN119" s="17" t="s">
        <v>92</v>
      </c>
    </row>
    <row r="120" spans="1:40">
      <c r="A120" s="12" t="s">
        <v>74</v>
      </c>
      <c r="B120" s="12" t="s">
        <v>75</v>
      </c>
      <c r="C120" s="12" t="s">
        <v>76</v>
      </c>
      <c r="D120" s="12" t="s">
        <v>510</v>
      </c>
      <c r="E120" s="12" t="s">
        <v>78</v>
      </c>
      <c r="F120" s="12" t="s">
        <v>551</v>
      </c>
      <c r="G120" s="12" t="s">
        <v>552</v>
      </c>
      <c r="H120" s="34" t="s">
        <v>553</v>
      </c>
      <c r="I120" s="12" t="s">
        <v>82</v>
      </c>
      <c r="J120" s="12" t="s">
        <v>106</v>
      </c>
      <c r="K120" s="18">
        <v>0</v>
      </c>
      <c r="L120" s="18">
        <v>0</v>
      </c>
      <c r="M120" s="12" t="s">
        <v>121</v>
      </c>
      <c r="N120" s="35">
        <v>17484286</v>
      </c>
      <c r="O120" s="35">
        <v>17380462.93</v>
      </c>
      <c r="P120" s="35">
        <v>16260021.31</v>
      </c>
      <c r="Q120" s="35">
        <v>15761867.26</v>
      </c>
      <c r="R120" s="18">
        <f>N120-O120</f>
        <v>103823.0700000003</v>
      </c>
      <c r="S120" s="18">
        <f>O120-P120</f>
        <v>1120441.6199999992</v>
      </c>
      <c r="T120" s="18">
        <f>N120-Q120</f>
        <v>1722418.7399999984</v>
      </c>
      <c r="U120" s="36">
        <f>IF(N120&gt;0,Q120/N120,0)</f>
        <v>0.9014876135062079</v>
      </c>
      <c r="V120" s="35">
        <v>68461223.53</v>
      </c>
      <c r="W120" s="35">
        <v>17718575.47</v>
      </c>
      <c r="X120" s="36">
        <v>0.2588118434990523</v>
      </c>
      <c r="Y120" s="35">
        <v>15410021.97</v>
      </c>
      <c r="Z120" s="17" t="s">
        <v>376</v>
      </c>
      <c r="AA120" s="35">
        <v>12000000</v>
      </c>
      <c r="AB120" s="35">
        <v>14587598</v>
      </c>
      <c r="AC120" s="35">
        <v>26545222</v>
      </c>
      <c r="AD120" s="35">
        <v>3405517</v>
      </c>
      <c r="AE120" s="12" t="s">
        <v>86</v>
      </c>
      <c r="AF120" s="12" t="s">
        <v>87</v>
      </c>
      <c r="AG120" s="18">
        <v>0.12</v>
      </c>
      <c r="AH120" s="12" t="s">
        <v>145</v>
      </c>
      <c r="AI120" s="12" t="s">
        <v>89</v>
      </c>
      <c r="AJ120" s="12" t="s">
        <v>89</v>
      </c>
      <c r="AK120" s="12" t="s">
        <v>89</v>
      </c>
      <c r="AL120" s="12" t="s">
        <v>101</v>
      </c>
      <c r="AM120" s="12" t="s">
        <v>255</v>
      </c>
      <c r="AN120" s="17" t="s">
        <v>92</v>
      </c>
    </row>
    <row r="121" spans="1:40">
      <c r="A121" s="12" t="s">
        <v>74</v>
      </c>
      <c r="B121" s="12" t="s">
        <v>75</v>
      </c>
      <c r="C121" s="12" t="s">
        <v>76</v>
      </c>
      <c r="D121" s="12" t="s">
        <v>510</v>
      </c>
      <c r="E121" s="12" t="s">
        <v>78</v>
      </c>
      <c r="F121" s="12" t="s">
        <v>554</v>
      </c>
      <c r="G121" s="12" t="s">
        <v>555</v>
      </c>
      <c r="H121" s="34" t="s">
        <v>556</v>
      </c>
      <c r="I121" s="12" t="s">
        <v>82</v>
      </c>
      <c r="J121" s="12" t="s">
        <v>83</v>
      </c>
      <c r="K121" s="18">
        <v>0</v>
      </c>
      <c r="L121" s="18">
        <v>0</v>
      </c>
      <c r="M121" s="12" t="s">
        <v>84</v>
      </c>
      <c r="N121" s="35">
        <v>41519761</v>
      </c>
      <c r="O121" s="35">
        <v>39201248.73</v>
      </c>
      <c r="P121" s="35">
        <v>10839278.54</v>
      </c>
      <c r="Q121" s="35">
        <v>10652959.62</v>
      </c>
      <c r="R121" s="18">
        <f>N121-O121</f>
        <v>2318512.2700000033</v>
      </c>
      <c r="S121" s="18">
        <f>O121-P121</f>
        <v>28361970.189999998</v>
      </c>
      <c r="T121" s="18">
        <f>N121-Q121</f>
        <v>30866801.380000003</v>
      </c>
      <c r="U121" s="36">
        <f>IF(N121&gt;0,Q121/N121,0)</f>
        <v>0.25657564888198653</v>
      </c>
      <c r="V121" s="35">
        <v>215070053.12</v>
      </c>
      <c r="W121" s="35">
        <v>100420864.05</v>
      </c>
      <c r="X121" s="36">
        <v>0.4669216499145485</v>
      </c>
      <c r="Y121" s="35">
        <v>65112254</v>
      </c>
      <c r="Z121" s="17" t="s">
        <v>85</v>
      </c>
      <c r="AA121" s="12" t="s">
        <v>99</v>
      </c>
      <c r="AB121" s="12" t="s">
        <v>99</v>
      </c>
      <c r="AC121" s="12" t="s">
        <v>99</v>
      </c>
      <c r="AD121" s="12" t="s">
        <v>99</v>
      </c>
      <c r="AE121" s="12" t="s">
        <v>86</v>
      </c>
      <c r="AF121" s="12" t="s">
        <v>87</v>
      </c>
      <c r="AG121" s="18">
        <v>13.75</v>
      </c>
      <c r="AH121" s="12" t="s">
        <v>145</v>
      </c>
      <c r="AI121" s="12" t="s">
        <v>89</v>
      </c>
      <c r="AJ121" s="12" t="s">
        <v>89</v>
      </c>
      <c r="AK121" s="12" t="s">
        <v>89</v>
      </c>
      <c r="AL121" s="12" t="s">
        <v>127</v>
      </c>
      <c r="AM121" s="12" t="s">
        <v>91</v>
      </c>
      <c r="AN121" s="17" t="s">
        <v>92</v>
      </c>
    </row>
    <row r="122" spans="1:40">
      <c r="A122" s="12" t="s">
        <v>74</v>
      </c>
      <c r="B122" s="12" t="s">
        <v>75</v>
      </c>
      <c r="C122" s="12" t="s">
        <v>76</v>
      </c>
      <c r="D122" s="12" t="s">
        <v>510</v>
      </c>
      <c r="E122" s="12" t="s">
        <v>78</v>
      </c>
      <c r="F122" s="12" t="s">
        <v>557</v>
      </c>
      <c r="G122" s="12" t="s">
        <v>558</v>
      </c>
      <c r="H122" s="34" t="s">
        <v>559</v>
      </c>
      <c r="I122" s="12" t="s">
        <v>82</v>
      </c>
      <c r="J122" s="12" t="s">
        <v>272</v>
      </c>
      <c r="K122" s="18">
        <v>219373.9399999999</v>
      </c>
      <c r="L122" s="18">
        <v>150907.0600000001</v>
      </c>
      <c r="M122" s="12" t="s">
        <v>560</v>
      </c>
      <c r="N122" s="35">
        <v>966193</v>
      </c>
      <c r="O122" s="35">
        <v>746819.0600000001</v>
      </c>
      <c r="P122" s="35">
        <v>6257.4</v>
      </c>
      <c r="Q122" s="35">
        <v>6257.4</v>
      </c>
      <c r="R122" s="18">
        <f>N122-O122</f>
        <v>219373.93999999994</v>
      </c>
      <c r="S122" s="18">
        <f>O122-P122</f>
        <v>740561.66</v>
      </c>
      <c r="T122" s="18">
        <f>N122-Q122</f>
        <v>959935.6</v>
      </c>
      <c r="U122" s="36">
        <f>IF(N122&gt;0,Q122/N122,0)</f>
        <v>0.006476345823246494</v>
      </c>
      <c r="V122" s="35">
        <v>147488463.21</v>
      </c>
      <c r="W122" s="35">
        <v>417766.02</v>
      </c>
      <c r="X122" s="36">
        <v>0.002832533548099745</v>
      </c>
      <c r="Y122" s="35">
        <v>595912</v>
      </c>
      <c r="Z122" s="17" t="s">
        <v>284</v>
      </c>
      <c r="AA122" s="12" t="s">
        <v>99</v>
      </c>
      <c r="AB122" s="12" t="s">
        <v>99</v>
      </c>
      <c r="AC122" s="12" t="s">
        <v>99</v>
      </c>
      <c r="AD122" s="12" t="s">
        <v>99</v>
      </c>
      <c r="AE122" s="12" t="s">
        <v>86</v>
      </c>
      <c r="AF122" s="12" t="s">
        <v>87</v>
      </c>
      <c r="AG122" s="18">
        <v>-1</v>
      </c>
      <c r="AH122" s="12" t="s">
        <v>561</v>
      </c>
      <c r="AI122" s="12" t="s">
        <v>89</v>
      </c>
      <c r="AJ122" s="12" t="s">
        <v>89</v>
      </c>
      <c r="AK122" s="12" t="s">
        <v>89</v>
      </c>
      <c r="AL122" s="12" t="s">
        <v>141</v>
      </c>
      <c r="AM122" s="12" t="s">
        <v>562</v>
      </c>
      <c r="AN122" s="17" t="s">
        <v>92</v>
      </c>
    </row>
    <row r="123" spans="1:40">
      <c r="A123" s="12" t="s">
        <v>74</v>
      </c>
      <c r="B123" s="12" t="s">
        <v>75</v>
      </c>
      <c r="C123" s="12" t="s">
        <v>76</v>
      </c>
      <c r="D123" s="12" t="s">
        <v>510</v>
      </c>
      <c r="E123" s="12" t="s">
        <v>78</v>
      </c>
      <c r="F123" s="12" t="s">
        <v>563</v>
      </c>
      <c r="G123" s="12" t="s">
        <v>564</v>
      </c>
      <c r="H123" s="34" t="s">
        <v>565</v>
      </c>
      <c r="I123" s="12" t="s">
        <v>82</v>
      </c>
      <c r="J123" s="12" t="s">
        <v>106</v>
      </c>
      <c r="K123" s="18">
        <v>0</v>
      </c>
      <c r="L123" s="18">
        <v>0</v>
      </c>
      <c r="M123" s="12" t="s">
        <v>121</v>
      </c>
      <c r="N123" s="35">
        <v>4068561</v>
      </c>
      <c r="O123" s="35">
        <v>4043454.41</v>
      </c>
      <c r="P123" s="35">
        <v>4043454.41</v>
      </c>
      <c r="Q123" s="35">
        <v>4043454.41</v>
      </c>
      <c r="R123" s="18">
        <f>N123-O123</f>
        <v>25106.58999999985</v>
      </c>
      <c r="S123" s="18">
        <f>O123-P123</f>
        <v>0.0</v>
      </c>
      <c r="T123" s="18">
        <f>N123-Q123</f>
        <v>25106.58999999985</v>
      </c>
      <c r="U123" s="36">
        <f>IF(N123&gt;0,Q123/N123,0)</f>
        <v>0.9938291228766142</v>
      </c>
      <c r="V123" s="35">
        <v>106793895.31</v>
      </c>
      <c r="W123" s="35">
        <v>102650440.31</v>
      </c>
      <c r="X123" s="36">
        <v>0.9612013871394762</v>
      </c>
      <c r="Y123" s="35">
        <v>4068561</v>
      </c>
      <c r="Z123" s="17" t="s">
        <v>85</v>
      </c>
      <c r="AA123" s="35">
        <v>100000</v>
      </c>
      <c r="AB123" s="35">
        <v>0</v>
      </c>
      <c r="AC123" s="35">
        <v>0</v>
      </c>
      <c r="AD123" s="35">
        <v>900000</v>
      </c>
      <c r="AE123" s="12" t="s">
        <v>86</v>
      </c>
      <c r="AF123" s="12" t="s">
        <v>87</v>
      </c>
      <c r="AG123" s="18">
        <v>100</v>
      </c>
      <c r="AH123" s="12" t="s">
        <v>566</v>
      </c>
      <c r="AI123" s="12" t="s">
        <v>89</v>
      </c>
      <c r="AJ123" s="12" t="s">
        <v>89</v>
      </c>
      <c r="AK123" s="12" t="s">
        <v>89</v>
      </c>
      <c r="AL123" s="12" t="s">
        <v>567</v>
      </c>
      <c r="AM123" s="12" t="s">
        <v>91</v>
      </c>
      <c r="AN123" s="17" t="s">
        <v>92</v>
      </c>
    </row>
    <row r="124" spans="1:40">
      <c r="A124" s="12" t="s">
        <v>74</v>
      </c>
      <c r="B124" s="12" t="s">
        <v>75</v>
      </c>
      <c r="C124" s="12" t="s">
        <v>76</v>
      </c>
      <c r="D124" s="12" t="s">
        <v>510</v>
      </c>
      <c r="E124" s="12" t="s">
        <v>78</v>
      </c>
      <c r="F124" s="12" t="s">
        <v>568</v>
      </c>
      <c r="G124" s="12" t="s">
        <v>569</v>
      </c>
      <c r="H124" s="34" t="s">
        <v>570</v>
      </c>
      <c r="I124" s="12" t="s">
        <v>82</v>
      </c>
      <c r="J124" s="12" t="s">
        <v>83</v>
      </c>
      <c r="K124" s="18">
        <v>0</v>
      </c>
      <c r="L124" s="18">
        <v>0</v>
      </c>
      <c r="M124" s="12" t="s">
        <v>84</v>
      </c>
      <c r="N124" s="35">
        <v>1382457</v>
      </c>
      <c r="O124" s="35">
        <v>1382455.8</v>
      </c>
      <c r="P124" s="35">
        <v>1076855.8</v>
      </c>
      <c r="Q124" s="35">
        <v>215371.16</v>
      </c>
      <c r="R124" s="18">
        <f>N124-O124</f>
        <v>1.1999999999534339</v>
      </c>
      <c r="S124" s="18">
        <f>O124-P124</f>
        <v>305600.0</v>
      </c>
      <c r="T124" s="18">
        <f>N124-Q124</f>
        <v>1167085.84</v>
      </c>
      <c r="U124" s="36">
        <f>IF(N124&gt;0,Q124/N124,0)</f>
        <v>0.15578868637505544</v>
      </c>
      <c r="V124" s="35">
        <v>45573973.97</v>
      </c>
      <c r="W124" s="35">
        <v>215371.16</v>
      </c>
      <c r="X124" s="36">
        <v>0.004725748957985811</v>
      </c>
      <c r="Y124" s="35">
        <v>1382457</v>
      </c>
      <c r="Z124" s="17" t="s">
        <v>85</v>
      </c>
      <c r="AA124" s="35">
        <v>5480901</v>
      </c>
      <c r="AB124" s="35">
        <v>12000000</v>
      </c>
      <c r="AC124" s="35">
        <v>0</v>
      </c>
      <c r="AD124" s="35">
        <v>100000</v>
      </c>
      <c r="AE124" s="12" t="s">
        <v>86</v>
      </c>
      <c r="AF124" s="12" t="s">
        <v>87</v>
      </c>
      <c r="AG124" s="18">
        <v>-1</v>
      </c>
      <c r="AH124" s="12" t="s">
        <v>571</v>
      </c>
      <c r="AI124" s="12" t="s">
        <v>89</v>
      </c>
      <c r="AJ124" s="12" t="s">
        <v>89</v>
      </c>
      <c r="AK124" s="12" t="s">
        <v>89</v>
      </c>
      <c r="AL124" s="12" t="s">
        <v>101</v>
      </c>
      <c r="AM124" s="12" t="s">
        <v>91</v>
      </c>
      <c r="AN124" s="17" t="s">
        <v>92</v>
      </c>
    </row>
    <row r="125" spans="1:40">
      <c r="A125" s="12" t="s">
        <v>74</v>
      </c>
      <c r="B125" s="12" t="s">
        <v>75</v>
      </c>
      <c r="C125" s="12" t="s">
        <v>76</v>
      </c>
      <c r="D125" s="12" t="s">
        <v>510</v>
      </c>
      <c r="E125" s="12" t="s">
        <v>78</v>
      </c>
      <c r="F125" s="12" t="s">
        <v>572</v>
      </c>
      <c r="G125" s="12" t="s">
        <v>573</v>
      </c>
      <c r="H125" s="34" t="s">
        <v>574</v>
      </c>
      <c r="I125" s="12" t="s">
        <v>82</v>
      </c>
      <c r="J125" s="12" t="s">
        <v>106</v>
      </c>
      <c r="K125" s="18">
        <v>0</v>
      </c>
      <c r="L125" s="18">
        <v>0</v>
      </c>
      <c r="M125" s="12" t="s">
        <v>175</v>
      </c>
      <c r="N125" s="35">
        <v>3866926</v>
      </c>
      <c r="O125" s="35">
        <v>2225809.46</v>
      </c>
      <c r="P125" s="35">
        <v>2101121.26</v>
      </c>
      <c r="Q125" s="35">
        <v>1969860.23</v>
      </c>
      <c r="R125" s="18">
        <f>N125-O125</f>
        <v>1641116.54</v>
      </c>
      <c r="S125" s="18">
        <f>O125-P125</f>
        <v>124688.20000000019</v>
      </c>
      <c r="T125" s="18">
        <f>N125-Q125</f>
        <v>1897065.7699999998</v>
      </c>
      <c r="U125" s="36">
        <f>IF(N125&gt;0,Q125/N125,0)</f>
        <v>0.5094124454411593</v>
      </c>
      <c r="V125" s="35">
        <v>49010236.66</v>
      </c>
      <c r="W125" s="35">
        <v>47416325.6</v>
      </c>
      <c r="X125" s="36">
        <v>0.967477997075234</v>
      </c>
      <c r="Y125" s="35">
        <v>3866926</v>
      </c>
      <c r="Z125" s="17" t="s">
        <v>135</v>
      </c>
      <c r="AA125" s="35">
        <v>200000</v>
      </c>
      <c r="AB125" s="35">
        <v>0</v>
      </c>
      <c r="AC125" s="35">
        <v>522166</v>
      </c>
      <c r="AD125" s="35">
        <v>0</v>
      </c>
      <c r="AE125" s="12" t="s">
        <v>86</v>
      </c>
      <c r="AF125" s="12" t="s">
        <v>87</v>
      </c>
      <c r="AG125" s="18">
        <v>94.97</v>
      </c>
      <c r="AH125" s="12" t="s">
        <v>145</v>
      </c>
      <c r="AI125" s="12" t="s">
        <v>89</v>
      </c>
      <c r="AJ125" s="12" t="s">
        <v>89</v>
      </c>
      <c r="AK125" s="12" t="s">
        <v>89</v>
      </c>
      <c r="AL125" s="12" t="s">
        <v>101</v>
      </c>
      <c r="AM125" s="12" t="s">
        <v>91</v>
      </c>
      <c r="AN125" s="17" t="s">
        <v>92</v>
      </c>
    </row>
    <row r="126" spans="1:40">
      <c r="A126" s="12" t="s">
        <v>74</v>
      </c>
      <c r="B126" s="12" t="s">
        <v>75</v>
      </c>
      <c r="C126" s="12" t="s">
        <v>76</v>
      </c>
      <c r="D126" s="12" t="s">
        <v>510</v>
      </c>
      <c r="E126" s="12" t="s">
        <v>78</v>
      </c>
      <c r="F126" s="12" t="s">
        <v>575</v>
      </c>
      <c r="G126" s="12" t="s">
        <v>576</v>
      </c>
      <c r="H126" s="34" t="s">
        <v>577</v>
      </c>
      <c r="I126" s="12" t="s">
        <v>82</v>
      </c>
      <c r="J126" s="12" t="s">
        <v>272</v>
      </c>
      <c r="K126" s="18">
        <v>53287.85999999999</v>
      </c>
      <c r="L126" s="18">
        <v>0</v>
      </c>
      <c r="M126" s="12" t="s">
        <v>578</v>
      </c>
      <c r="N126" s="35">
        <v>407088</v>
      </c>
      <c r="O126" s="35">
        <v>327566</v>
      </c>
      <c r="P126" s="35">
        <v>323566</v>
      </c>
      <c r="Q126" s="35">
        <v>287714.38</v>
      </c>
      <c r="R126" s="18">
        <f>N126-O126</f>
        <v>79522.0</v>
      </c>
      <c r="S126" s="18">
        <f>O126-P126</f>
        <v>4000.0</v>
      </c>
      <c r="T126" s="18">
        <f>N126-Q126</f>
        <v>119373.62</v>
      </c>
      <c r="U126" s="36">
        <f>IF(N126&gt;0,Q126/N126,0)</f>
        <v>0.7067621251424754</v>
      </c>
      <c r="V126" s="35">
        <v>8528397.710000001</v>
      </c>
      <c r="W126" s="35">
        <v>3313843.45</v>
      </c>
      <c r="X126" s="36">
        <v>0.388565773159751</v>
      </c>
      <c r="Y126" s="35">
        <v>353800.14</v>
      </c>
      <c r="Z126" s="17" t="s">
        <v>122</v>
      </c>
      <c r="AA126" s="35">
        <v>1199085</v>
      </c>
      <c r="AB126" s="35">
        <v>5128392</v>
      </c>
      <c r="AC126" s="35">
        <v>53288</v>
      </c>
      <c r="AD126" s="35">
        <v>0</v>
      </c>
      <c r="AE126" s="12" t="s">
        <v>86</v>
      </c>
      <c r="AF126" s="12" t="s">
        <v>87</v>
      </c>
      <c r="AG126" s="18">
        <v>27.88</v>
      </c>
      <c r="AH126" s="12" t="s">
        <v>571</v>
      </c>
      <c r="AI126" s="12" t="s">
        <v>89</v>
      </c>
      <c r="AJ126" s="12" t="s">
        <v>89</v>
      </c>
      <c r="AK126" s="12" t="s">
        <v>89</v>
      </c>
      <c r="AL126" s="12" t="s">
        <v>141</v>
      </c>
      <c r="AM126" s="12" t="s">
        <v>579</v>
      </c>
      <c r="AN126" s="17" t="s">
        <v>92</v>
      </c>
    </row>
    <row r="127" spans="1:40">
      <c r="A127" s="12" t="s">
        <v>74</v>
      </c>
      <c r="B127" s="12" t="s">
        <v>75</v>
      </c>
      <c r="C127" s="12" t="s">
        <v>76</v>
      </c>
      <c r="D127" s="12" t="s">
        <v>510</v>
      </c>
      <c r="E127" s="12" t="s">
        <v>221</v>
      </c>
      <c r="F127" s="12" t="s">
        <v>580</v>
      </c>
      <c r="G127" s="12" t="s">
        <v>581</v>
      </c>
      <c r="H127" s="34" t="s">
        <v>582</v>
      </c>
      <c r="I127" s="12" t="s">
        <v>82</v>
      </c>
      <c r="J127" s="12" t="s">
        <v>83</v>
      </c>
      <c r="K127" s="18">
        <v>0</v>
      </c>
      <c r="L127" s="18">
        <v>0</v>
      </c>
      <c r="M127" s="12" t="s">
        <v>84</v>
      </c>
      <c r="N127" s="35">
        <v>3978899</v>
      </c>
      <c r="O127" s="35">
        <v>3978899</v>
      </c>
      <c r="P127" s="35">
        <v>3978899</v>
      </c>
      <c r="Q127" s="35">
        <v>0</v>
      </c>
      <c r="R127" s="18">
        <f>N127-O127</f>
        <v>0.0</v>
      </c>
      <c r="S127" s="18">
        <f>O127-P127</f>
        <v>0.0</v>
      </c>
      <c r="T127" s="18">
        <f>N127-Q127</f>
        <v>3978899.0</v>
      </c>
      <c r="U127" s="36">
        <f>IF(N127&gt;0,Q127/N127,0)</f>
        <v>0.0</v>
      </c>
      <c r="V127" s="35">
        <v>16882807.12</v>
      </c>
      <c r="W127" s="35">
        <v>445656.44</v>
      </c>
      <c r="X127" s="36">
        <v>0.02639705807407222</v>
      </c>
      <c r="Y127" s="35">
        <v>3978899</v>
      </c>
      <c r="Z127" s="17" t="s">
        <v>85</v>
      </c>
      <c r="AA127" s="35">
        <v>4000000</v>
      </c>
      <c r="AB127" s="35">
        <v>8256356</v>
      </c>
      <c r="AC127" s="35">
        <v>4200001</v>
      </c>
      <c r="AD127" s="35">
        <v>103192</v>
      </c>
      <c r="AE127" s="12" t="s">
        <v>86</v>
      </c>
      <c r="AF127" s="12" t="s">
        <v>87</v>
      </c>
      <c r="AG127" s="18">
        <v>-1</v>
      </c>
      <c r="AH127" s="12" t="s">
        <v>145</v>
      </c>
      <c r="AI127" s="12" t="s">
        <v>89</v>
      </c>
      <c r="AJ127" s="12" t="s">
        <v>89</v>
      </c>
      <c r="AK127" s="12" t="s">
        <v>89</v>
      </c>
      <c r="AL127" s="12" t="s">
        <v>141</v>
      </c>
      <c r="AM127" s="12" t="s">
        <v>91</v>
      </c>
      <c r="AN127" s="17" t="s">
        <v>92</v>
      </c>
    </row>
    <row r="128" spans="1:40">
      <c r="A128" s="12" t="s">
        <v>74</v>
      </c>
      <c r="B128" s="12" t="s">
        <v>75</v>
      </c>
      <c r="C128" s="12" t="s">
        <v>76</v>
      </c>
      <c r="D128" s="12" t="s">
        <v>510</v>
      </c>
      <c r="E128" s="12" t="s">
        <v>319</v>
      </c>
      <c r="F128" s="12" t="s">
        <v>583</v>
      </c>
      <c r="G128" s="12" t="s">
        <v>584</v>
      </c>
      <c r="H128" s="34" t="s">
        <v>585</v>
      </c>
      <c r="I128" s="12" t="s">
        <v>82</v>
      </c>
      <c r="J128" s="12" t="s">
        <v>83</v>
      </c>
      <c r="K128" s="18">
        <v>0</v>
      </c>
      <c r="L128" s="18">
        <v>0</v>
      </c>
      <c r="M128" s="12" t="s">
        <v>84</v>
      </c>
      <c r="N128" s="35">
        <v>6912542</v>
      </c>
      <c r="O128" s="35">
        <v>6855594.060000001</v>
      </c>
      <c r="P128" s="35">
        <v>5864788.6</v>
      </c>
      <c r="Q128" s="35">
        <v>4377038.86</v>
      </c>
      <c r="R128" s="18">
        <f>N128-O128</f>
        <v>56947.93999999948</v>
      </c>
      <c r="S128" s="18">
        <f>O128-P128</f>
        <v>990805.4600000009</v>
      </c>
      <c r="T128" s="18">
        <f>N128-Q128</f>
        <v>2535503.1399999997</v>
      </c>
      <c r="U128" s="36">
        <f>IF(N128&gt;0,Q128/N128,0)</f>
        <v>0.6332024977208096</v>
      </c>
      <c r="V128" s="35">
        <v>24494944.23</v>
      </c>
      <c r="W128" s="35">
        <v>4827077.41</v>
      </c>
      <c r="X128" s="36">
        <v>0.197064233528161</v>
      </c>
      <c r="Y128" s="35">
        <v>6912542</v>
      </c>
      <c r="Z128" s="17" t="s">
        <v>85</v>
      </c>
      <c r="AA128" s="35">
        <v>3160785</v>
      </c>
      <c r="AB128" s="35">
        <v>5000000</v>
      </c>
      <c r="AC128" s="35">
        <v>0</v>
      </c>
      <c r="AD128" s="35">
        <v>1000000</v>
      </c>
      <c r="AE128" s="12" t="s">
        <v>86</v>
      </c>
      <c r="AF128" s="12" t="s">
        <v>87</v>
      </c>
      <c r="AG128" s="18">
        <v>1.37</v>
      </c>
      <c r="AH128" s="12" t="s">
        <v>136</v>
      </c>
      <c r="AI128" s="12" t="s">
        <v>89</v>
      </c>
      <c r="AJ128" s="12" t="s">
        <v>89</v>
      </c>
      <c r="AK128" s="12" t="s">
        <v>89</v>
      </c>
      <c r="AL128" s="12" t="s">
        <v>101</v>
      </c>
      <c r="AM128" s="12" t="s">
        <v>275</v>
      </c>
      <c r="AN128" s="17" t="s">
        <v>92</v>
      </c>
    </row>
    <row r="129" spans="1:40">
      <c r="A129" s="12" t="s">
        <v>74</v>
      </c>
      <c r="B129" s="12" t="s">
        <v>75</v>
      </c>
      <c r="C129" s="12" t="s">
        <v>76</v>
      </c>
      <c r="D129" s="12" t="s">
        <v>510</v>
      </c>
      <c r="E129" s="12" t="s">
        <v>319</v>
      </c>
      <c r="F129" s="12" t="s">
        <v>586</v>
      </c>
      <c r="G129" s="12" t="s">
        <v>587</v>
      </c>
      <c r="H129" s="34" t="s">
        <v>588</v>
      </c>
      <c r="I129" s="12" t="s">
        <v>162</v>
      </c>
      <c r="J129" s="12" t="s">
        <v>83</v>
      </c>
      <c r="K129" s="18">
        <v>0</v>
      </c>
      <c r="L129" s="18">
        <v>0</v>
      </c>
      <c r="M129" s="12" t="s">
        <v>84</v>
      </c>
      <c r="N129" s="35">
        <v>3796481</v>
      </c>
      <c r="O129" s="35">
        <v>3705791.48</v>
      </c>
      <c r="P129" s="35">
        <v>3372727.48</v>
      </c>
      <c r="Q129" s="35">
        <v>1897532.92</v>
      </c>
      <c r="R129" s="18">
        <f>N129-O129</f>
        <v>90689.52000000002</v>
      </c>
      <c r="S129" s="18">
        <f>O129-P129</f>
        <v>333064.0</v>
      </c>
      <c r="T129" s="18">
        <f>N129-Q129</f>
        <v>1898948.08</v>
      </c>
      <c r="U129" s="36">
        <f>IF(N129&gt;0,Q129/N129,0)</f>
        <v>0.4998136221411354</v>
      </c>
      <c r="V129" s="35">
        <v>5282130.98</v>
      </c>
      <c r="W129" s="35">
        <v>2020368.41</v>
      </c>
      <c r="X129" s="36">
        <v>0.3824911607928358</v>
      </c>
      <c r="Y129" s="35">
        <v>3796481</v>
      </c>
      <c r="Z129" s="17" t="s">
        <v>135</v>
      </c>
      <c r="AA129" s="35">
        <v>3796481</v>
      </c>
      <c r="AB129" s="35">
        <v>1394507</v>
      </c>
      <c r="AC129" s="35">
        <v>0</v>
      </c>
      <c r="AD129" s="35">
        <v>0</v>
      </c>
      <c r="AE129" s="12" t="s">
        <v>86</v>
      </c>
      <c r="AF129" s="12" t="s">
        <v>87</v>
      </c>
      <c r="AG129" s="18">
        <v>15.67</v>
      </c>
      <c r="AH129" s="12" t="s">
        <v>136</v>
      </c>
      <c r="AI129" s="12" t="s">
        <v>89</v>
      </c>
      <c r="AJ129" s="12" t="s">
        <v>89</v>
      </c>
      <c r="AK129" s="12" t="s">
        <v>89</v>
      </c>
      <c r="AL129" s="12" t="s">
        <v>141</v>
      </c>
      <c r="AM129" s="12" t="s">
        <v>91</v>
      </c>
      <c r="AN129" s="17" t="s">
        <v>92</v>
      </c>
    </row>
    <row r="130" spans="1:40">
      <c r="A130" s="12" t="s">
        <v>74</v>
      </c>
      <c r="B130" s="12" t="s">
        <v>75</v>
      </c>
      <c r="C130" s="12" t="s">
        <v>76</v>
      </c>
      <c r="D130" s="12" t="s">
        <v>510</v>
      </c>
      <c r="E130" s="12" t="s">
        <v>589</v>
      </c>
      <c r="F130" s="12" t="s">
        <v>590</v>
      </c>
      <c r="G130" s="12" t="s">
        <v>591</v>
      </c>
      <c r="H130" s="34" t="s">
        <v>592</v>
      </c>
      <c r="I130" s="12" t="s">
        <v>82</v>
      </c>
      <c r="J130" s="12" t="s">
        <v>83</v>
      </c>
      <c r="K130" s="18">
        <v>0</v>
      </c>
      <c r="L130" s="18">
        <v>0</v>
      </c>
      <c r="M130" s="12" t="s">
        <v>84</v>
      </c>
      <c r="N130" s="35">
        <v>11000</v>
      </c>
      <c r="O130" s="35">
        <v>11000</v>
      </c>
      <c r="P130" s="35">
        <v>0</v>
      </c>
      <c r="Q130" s="35">
        <v>0</v>
      </c>
      <c r="R130" s="18">
        <f>N130-O130</f>
        <v>0.0</v>
      </c>
      <c r="S130" s="18">
        <f>O130-P130</f>
        <v>11000.0</v>
      </c>
      <c r="T130" s="18">
        <f>N130-Q130</f>
        <v>11000.0</v>
      </c>
      <c r="U130" s="36">
        <f>IF(N130&gt;0,Q130/N130,0)</f>
        <v>0.0</v>
      </c>
      <c r="V130" s="35">
        <v>19530615.88</v>
      </c>
      <c r="W130" s="35">
        <v>147119.52</v>
      </c>
      <c r="X130" s="36">
        <v>0.007532763989826623</v>
      </c>
      <c r="Y130" s="35">
        <v>11000</v>
      </c>
      <c r="Z130" s="17" t="s">
        <v>168</v>
      </c>
      <c r="AA130" s="12" t="s">
        <v>99</v>
      </c>
      <c r="AB130" s="12" t="s">
        <v>99</v>
      </c>
      <c r="AC130" s="12" t="s">
        <v>99</v>
      </c>
      <c r="AD130" s="12" t="s">
        <v>99</v>
      </c>
      <c r="AE130" s="12" t="s">
        <v>86</v>
      </c>
      <c r="AF130" s="12" t="s">
        <v>87</v>
      </c>
      <c r="AG130" s="18">
        <v>-1</v>
      </c>
      <c r="AH130" s="12" t="s">
        <v>593</v>
      </c>
      <c r="AI130" s="12" t="s">
        <v>89</v>
      </c>
      <c r="AJ130" s="12" t="s">
        <v>89</v>
      </c>
      <c r="AK130" s="12" t="s">
        <v>89</v>
      </c>
      <c r="AL130" s="12" t="s">
        <v>89</v>
      </c>
      <c r="AM130" s="12" t="s">
        <v>423</v>
      </c>
      <c r="AN130" s="17" t="s">
        <v>92</v>
      </c>
    </row>
    <row r="131" spans="1:40">
      <c r="A131" s="12" t="s">
        <v>74</v>
      </c>
      <c r="B131" s="12" t="s">
        <v>75</v>
      </c>
      <c r="C131" s="12" t="s">
        <v>76</v>
      </c>
      <c r="D131" s="12" t="s">
        <v>594</v>
      </c>
      <c r="E131" s="12" t="s">
        <v>78</v>
      </c>
      <c r="F131" s="12" t="s">
        <v>595</v>
      </c>
      <c r="G131" s="12" t="s">
        <v>596</v>
      </c>
      <c r="H131" s="34" t="s">
        <v>597</v>
      </c>
      <c r="I131" s="12" t="s">
        <v>162</v>
      </c>
      <c r="J131" s="12" t="s">
        <v>106</v>
      </c>
      <c r="K131" s="18">
        <v>0</v>
      </c>
      <c r="L131" s="18">
        <v>0</v>
      </c>
      <c r="M131" s="12" t="s">
        <v>121</v>
      </c>
      <c r="N131" s="35">
        <v>123816</v>
      </c>
      <c r="O131" s="35">
        <v>123816</v>
      </c>
      <c r="P131" s="35">
        <v>123816</v>
      </c>
      <c r="Q131" s="35">
        <v>113941.65</v>
      </c>
      <c r="R131" s="18">
        <f>N131-O131</f>
        <v>0.0</v>
      </c>
      <c r="S131" s="18">
        <f>O131-P131</f>
        <v>0.0</v>
      </c>
      <c r="T131" s="18">
        <f>N131-Q131</f>
        <v>9874.349999999991</v>
      </c>
      <c r="U131" s="36">
        <f>IF(N131&gt;0,Q131/N131,0)</f>
        <v>0.9202498061639853</v>
      </c>
      <c r="V131" s="35">
        <v>1743262.67</v>
      </c>
      <c r="W131" s="35">
        <v>129075.21</v>
      </c>
      <c r="X131" s="36">
        <v>0.07404231859103598</v>
      </c>
      <c r="Y131" s="35">
        <v>123816</v>
      </c>
      <c r="Z131" s="17" t="s">
        <v>122</v>
      </c>
      <c r="AA131" s="35">
        <v>111816</v>
      </c>
      <c r="AB131" s="35">
        <v>978654</v>
      </c>
      <c r="AC131" s="35">
        <v>625659</v>
      </c>
      <c r="AD131" s="35">
        <v>0</v>
      </c>
      <c r="AE131" s="12" t="s">
        <v>86</v>
      </c>
      <c r="AF131" s="12" t="s">
        <v>87</v>
      </c>
      <c r="AG131" s="18">
        <v>-1</v>
      </c>
      <c r="AH131" s="12" t="s">
        <v>169</v>
      </c>
      <c r="AI131" s="12" t="s">
        <v>89</v>
      </c>
      <c r="AJ131" s="12" t="s">
        <v>89</v>
      </c>
      <c r="AK131" s="12" t="s">
        <v>89</v>
      </c>
      <c r="AL131" s="12" t="s">
        <v>170</v>
      </c>
      <c r="AM131" s="12" t="s">
        <v>91</v>
      </c>
      <c r="AN131" s="17" t="s">
        <v>92</v>
      </c>
    </row>
    <row r="132" spans="1:40">
      <c r="A132" s="12" t="s">
        <v>74</v>
      </c>
      <c r="B132" s="12" t="s">
        <v>75</v>
      </c>
      <c r="C132" s="12" t="s">
        <v>76</v>
      </c>
      <c r="D132" s="12" t="s">
        <v>594</v>
      </c>
      <c r="E132" s="12" t="s">
        <v>78</v>
      </c>
      <c r="F132" s="12" t="s">
        <v>598</v>
      </c>
      <c r="G132" s="12" t="s">
        <v>599</v>
      </c>
      <c r="H132" s="34" t="s">
        <v>600</v>
      </c>
      <c r="I132" s="12" t="s">
        <v>82</v>
      </c>
      <c r="J132" s="12" t="s">
        <v>83</v>
      </c>
      <c r="K132" s="18">
        <v>0</v>
      </c>
      <c r="L132" s="18">
        <v>0</v>
      </c>
      <c r="M132" s="12" t="s">
        <v>84</v>
      </c>
      <c r="N132" s="35">
        <v>150000</v>
      </c>
      <c r="O132" s="35">
        <v>150000</v>
      </c>
      <c r="P132" s="35">
        <v>150000</v>
      </c>
      <c r="Q132" s="35">
        <v>0</v>
      </c>
      <c r="R132" s="18">
        <f>N132-O132</f>
        <v>0.0</v>
      </c>
      <c r="S132" s="18">
        <f>O132-P132</f>
        <v>0.0</v>
      </c>
      <c r="T132" s="18">
        <f>N132-Q132</f>
        <v>150000.0</v>
      </c>
      <c r="U132" s="36">
        <f>IF(N132&gt;0,Q132/N132,0)</f>
        <v>0.0</v>
      </c>
      <c r="V132" s="35">
        <v>7724196.47</v>
      </c>
      <c r="W132" s="35">
        <v>0</v>
      </c>
      <c r="X132" s="36">
        <v>0</v>
      </c>
      <c r="Y132" s="35">
        <v>150000</v>
      </c>
      <c r="Z132" s="17" t="s">
        <v>85</v>
      </c>
      <c r="AA132" s="35">
        <v>150000</v>
      </c>
      <c r="AB132" s="35">
        <v>0</v>
      </c>
      <c r="AC132" s="35">
        <v>0</v>
      </c>
      <c r="AD132" s="35">
        <v>1000000</v>
      </c>
      <c r="AE132" s="12" t="s">
        <v>86</v>
      </c>
      <c r="AF132" s="12" t="s">
        <v>87</v>
      </c>
      <c r="AG132" s="18">
        <v>-1</v>
      </c>
      <c r="AH132" s="12" t="s">
        <v>169</v>
      </c>
      <c r="AI132" s="12" t="s">
        <v>89</v>
      </c>
      <c r="AJ132" s="12" t="s">
        <v>89</v>
      </c>
      <c r="AK132" s="12" t="s">
        <v>89</v>
      </c>
      <c r="AL132" s="12" t="s">
        <v>89</v>
      </c>
      <c r="AM132" s="12" t="s">
        <v>91</v>
      </c>
      <c r="AN132" s="17" t="s">
        <v>92</v>
      </c>
    </row>
    <row r="133" spans="1:40">
      <c r="A133" s="12" t="s">
        <v>74</v>
      </c>
      <c r="B133" s="12" t="s">
        <v>75</v>
      </c>
      <c r="C133" s="12" t="s">
        <v>76</v>
      </c>
      <c r="D133" s="12" t="s">
        <v>594</v>
      </c>
      <c r="E133" s="12" t="s">
        <v>102</v>
      </c>
      <c r="F133" s="12" t="s">
        <v>601</v>
      </c>
      <c r="G133" s="12" t="s">
        <v>602</v>
      </c>
      <c r="H133" s="34" t="s">
        <v>603</v>
      </c>
      <c r="I133" s="12" t="s">
        <v>82</v>
      </c>
      <c r="J133" s="12" t="s">
        <v>106</v>
      </c>
      <c r="K133" s="18">
        <v>0</v>
      </c>
      <c r="L133" s="18">
        <v>0</v>
      </c>
      <c r="M133" s="12" t="s">
        <v>121</v>
      </c>
      <c r="N133" s="35">
        <v>57442</v>
      </c>
      <c r="O133" s="35">
        <v>57136.9</v>
      </c>
      <c r="P133" s="35">
        <v>57136.9</v>
      </c>
      <c r="Q133" s="35">
        <v>54415.03</v>
      </c>
      <c r="R133" s="18">
        <f>N133-O133</f>
        <v>305.09999999999854</v>
      </c>
      <c r="S133" s="18">
        <f>O133-P133</f>
        <v>0.0</v>
      </c>
      <c r="T133" s="18">
        <f>N133-Q133</f>
        <v>3026.970000000001</v>
      </c>
      <c r="U133" s="36">
        <f>IF(N133&gt;0,Q133/N133,0)</f>
        <v>0.9473038891403502</v>
      </c>
      <c r="V133" s="35">
        <v>7705851.36</v>
      </c>
      <c r="W133" s="35">
        <v>298293.91</v>
      </c>
      <c r="X133" s="36">
        <v>0.03871005240879704</v>
      </c>
      <c r="Y133" s="35">
        <v>57442</v>
      </c>
      <c r="Z133" s="17" t="s">
        <v>85</v>
      </c>
      <c r="AA133" s="35">
        <v>1500000</v>
      </c>
      <c r="AB133" s="35">
        <v>2568954</v>
      </c>
      <c r="AC133" s="35">
        <v>0</v>
      </c>
      <c r="AD133" s="35">
        <v>500000</v>
      </c>
      <c r="AE133" s="12" t="s">
        <v>86</v>
      </c>
      <c r="AF133" s="12" t="s">
        <v>87</v>
      </c>
      <c r="AG133" s="18">
        <v>-1</v>
      </c>
      <c r="AH133" s="12" t="s">
        <v>169</v>
      </c>
      <c r="AI133" s="12" t="s">
        <v>89</v>
      </c>
      <c r="AJ133" s="12" t="s">
        <v>89</v>
      </c>
      <c r="AK133" s="12" t="s">
        <v>89</v>
      </c>
      <c r="AL133" s="12" t="s">
        <v>141</v>
      </c>
      <c r="AM133" s="12" t="s">
        <v>91</v>
      </c>
      <c r="AN133" s="17" t="s">
        <v>92</v>
      </c>
    </row>
    <row r="134" spans="1:40">
      <c r="A134" s="12" t="s">
        <v>74</v>
      </c>
      <c r="B134" s="12" t="s">
        <v>75</v>
      </c>
      <c r="C134" s="12" t="s">
        <v>76</v>
      </c>
      <c r="D134" s="12" t="s">
        <v>594</v>
      </c>
      <c r="E134" s="12" t="s">
        <v>102</v>
      </c>
      <c r="F134" s="12" t="s">
        <v>604</v>
      </c>
      <c r="G134" s="12" t="s">
        <v>605</v>
      </c>
      <c r="H134" s="34" t="s">
        <v>606</v>
      </c>
      <c r="I134" s="12" t="s">
        <v>82</v>
      </c>
      <c r="J134" s="12" t="s">
        <v>83</v>
      </c>
      <c r="K134" s="18">
        <v>0</v>
      </c>
      <c r="L134" s="18">
        <v>0</v>
      </c>
      <c r="M134" s="12" t="s">
        <v>84</v>
      </c>
      <c r="N134" s="35">
        <v>53010</v>
      </c>
      <c r="O134" s="35">
        <v>24506.97</v>
      </c>
      <c r="P134" s="35">
        <v>24506.97</v>
      </c>
      <c r="Q134" s="35">
        <v>24506.97</v>
      </c>
      <c r="R134" s="18">
        <f>N134-O134</f>
        <v>28503.03</v>
      </c>
      <c r="S134" s="18">
        <f>O134-P134</f>
        <v>0.0</v>
      </c>
      <c r="T134" s="18">
        <f>N134-Q134</f>
        <v>28503.03</v>
      </c>
      <c r="U134" s="36">
        <f>IF(N134&gt;0,Q134/N134,0)</f>
        <v>0.46230843237125074</v>
      </c>
      <c r="V134" s="35">
        <v>2193334.75</v>
      </c>
      <c r="W134" s="35">
        <v>136337.12</v>
      </c>
      <c r="X134" s="36">
        <v>0.06215974100624631</v>
      </c>
      <c r="Y134" s="35">
        <v>53010.5</v>
      </c>
      <c r="Z134" s="17" t="s">
        <v>284</v>
      </c>
      <c r="AA134" s="35">
        <v>100000</v>
      </c>
      <c r="AB134" s="35">
        <v>1254675</v>
      </c>
      <c r="AC134" s="35">
        <v>0</v>
      </c>
      <c r="AD134" s="35">
        <v>747276</v>
      </c>
      <c r="AE134" s="12" t="s">
        <v>86</v>
      </c>
      <c r="AF134" s="12" t="s">
        <v>87</v>
      </c>
      <c r="AG134" s="18">
        <v>-1</v>
      </c>
      <c r="AH134" s="12" t="s">
        <v>169</v>
      </c>
      <c r="AI134" s="12" t="s">
        <v>89</v>
      </c>
      <c r="AJ134" s="12" t="s">
        <v>89</v>
      </c>
      <c r="AK134" s="12" t="s">
        <v>89</v>
      </c>
      <c r="AL134" s="12" t="s">
        <v>141</v>
      </c>
      <c r="AM134" s="12" t="s">
        <v>91</v>
      </c>
      <c r="AN134" s="17" t="s">
        <v>92</v>
      </c>
    </row>
    <row r="135" spans="1:40">
      <c r="A135" s="12" t="s">
        <v>74</v>
      </c>
      <c r="B135" s="12" t="s">
        <v>75</v>
      </c>
      <c r="C135" s="12" t="s">
        <v>76</v>
      </c>
      <c r="D135" s="12" t="s">
        <v>594</v>
      </c>
      <c r="E135" s="12" t="s">
        <v>102</v>
      </c>
      <c r="F135" s="12" t="s">
        <v>607</v>
      </c>
      <c r="G135" s="12" t="s">
        <v>608</v>
      </c>
      <c r="H135" s="34" t="s">
        <v>609</v>
      </c>
      <c r="I135" s="12" t="s">
        <v>82</v>
      </c>
      <c r="J135" s="12" t="s">
        <v>83</v>
      </c>
      <c r="K135" s="18">
        <v>0</v>
      </c>
      <c r="L135" s="18">
        <v>0</v>
      </c>
      <c r="M135" s="12" t="s">
        <v>84</v>
      </c>
      <c r="N135" s="35">
        <v>40486</v>
      </c>
      <c r="O135" s="35">
        <v>40486</v>
      </c>
      <c r="P135" s="35">
        <v>40486</v>
      </c>
      <c r="Q135" s="35">
        <v>25380.63</v>
      </c>
      <c r="R135" s="18">
        <f>N135-O135</f>
        <v>0.0</v>
      </c>
      <c r="S135" s="18">
        <f>O135-P135</f>
        <v>0.0</v>
      </c>
      <c r="T135" s="18">
        <f>N135-Q135</f>
        <v>15105.369999999999</v>
      </c>
      <c r="U135" s="36">
        <f>IF(N135&gt;0,Q135/N135,0)</f>
        <v>0.6268989280245023</v>
      </c>
      <c r="V135" s="35">
        <v>1645485.52</v>
      </c>
      <c r="W135" s="35">
        <v>182771.51</v>
      </c>
      <c r="X135" s="36">
        <v>0.1110745173862119</v>
      </c>
      <c r="Y135" s="35">
        <v>40486</v>
      </c>
      <c r="Z135" s="17" t="s">
        <v>333</v>
      </c>
      <c r="AA135" s="35">
        <v>100000</v>
      </c>
      <c r="AB135" s="35">
        <v>0</v>
      </c>
      <c r="AC135" s="35">
        <v>0</v>
      </c>
      <c r="AD135" s="35">
        <v>1247609</v>
      </c>
      <c r="AE135" s="12" t="s">
        <v>86</v>
      </c>
      <c r="AF135" s="12" t="s">
        <v>87</v>
      </c>
      <c r="AG135" s="18">
        <v>-1</v>
      </c>
      <c r="AH135" s="12" t="s">
        <v>169</v>
      </c>
      <c r="AI135" s="12" t="s">
        <v>89</v>
      </c>
      <c r="AJ135" s="12" t="s">
        <v>89</v>
      </c>
      <c r="AK135" s="12" t="s">
        <v>89</v>
      </c>
      <c r="AL135" s="12" t="s">
        <v>141</v>
      </c>
      <c r="AM135" s="12" t="s">
        <v>91</v>
      </c>
      <c r="AN135" s="17" t="s">
        <v>92</v>
      </c>
    </row>
    <row r="136" spans="1:40">
      <c r="A136" s="12" t="s">
        <v>74</v>
      </c>
      <c r="B136" s="12" t="s">
        <v>75</v>
      </c>
      <c r="C136" s="12" t="s">
        <v>76</v>
      </c>
      <c r="D136" s="12" t="s">
        <v>594</v>
      </c>
      <c r="E136" s="12" t="s">
        <v>102</v>
      </c>
      <c r="F136" s="12" t="s">
        <v>610</v>
      </c>
      <c r="G136" s="12" t="s">
        <v>611</v>
      </c>
      <c r="H136" s="34" t="s">
        <v>612</v>
      </c>
      <c r="I136" s="12" t="s">
        <v>82</v>
      </c>
      <c r="J136" s="12" t="s">
        <v>83</v>
      </c>
      <c r="K136" s="18">
        <v>0</v>
      </c>
      <c r="L136" s="18">
        <v>0</v>
      </c>
      <c r="M136" s="12" t="s">
        <v>84</v>
      </c>
      <c r="N136" s="35">
        <v>350000</v>
      </c>
      <c r="O136" s="35">
        <v>350000</v>
      </c>
      <c r="P136" s="35">
        <v>350000</v>
      </c>
      <c r="Q136" s="35">
        <v>163264.48</v>
      </c>
      <c r="R136" s="18">
        <f>N136-O136</f>
        <v>0.0</v>
      </c>
      <c r="S136" s="18">
        <f>O136-P136</f>
        <v>0.0</v>
      </c>
      <c r="T136" s="18">
        <f>N136-Q136</f>
        <v>186735.52000000002</v>
      </c>
      <c r="U136" s="36">
        <f>IF(N136&gt;0,Q136/N136,0)</f>
        <v>0.4664699428571428</v>
      </c>
      <c r="V136" s="35">
        <v>13665532.87</v>
      </c>
      <c r="W136" s="35">
        <v>163264.48</v>
      </c>
      <c r="X136" s="36">
        <v>0.01194717260959616</v>
      </c>
      <c r="Y136" s="35">
        <v>350000</v>
      </c>
      <c r="Z136" s="17" t="s">
        <v>85</v>
      </c>
      <c r="AA136" s="35">
        <v>350000</v>
      </c>
      <c r="AB136" s="35">
        <v>575452</v>
      </c>
      <c r="AC136" s="35">
        <v>0</v>
      </c>
      <c r="AD136" s="35">
        <v>1000000</v>
      </c>
      <c r="AE136" s="12" t="s">
        <v>86</v>
      </c>
      <c r="AF136" s="12" t="s">
        <v>87</v>
      </c>
      <c r="AG136" s="18">
        <v>-1</v>
      </c>
      <c r="AH136" s="12" t="s">
        <v>169</v>
      </c>
      <c r="AI136" s="12" t="s">
        <v>89</v>
      </c>
      <c r="AJ136" s="12" t="s">
        <v>89</v>
      </c>
      <c r="AK136" s="12" t="s">
        <v>89</v>
      </c>
      <c r="AL136" s="12" t="s">
        <v>170</v>
      </c>
      <c r="AM136" s="12" t="s">
        <v>91</v>
      </c>
      <c r="AN136" s="17" t="s">
        <v>92</v>
      </c>
    </row>
    <row r="137" spans="1:40">
      <c r="A137" s="12" t="s">
        <v>74</v>
      </c>
      <c r="B137" s="12" t="s">
        <v>75</v>
      </c>
      <c r="C137" s="12" t="s">
        <v>76</v>
      </c>
      <c r="D137" s="12" t="s">
        <v>594</v>
      </c>
      <c r="E137" s="12" t="s">
        <v>102</v>
      </c>
      <c r="F137" s="12" t="s">
        <v>613</v>
      </c>
      <c r="G137" s="12" t="s">
        <v>614</v>
      </c>
      <c r="H137" s="34" t="s">
        <v>615</v>
      </c>
      <c r="I137" s="12" t="s">
        <v>82</v>
      </c>
      <c r="J137" s="12" t="s">
        <v>272</v>
      </c>
      <c r="K137" s="18">
        <v>81646</v>
      </c>
      <c r="L137" s="18">
        <v>0</v>
      </c>
      <c r="M137" s="12" t="s">
        <v>616</v>
      </c>
      <c r="N137" s="35">
        <v>81646</v>
      </c>
      <c r="O137" s="35">
        <v>0</v>
      </c>
      <c r="P137" s="35">
        <v>0</v>
      </c>
      <c r="Q137" s="35">
        <v>0</v>
      </c>
      <c r="R137" s="18">
        <f>N137-O137</f>
        <v>81646.0</v>
      </c>
      <c r="S137" s="18">
        <f>O137-P137</f>
        <v>0.0</v>
      </c>
      <c r="T137" s="18">
        <f>N137-Q137</f>
        <v>81646.0</v>
      </c>
      <c r="U137" s="36">
        <f>IF(N137&gt;0,Q137/N137,0)</f>
        <v>0.0</v>
      </c>
      <c r="V137" s="35">
        <v>8796870.869999999</v>
      </c>
      <c r="W137" s="35">
        <v>322358.3</v>
      </c>
      <c r="X137" s="36">
        <v>0.03664465521476957</v>
      </c>
      <c r="Y137" s="35">
        <v>184654</v>
      </c>
      <c r="Z137" s="17" t="s">
        <v>463</v>
      </c>
      <c r="AA137" s="12" t="s">
        <v>99</v>
      </c>
      <c r="AB137" s="12" t="s">
        <v>99</v>
      </c>
      <c r="AC137" s="12" t="s">
        <v>99</v>
      </c>
      <c r="AD137" s="12" t="s">
        <v>99</v>
      </c>
      <c r="AE137" s="12" t="s">
        <v>86</v>
      </c>
      <c r="AF137" s="12" t="s">
        <v>87</v>
      </c>
      <c r="AG137" s="18">
        <v>-1</v>
      </c>
      <c r="AH137" s="12" t="s">
        <v>169</v>
      </c>
      <c r="AI137" s="12" t="s">
        <v>89</v>
      </c>
      <c r="AJ137" s="12" t="s">
        <v>89</v>
      </c>
      <c r="AK137" s="12" t="s">
        <v>89</v>
      </c>
      <c r="AL137" s="12" t="s">
        <v>170</v>
      </c>
      <c r="AM137" s="12" t="s">
        <v>91</v>
      </c>
      <c r="AN137" s="17" t="s">
        <v>87</v>
      </c>
    </row>
    <row r="138" spans="1:40">
      <c r="A138" s="12" t="s">
        <v>74</v>
      </c>
      <c r="B138" s="12" t="s">
        <v>75</v>
      </c>
      <c r="C138" s="12" t="s">
        <v>76</v>
      </c>
      <c r="D138" s="12" t="s">
        <v>594</v>
      </c>
      <c r="E138" s="12" t="s">
        <v>102</v>
      </c>
      <c r="F138" s="12" t="s">
        <v>617</v>
      </c>
      <c r="G138" s="12" t="s">
        <v>618</v>
      </c>
      <c r="H138" s="34" t="s">
        <v>619</v>
      </c>
      <c r="I138" s="12" t="s">
        <v>82</v>
      </c>
      <c r="J138" s="12" t="s">
        <v>272</v>
      </c>
      <c r="K138" s="18">
        <v>292573</v>
      </c>
      <c r="L138" s="18">
        <v>0</v>
      </c>
      <c r="M138" s="12" t="s">
        <v>620</v>
      </c>
      <c r="N138" s="35">
        <v>292573</v>
      </c>
      <c r="O138" s="35">
        <v>0</v>
      </c>
      <c r="P138" s="35">
        <v>0</v>
      </c>
      <c r="Q138" s="35">
        <v>0</v>
      </c>
      <c r="R138" s="18">
        <f>N138-O138</f>
        <v>292573.0</v>
      </c>
      <c r="S138" s="18">
        <f>O138-P138</f>
        <v>0.0</v>
      </c>
      <c r="T138" s="18">
        <f>N138-Q138</f>
        <v>292573.0</v>
      </c>
      <c r="U138" s="36">
        <f>IF(N138&gt;0,Q138/N138,0)</f>
        <v>0.0</v>
      </c>
      <c r="V138" s="35">
        <v>8564866.359999999</v>
      </c>
      <c r="W138" s="35">
        <v>130248.76</v>
      </c>
      <c r="X138" s="36">
        <v>0.01520733126768834</v>
      </c>
      <c r="Y138" s="35">
        <v>292573</v>
      </c>
      <c r="Z138" s="17" t="s">
        <v>108</v>
      </c>
      <c r="AA138" s="12" t="s">
        <v>99</v>
      </c>
      <c r="AB138" s="12" t="s">
        <v>99</v>
      </c>
      <c r="AC138" s="12" t="s">
        <v>99</v>
      </c>
      <c r="AD138" s="12" t="s">
        <v>99</v>
      </c>
      <c r="AE138" s="12" t="s">
        <v>86</v>
      </c>
      <c r="AF138" s="12" t="s">
        <v>87</v>
      </c>
      <c r="AG138" s="18">
        <v>-1</v>
      </c>
      <c r="AH138" s="12" t="s">
        <v>169</v>
      </c>
      <c r="AI138" s="12" t="s">
        <v>89</v>
      </c>
      <c r="AJ138" s="12" t="s">
        <v>89</v>
      </c>
      <c r="AK138" s="12" t="s">
        <v>89</v>
      </c>
      <c r="AL138" s="12" t="s">
        <v>89</v>
      </c>
      <c r="AM138" s="12" t="s">
        <v>91</v>
      </c>
      <c r="AN138" s="17" t="s">
        <v>87</v>
      </c>
    </row>
    <row r="139" spans="1:40">
      <c r="A139" s="12" t="s">
        <v>74</v>
      </c>
      <c r="B139" s="12" t="s">
        <v>75</v>
      </c>
      <c r="C139" s="12" t="s">
        <v>76</v>
      </c>
      <c r="D139" s="12" t="s">
        <v>594</v>
      </c>
      <c r="E139" s="12" t="s">
        <v>102</v>
      </c>
      <c r="F139" s="12" t="s">
        <v>621</v>
      </c>
      <c r="G139" s="12" t="s">
        <v>622</v>
      </c>
      <c r="H139" s="34" t="s">
        <v>623</v>
      </c>
      <c r="I139" s="12" t="s">
        <v>82</v>
      </c>
      <c r="J139" s="12" t="s">
        <v>83</v>
      </c>
      <c r="K139" s="18">
        <v>0</v>
      </c>
      <c r="L139" s="18">
        <v>0</v>
      </c>
      <c r="M139" s="12" t="s">
        <v>84</v>
      </c>
      <c r="N139" s="35">
        <v>645412</v>
      </c>
      <c r="O139" s="35">
        <v>615249.5</v>
      </c>
      <c r="P139" s="35">
        <v>612652.4299999999</v>
      </c>
      <c r="Q139" s="35">
        <v>558544.3099999999</v>
      </c>
      <c r="R139" s="18">
        <f>N139-O139</f>
        <v>30162.5</v>
      </c>
      <c r="S139" s="18">
        <f>O139-P139</f>
        <v>2597.070000000065</v>
      </c>
      <c r="T139" s="18">
        <f>N139-Q139</f>
        <v>86867.69000000006</v>
      </c>
      <c r="U139" s="36">
        <f>IF(N139&gt;0,Q139/N139,0)</f>
        <v>0.8654073831908919</v>
      </c>
      <c r="V139" s="35">
        <v>33561462.77</v>
      </c>
      <c r="W139" s="35">
        <v>597768.3100000001</v>
      </c>
      <c r="X139" s="36">
        <v>0.01781115185880201</v>
      </c>
      <c r="Y139" s="35">
        <v>645412</v>
      </c>
      <c r="Z139" s="17" t="s">
        <v>85</v>
      </c>
      <c r="AA139" s="35">
        <v>300000</v>
      </c>
      <c r="AB139" s="35">
        <v>6325512</v>
      </c>
      <c r="AC139" s="35">
        <v>500000</v>
      </c>
      <c r="AD139" s="35">
        <v>3000000</v>
      </c>
      <c r="AE139" s="12" t="s">
        <v>86</v>
      </c>
      <c r="AF139" s="12" t="s">
        <v>87</v>
      </c>
      <c r="AG139" s="18">
        <v>-1</v>
      </c>
      <c r="AH139" s="12" t="s">
        <v>169</v>
      </c>
      <c r="AI139" s="12" t="s">
        <v>89</v>
      </c>
      <c r="AJ139" s="12" t="s">
        <v>89</v>
      </c>
      <c r="AK139" s="12" t="s">
        <v>89</v>
      </c>
      <c r="AL139" s="12" t="s">
        <v>170</v>
      </c>
      <c r="AM139" s="12" t="s">
        <v>91</v>
      </c>
      <c r="AN139" s="17" t="s">
        <v>92</v>
      </c>
    </row>
    <row r="140" spans="1:40">
      <c r="A140" s="12" t="s">
        <v>74</v>
      </c>
      <c r="B140" s="12" t="s">
        <v>75</v>
      </c>
      <c r="C140" s="12" t="s">
        <v>76</v>
      </c>
      <c r="D140" s="12" t="s">
        <v>594</v>
      </c>
      <c r="E140" s="12" t="s">
        <v>102</v>
      </c>
      <c r="F140" s="12" t="s">
        <v>624</v>
      </c>
      <c r="G140" s="12" t="s">
        <v>625</v>
      </c>
      <c r="H140" s="34" t="s">
        <v>626</v>
      </c>
      <c r="I140" s="12" t="s">
        <v>162</v>
      </c>
      <c r="J140" s="12" t="s">
        <v>83</v>
      </c>
      <c r="K140" s="18">
        <v>0</v>
      </c>
      <c r="L140" s="18">
        <v>0</v>
      </c>
      <c r="M140" s="12" t="s">
        <v>84</v>
      </c>
      <c r="N140" s="35">
        <v>45161</v>
      </c>
      <c r="O140" s="35">
        <v>45161</v>
      </c>
      <c r="P140" s="35">
        <v>45161</v>
      </c>
      <c r="Q140" s="35">
        <v>30772.66</v>
      </c>
      <c r="R140" s="18">
        <f>N140-O140</f>
        <v>0.0</v>
      </c>
      <c r="S140" s="18">
        <f>O140-P140</f>
        <v>0.0</v>
      </c>
      <c r="T140" s="18">
        <f>N140-Q140</f>
        <v>14388.339999999997</v>
      </c>
      <c r="U140" s="36">
        <f>IF(N140&gt;0,Q140/N140,0)</f>
        <v>0.6813989947078232</v>
      </c>
      <c r="V140" s="35">
        <v>596399.33</v>
      </c>
      <c r="W140" s="35">
        <v>59221.55</v>
      </c>
      <c r="X140" s="36">
        <v>0.09929848512740617</v>
      </c>
      <c r="Y140" s="35">
        <v>45161</v>
      </c>
      <c r="Z140" s="17" t="s">
        <v>85</v>
      </c>
      <c r="AA140" s="35">
        <v>45161</v>
      </c>
      <c r="AB140" s="35">
        <v>254874</v>
      </c>
      <c r="AC140" s="35">
        <v>133958</v>
      </c>
      <c r="AD140" s="35">
        <v>133958</v>
      </c>
      <c r="AE140" s="12" t="s">
        <v>86</v>
      </c>
      <c r="AF140" s="12" t="s">
        <v>87</v>
      </c>
      <c r="AG140" s="18">
        <v>-1</v>
      </c>
      <c r="AH140" s="12" t="s">
        <v>169</v>
      </c>
      <c r="AI140" s="12" t="s">
        <v>89</v>
      </c>
      <c r="AJ140" s="12" t="s">
        <v>89</v>
      </c>
      <c r="AK140" s="12" t="s">
        <v>89</v>
      </c>
      <c r="AL140" s="12" t="s">
        <v>170</v>
      </c>
      <c r="AM140" s="12" t="s">
        <v>91</v>
      </c>
      <c r="AN140" s="17" t="s">
        <v>92</v>
      </c>
    </row>
    <row r="141" spans="1:40">
      <c r="A141" s="12" t="s">
        <v>74</v>
      </c>
      <c r="B141" s="12" t="s">
        <v>75</v>
      </c>
      <c r="C141" s="12" t="s">
        <v>76</v>
      </c>
      <c r="D141" s="12" t="s">
        <v>594</v>
      </c>
      <c r="E141" s="12" t="s">
        <v>102</v>
      </c>
      <c r="F141" s="12" t="s">
        <v>627</v>
      </c>
      <c r="G141" s="12" t="s">
        <v>628</v>
      </c>
      <c r="H141" s="34" t="s">
        <v>629</v>
      </c>
      <c r="I141" s="12" t="s">
        <v>82</v>
      </c>
      <c r="J141" s="12" t="s">
        <v>272</v>
      </c>
      <c r="K141" s="18">
        <v>58627</v>
      </c>
      <c r="L141" s="18">
        <v>0</v>
      </c>
      <c r="M141" s="12" t="s">
        <v>630</v>
      </c>
      <c r="N141" s="35">
        <v>58627</v>
      </c>
      <c r="O141" s="35">
        <v>0</v>
      </c>
      <c r="P141" s="35">
        <v>0</v>
      </c>
      <c r="Q141" s="35">
        <v>0</v>
      </c>
      <c r="R141" s="18">
        <f>N141-O141</f>
        <v>58627.0</v>
      </c>
      <c r="S141" s="18">
        <f>O141-P141</f>
        <v>0.0</v>
      </c>
      <c r="T141" s="18">
        <f>N141-Q141</f>
        <v>58627.0</v>
      </c>
      <c r="U141" s="36">
        <f>IF(N141&gt;0,Q141/N141,0)</f>
        <v>0.0</v>
      </c>
      <c r="V141" s="35">
        <v>17495784.92</v>
      </c>
      <c r="W141" s="35">
        <v>391757.37</v>
      </c>
      <c r="X141" s="36">
        <v>0.02239152869055731</v>
      </c>
      <c r="Y141" s="35">
        <v>58627</v>
      </c>
      <c r="Z141" s="17" t="s">
        <v>463</v>
      </c>
      <c r="AA141" s="12" t="s">
        <v>99</v>
      </c>
      <c r="AB141" s="12" t="s">
        <v>99</v>
      </c>
      <c r="AC141" s="12" t="s">
        <v>99</v>
      </c>
      <c r="AD141" s="12" t="s">
        <v>99</v>
      </c>
      <c r="AE141" s="12" t="s">
        <v>86</v>
      </c>
      <c r="AF141" s="12" t="s">
        <v>87</v>
      </c>
      <c r="AG141" s="18">
        <v>-1</v>
      </c>
      <c r="AH141" s="12" t="s">
        <v>169</v>
      </c>
      <c r="AI141" s="12" t="s">
        <v>89</v>
      </c>
      <c r="AJ141" s="12" t="s">
        <v>89</v>
      </c>
      <c r="AK141" s="12" t="s">
        <v>89</v>
      </c>
      <c r="AL141" s="12" t="s">
        <v>89</v>
      </c>
      <c r="AM141" s="12" t="s">
        <v>91</v>
      </c>
      <c r="AN141" s="17" t="s">
        <v>87</v>
      </c>
    </row>
    <row r="142" spans="1:40">
      <c r="A142" s="12" t="s">
        <v>74</v>
      </c>
      <c r="B142" s="12" t="s">
        <v>75</v>
      </c>
      <c r="C142" s="12" t="s">
        <v>76</v>
      </c>
      <c r="D142" s="12" t="s">
        <v>594</v>
      </c>
      <c r="E142" s="12" t="s">
        <v>102</v>
      </c>
      <c r="F142" s="12" t="s">
        <v>631</v>
      </c>
      <c r="G142" s="12" t="s">
        <v>632</v>
      </c>
      <c r="H142" s="34" t="s">
        <v>633</v>
      </c>
      <c r="I142" s="12" t="s">
        <v>82</v>
      </c>
      <c r="J142" s="12" t="s">
        <v>83</v>
      </c>
      <c r="K142" s="18">
        <v>0</v>
      </c>
      <c r="L142" s="18">
        <v>0</v>
      </c>
      <c r="M142" s="12" t="s">
        <v>84</v>
      </c>
      <c r="N142" s="35">
        <v>220496</v>
      </c>
      <c r="O142" s="35">
        <v>220392</v>
      </c>
      <c r="P142" s="35">
        <v>175392</v>
      </c>
      <c r="Q142" s="35">
        <v>174510.41</v>
      </c>
      <c r="R142" s="18">
        <f>N142-O142</f>
        <v>104.0</v>
      </c>
      <c r="S142" s="18">
        <f>O142-P142</f>
        <v>45000.0</v>
      </c>
      <c r="T142" s="18">
        <f>N142-Q142</f>
        <v>45985.59</v>
      </c>
      <c r="U142" s="36">
        <f>IF(N142&gt;0,Q142/N142,0)</f>
        <v>0.7914447881140702</v>
      </c>
      <c r="V142" s="35">
        <v>2234424.49</v>
      </c>
      <c r="W142" s="35">
        <v>181118.41</v>
      </c>
      <c r="X142" s="36">
        <v>0.08105819230436379</v>
      </c>
      <c r="Y142" s="35">
        <v>220496</v>
      </c>
      <c r="Z142" s="17" t="s">
        <v>85</v>
      </c>
      <c r="AA142" s="12" t="s">
        <v>99</v>
      </c>
      <c r="AB142" s="12" t="s">
        <v>99</v>
      </c>
      <c r="AC142" s="12" t="s">
        <v>99</v>
      </c>
      <c r="AD142" s="12" t="s">
        <v>99</v>
      </c>
      <c r="AE142" s="12" t="s">
        <v>86</v>
      </c>
      <c r="AF142" s="12" t="s">
        <v>87</v>
      </c>
      <c r="AG142" s="18">
        <v>-1</v>
      </c>
      <c r="AH142" s="12" t="s">
        <v>169</v>
      </c>
      <c r="AI142" s="12" t="s">
        <v>89</v>
      </c>
      <c r="AJ142" s="12" t="s">
        <v>89</v>
      </c>
      <c r="AK142" s="12" t="s">
        <v>89</v>
      </c>
      <c r="AL142" s="12" t="s">
        <v>170</v>
      </c>
      <c r="AM142" s="12" t="s">
        <v>275</v>
      </c>
      <c r="AN142" s="17" t="s">
        <v>92</v>
      </c>
    </row>
    <row r="143" spans="1:40">
      <c r="A143" s="12" t="s">
        <v>74</v>
      </c>
      <c r="B143" s="12" t="s">
        <v>75</v>
      </c>
      <c r="C143" s="12" t="s">
        <v>76</v>
      </c>
      <c r="D143" s="12" t="s">
        <v>594</v>
      </c>
      <c r="E143" s="12" t="s">
        <v>102</v>
      </c>
      <c r="F143" s="12" t="s">
        <v>634</v>
      </c>
      <c r="G143" s="12" t="s">
        <v>635</v>
      </c>
      <c r="H143" s="34" t="s">
        <v>636</v>
      </c>
      <c r="I143" s="12" t="s">
        <v>82</v>
      </c>
      <c r="J143" s="12" t="s">
        <v>106</v>
      </c>
      <c r="K143" s="18">
        <v>0</v>
      </c>
      <c r="L143" s="18">
        <v>0</v>
      </c>
      <c r="M143" s="12" t="s">
        <v>121</v>
      </c>
      <c r="N143" s="35">
        <v>129991</v>
      </c>
      <c r="O143" s="35">
        <v>129991</v>
      </c>
      <c r="P143" s="35">
        <v>129991</v>
      </c>
      <c r="Q143" s="35">
        <v>129329.12</v>
      </c>
      <c r="R143" s="18">
        <f>N143-O143</f>
        <v>0.0</v>
      </c>
      <c r="S143" s="18">
        <f>O143-P143</f>
        <v>0.0</v>
      </c>
      <c r="T143" s="18">
        <f>N143-Q143</f>
        <v>661.8800000000047</v>
      </c>
      <c r="U143" s="36">
        <f>IF(N143&gt;0,Q143/N143,0)</f>
        <v>0.9949082628797378</v>
      </c>
      <c r="V143" s="35">
        <v>958145.35</v>
      </c>
      <c r="W143" s="35">
        <v>155488.7</v>
      </c>
      <c r="X143" s="36">
        <v>0.1622809107198611</v>
      </c>
      <c r="Y143" s="35">
        <v>129991</v>
      </c>
      <c r="Z143" s="17" t="s">
        <v>85</v>
      </c>
      <c r="AA143" s="35">
        <v>129991</v>
      </c>
      <c r="AB143" s="35">
        <v>245854</v>
      </c>
      <c r="AC143" s="35">
        <v>0</v>
      </c>
      <c r="AD143" s="35">
        <v>200000</v>
      </c>
      <c r="AE143" s="12" t="s">
        <v>86</v>
      </c>
      <c r="AF143" s="12" t="s">
        <v>87</v>
      </c>
      <c r="AG143" s="18">
        <v>-1</v>
      </c>
      <c r="AH143" s="12" t="s">
        <v>169</v>
      </c>
      <c r="AI143" s="12" t="s">
        <v>89</v>
      </c>
      <c r="AJ143" s="12" t="s">
        <v>89</v>
      </c>
      <c r="AK143" s="12" t="s">
        <v>89</v>
      </c>
      <c r="AL143" s="12" t="s">
        <v>170</v>
      </c>
      <c r="AM143" s="12" t="s">
        <v>91</v>
      </c>
      <c r="AN143" s="17" t="s">
        <v>92</v>
      </c>
    </row>
    <row r="144" spans="1:40">
      <c r="A144" s="12" t="s">
        <v>74</v>
      </c>
      <c r="B144" s="12" t="s">
        <v>75</v>
      </c>
      <c r="C144" s="12" t="s">
        <v>76</v>
      </c>
      <c r="D144" s="12" t="s">
        <v>594</v>
      </c>
      <c r="E144" s="12" t="s">
        <v>102</v>
      </c>
      <c r="F144" s="12" t="s">
        <v>637</v>
      </c>
      <c r="G144" s="12" t="s">
        <v>638</v>
      </c>
      <c r="H144" s="34" t="s">
        <v>639</v>
      </c>
      <c r="I144" s="12" t="s">
        <v>82</v>
      </c>
      <c r="J144" s="12" t="s">
        <v>83</v>
      </c>
      <c r="K144" s="18">
        <v>0</v>
      </c>
      <c r="L144" s="18">
        <v>0</v>
      </c>
      <c r="M144" s="12" t="s">
        <v>84</v>
      </c>
      <c r="N144" s="35">
        <v>24413</v>
      </c>
      <c r="O144" s="35">
        <v>23994.5</v>
      </c>
      <c r="P144" s="35">
        <v>23994.5</v>
      </c>
      <c r="Q144" s="35">
        <v>19205.73</v>
      </c>
      <c r="R144" s="18">
        <f>N144-O144</f>
        <v>418.5</v>
      </c>
      <c r="S144" s="18">
        <f>O144-P144</f>
        <v>0.0</v>
      </c>
      <c r="T144" s="18">
        <f>N144-Q144</f>
        <v>5207.27</v>
      </c>
      <c r="U144" s="36">
        <f>IF(N144&gt;0,Q144/N144,0)</f>
        <v>0.7867009380248228</v>
      </c>
      <c r="V144" s="35">
        <v>2737436.62</v>
      </c>
      <c r="W144" s="35">
        <v>131747.2</v>
      </c>
      <c r="X144" s="36">
        <v>0.04812794533303204</v>
      </c>
      <c r="Y144" s="35">
        <v>24413</v>
      </c>
      <c r="Z144" s="17" t="s">
        <v>85</v>
      </c>
      <c r="AA144" s="35">
        <v>24413</v>
      </c>
      <c r="AB144" s="35">
        <v>753784</v>
      </c>
      <c r="AC144" s="35">
        <v>0</v>
      </c>
      <c r="AD144" s="35">
        <v>1846698</v>
      </c>
      <c r="AE144" s="12" t="s">
        <v>86</v>
      </c>
      <c r="AF144" s="12" t="s">
        <v>87</v>
      </c>
      <c r="AG144" s="18">
        <v>-1</v>
      </c>
      <c r="AH144" s="12" t="s">
        <v>169</v>
      </c>
      <c r="AI144" s="12" t="s">
        <v>89</v>
      </c>
      <c r="AJ144" s="12" t="s">
        <v>89</v>
      </c>
      <c r="AK144" s="12" t="s">
        <v>89</v>
      </c>
      <c r="AL144" s="12" t="s">
        <v>170</v>
      </c>
      <c r="AM144" s="12" t="s">
        <v>91</v>
      </c>
      <c r="AN144" s="17" t="s">
        <v>92</v>
      </c>
    </row>
    <row r="145" spans="1:40">
      <c r="A145" s="12" t="s">
        <v>74</v>
      </c>
      <c r="B145" s="12" t="s">
        <v>75</v>
      </c>
      <c r="C145" s="12" t="s">
        <v>76</v>
      </c>
      <c r="D145" s="12" t="s">
        <v>594</v>
      </c>
      <c r="E145" s="12" t="s">
        <v>102</v>
      </c>
      <c r="F145" s="12" t="s">
        <v>640</v>
      </c>
      <c r="G145" s="12" t="s">
        <v>641</v>
      </c>
      <c r="H145" s="34" t="s">
        <v>642</v>
      </c>
      <c r="I145" s="12" t="s">
        <v>82</v>
      </c>
      <c r="J145" s="12" t="s">
        <v>83</v>
      </c>
      <c r="K145" s="18">
        <v>0</v>
      </c>
      <c r="L145" s="18">
        <v>0</v>
      </c>
      <c r="M145" s="12" t="s">
        <v>84</v>
      </c>
      <c r="N145" s="35">
        <v>621845</v>
      </c>
      <c r="O145" s="35">
        <v>621845</v>
      </c>
      <c r="P145" s="35">
        <v>521845</v>
      </c>
      <c r="Q145" s="35">
        <v>396842.78</v>
      </c>
      <c r="R145" s="18">
        <f>N145-O145</f>
        <v>0.0</v>
      </c>
      <c r="S145" s="18">
        <f>O145-P145</f>
        <v>100000.0</v>
      </c>
      <c r="T145" s="18">
        <f>N145-Q145</f>
        <v>225002.21999999997</v>
      </c>
      <c r="U145" s="36">
        <f>IF(N145&gt;0,Q145/N145,0)</f>
        <v>0.638169929805659</v>
      </c>
      <c r="V145" s="35">
        <v>16279117.36</v>
      </c>
      <c r="W145" s="35">
        <v>396842.78</v>
      </c>
      <c r="X145" s="36">
        <v>0.0243774137887289</v>
      </c>
      <c r="Y145" s="35">
        <v>621845</v>
      </c>
      <c r="Z145" s="17" t="s">
        <v>85</v>
      </c>
      <c r="AA145" s="35">
        <v>521845</v>
      </c>
      <c r="AB145" s="35">
        <v>2345678</v>
      </c>
      <c r="AC145" s="35">
        <v>0</v>
      </c>
      <c r="AD145" s="35">
        <v>1000000</v>
      </c>
      <c r="AE145" s="12" t="s">
        <v>86</v>
      </c>
      <c r="AF145" s="12" t="s">
        <v>87</v>
      </c>
      <c r="AG145" s="18">
        <v>-1</v>
      </c>
      <c r="AH145" s="12" t="s">
        <v>169</v>
      </c>
      <c r="AI145" s="12" t="s">
        <v>89</v>
      </c>
      <c r="AJ145" s="12" t="s">
        <v>89</v>
      </c>
      <c r="AK145" s="12" t="s">
        <v>89</v>
      </c>
      <c r="AL145" s="12" t="s">
        <v>170</v>
      </c>
      <c r="AM145" s="12" t="s">
        <v>91</v>
      </c>
      <c r="AN145" s="17" t="s">
        <v>92</v>
      </c>
    </row>
    <row r="146" spans="1:40">
      <c r="A146" s="12" t="s">
        <v>74</v>
      </c>
      <c r="B146" s="12" t="s">
        <v>75</v>
      </c>
      <c r="C146" s="12" t="s">
        <v>76</v>
      </c>
      <c r="D146" s="12" t="s">
        <v>594</v>
      </c>
      <c r="E146" s="12" t="s">
        <v>102</v>
      </c>
      <c r="F146" s="12" t="s">
        <v>643</v>
      </c>
      <c r="G146" s="12" t="s">
        <v>644</v>
      </c>
      <c r="H146" s="34" t="s">
        <v>645</v>
      </c>
      <c r="I146" s="12" t="s">
        <v>82</v>
      </c>
      <c r="J146" s="12" t="s">
        <v>83</v>
      </c>
      <c r="K146" s="18">
        <v>0</v>
      </c>
      <c r="L146" s="18">
        <v>0</v>
      </c>
      <c r="M146" s="12" t="s">
        <v>84</v>
      </c>
      <c r="N146" s="35">
        <v>784869</v>
      </c>
      <c r="O146" s="35">
        <v>784869</v>
      </c>
      <c r="P146" s="35">
        <v>634747.9</v>
      </c>
      <c r="Q146" s="35">
        <v>631813.71</v>
      </c>
      <c r="R146" s="18">
        <f>N146-O146</f>
        <v>0.0</v>
      </c>
      <c r="S146" s="18">
        <f>O146-P146</f>
        <v>150121.09999999998</v>
      </c>
      <c r="T146" s="18">
        <f>N146-Q146</f>
        <v>153055.29000000004</v>
      </c>
      <c r="U146" s="36">
        <f>IF(N146&gt;0,Q146/N146,0)</f>
        <v>0.8049925656383421</v>
      </c>
      <c r="V146" s="35">
        <v>30928293.26</v>
      </c>
      <c r="W146" s="35">
        <v>631813.71</v>
      </c>
      <c r="X146" s="36">
        <v>0.02042834063582595</v>
      </c>
      <c r="Y146" s="35">
        <v>784869</v>
      </c>
      <c r="Z146" s="17" t="s">
        <v>85</v>
      </c>
      <c r="AA146" s="35">
        <v>340000</v>
      </c>
      <c r="AB146" s="35">
        <v>254845</v>
      </c>
      <c r="AC146" s="35">
        <v>0</v>
      </c>
      <c r="AD146" s="35">
        <v>300000</v>
      </c>
      <c r="AE146" s="12" t="s">
        <v>86</v>
      </c>
      <c r="AF146" s="12" t="s">
        <v>87</v>
      </c>
      <c r="AG146" s="18">
        <v>-1</v>
      </c>
      <c r="AH146" s="12" t="s">
        <v>169</v>
      </c>
      <c r="AI146" s="12" t="s">
        <v>89</v>
      </c>
      <c r="AJ146" s="12" t="s">
        <v>89</v>
      </c>
      <c r="AK146" s="12" t="s">
        <v>89</v>
      </c>
      <c r="AL146" s="12" t="s">
        <v>170</v>
      </c>
      <c r="AM146" s="12" t="s">
        <v>91</v>
      </c>
      <c r="AN146" s="17" t="s">
        <v>92</v>
      </c>
    </row>
    <row r="147" spans="1:40">
      <c r="A147" s="12" t="s">
        <v>74</v>
      </c>
      <c r="B147" s="12" t="s">
        <v>75</v>
      </c>
      <c r="C147" s="12" t="s">
        <v>76</v>
      </c>
      <c r="D147" s="12" t="s">
        <v>594</v>
      </c>
      <c r="E147" s="12" t="s">
        <v>102</v>
      </c>
      <c r="F147" s="12" t="s">
        <v>646</v>
      </c>
      <c r="G147" s="12" t="s">
        <v>647</v>
      </c>
      <c r="H147" s="34" t="s">
        <v>648</v>
      </c>
      <c r="I147" s="12" t="s">
        <v>82</v>
      </c>
      <c r="J147" s="12" t="s">
        <v>83</v>
      </c>
      <c r="K147" s="18">
        <v>0</v>
      </c>
      <c r="L147" s="18">
        <v>0</v>
      </c>
      <c r="M147" s="12" t="s">
        <v>84</v>
      </c>
      <c r="N147" s="35">
        <v>373203</v>
      </c>
      <c r="O147" s="35">
        <v>199545</v>
      </c>
      <c r="P147" s="35">
        <v>199545</v>
      </c>
      <c r="Q147" s="35">
        <v>127534.07</v>
      </c>
      <c r="R147" s="18">
        <f>N147-O147</f>
        <v>173658.0</v>
      </c>
      <c r="S147" s="18">
        <f>O147-P147</f>
        <v>0.0</v>
      </c>
      <c r="T147" s="18">
        <f>N147-Q147</f>
        <v>245668.93</v>
      </c>
      <c r="U147" s="36">
        <f>IF(N147&gt;0,Q147/N147,0)</f>
        <v>0.3417284159023374</v>
      </c>
      <c r="V147" s="35">
        <v>16022836.38</v>
      </c>
      <c r="W147" s="35">
        <v>127534.07</v>
      </c>
      <c r="X147" s="36">
        <v>0.007959518962522165</v>
      </c>
      <c r="Y147" s="35">
        <v>389562.75</v>
      </c>
      <c r="Z147" s="17" t="s">
        <v>108</v>
      </c>
      <c r="AA147" s="35">
        <v>199545</v>
      </c>
      <c r="AB147" s="35">
        <v>5256354</v>
      </c>
      <c r="AC147" s="35">
        <v>0</v>
      </c>
      <c r="AD147" s="35">
        <v>0</v>
      </c>
      <c r="AE147" s="12" t="s">
        <v>86</v>
      </c>
      <c r="AF147" s="12" t="s">
        <v>87</v>
      </c>
      <c r="AG147" s="18">
        <v>-1</v>
      </c>
      <c r="AH147" s="12" t="s">
        <v>169</v>
      </c>
      <c r="AI147" s="12" t="s">
        <v>89</v>
      </c>
      <c r="AJ147" s="12" t="s">
        <v>89</v>
      </c>
      <c r="AK147" s="12" t="s">
        <v>89</v>
      </c>
      <c r="AL147" s="12" t="s">
        <v>170</v>
      </c>
      <c r="AM147" s="12" t="s">
        <v>91</v>
      </c>
      <c r="AN147" s="17" t="s">
        <v>92</v>
      </c>
    </row>
    <row r="148" spans="1:40">
      <c r="A148" s="12" t="s">
        <v>74</v>
      </c>
      <c r="B148" s="12" t="s">
        <v>75</v>
      </c>
      <c r="C148" s="12" t="s">
        <v>76</v>
      </c>
      <c r="D148" s="12" t="s">
        <v>594</v>
      </c>
      <c r="E148" s="12" t="s">
        <v>102</v>
      </c>
      <c r="F148" s="12" t="s">
        <v>649</v>
      </c>
      <c r="G148" s="12" t="s">
        <v>650</v>
      </c>
      <c r="H148" s="34" t="s">
        <v>651</v>
      </c>
      <c r="I148" s="12" t="s">
        <v>82</v>
      </c>
      <c r="J148" s="12" t="s">
        <v>106</v>
      </c>
      <c r="K148" s="18">
        <v>0</v>
      </c>
      <c r="L148" s="18">
        <v>0</v>
      </c>
      <c r="M148" s="12" t="s">
        <v>121</v>
      </c>
      <c r="N148" s="35">
        <v>192812</v>
      </c>
      <c r="O148" s="35">
        <v>182045</v>
      </c>
      <c r="P148" s="35">
        <v>180485</v>
      </c>
      <c r="Q148" s="35">
        <v>176515.68</v>
      </c>
      <c r="R148" s="18">
        <f>N148-O148</f>
        <v>10767.0</v>
      </c>
      <c r="S148" s="18">
        <f>O148-P148</f>
        <v>1560.0</v>
      </c>
      <c r="T148" s="18">
        <f>N148-Q148</f>
        <v>16296.320000000007</v>
      </c>
      <c r="U148" s="36">
        <f>IF(N148&gt;0,Q148/N148,0)</f>
        <v>0.9154807792046138</v>
      </c>
      <c r="V148" s="35">
        <v>12138149.69</v>
      </c>
      <c r="W148" s="35">
        <v>176515.68</v>
      </c>
      <c r="X148" s="36">
        <v>0.01454222303300661</v>
      </c>
      <c r="Y148" s="35">
        <v>192812</v>
      </c>
      <c r="Z148" s="17" t="s">
        <v>85</v>
      </c>
      <c r="AA148" s="35">
        <v>192812</v>
      </c>
      <c r="AB148" s="35">
        <v>0</v>
      </c>
      <c r="AC148" s="35">
        <v>500000</v>
      </c>
      <c r="AD148" s="35">
        <v>0</v>
      </c>
      <c r="AE148" s="12" t="s">
        <v>86</v>
      </c>
      <c r="AF148" s="12" t="s">
        <v>87</v>
      </c>
      <c r="AG148" s="18">
        <v>-1</v>
      </c>
      <c r="AH148" s="12" t="s">
        <v>169</v>
      </c>
      <c r="AI148" s="12" t="s">
        <v>89</v>
      </c>
      <c r="AJ148" s="12" t="s">
        <v>89</v>
      </c>
      <c r="AK148" s="12" t="s">
        <v>89</v>
      </c>
      <c r="AL148" s="12" t="s">
        <v>170</v>
      </c>
      <c r="AM148" s="12" t="s">
        <v>91</v>
      </c>
      <c r="AN148" s="17" t="s">
        <v>92</v>
      </c>
    </row>
    <row r="149" spans="1:40">
      <c r="A149" s="12" t="s">
        <v>74</v>
      </c>
      <c r="B149" s="12" t="s">
        <v>75</v>
      </c>
      <c r="C149" s="12" t="s">
        <v>76</v>
      </c>
      <c r="D149" s="12" t="s">
        <v>594</v>
      </c>
      <c r="E149" s="12" t="s">
        <v>102</v>
      </c>
      <c r="F149" s="12" t="s">
        <v>652</v>
      </c>
      <c r="G149" s="12" t="s">
        <v>653</v>
      </c>
      <c r="H149" s="34" t="s">
        <v>654</v>
      </c>
      <c r="I149" s="12" t="s">
        <v>82</v>
      </c>
      <c r="J149" s="12" t="s">
        <v>83</v>
      </c>
      <c r="K149" s="18">
        <v>0</v>
      </c>
      <c r="L149" s="18">
        <v>0</v>
      </c>
      <c r="M149" s="12" t="s">
        <v>84</v>
      </c>
      <c r="N149" s="35">
        <v>287709</v>
      </c>
      <c r="O149" s="35">
        <v>287709</v>
      </c>
      <c r="P149" s="35">
        <v>287709</v>
      </c>
      <c r="Q149" s="35">
        <v>108740.53</v>
      </c>
      <c r="R149" s="18">
        <f>N149-O149</f>
        <v>0.0</v>
      </c>
      <c r="S149" s="18">
        <f>O149-P149</f>
        <v>0.0</v>
      </c>
      <c r="T149" s="18">
        <f>N149-Q149</f>
        <v>178968.47</v>
      </c>
      <c r="U149" s="36">
        <f>IF(N149&gt;0,Q149/N149,0)</f>
        <v>0.37795317490937025</v>
      </c>
      <c r="V149" s="35">
        <v>6141183.94</v>
      </c>
      <c r="W149" s="35">
        <v>108740.53</v>
      </c>
      <c r="X149" s="36">
        <v>0.01770676974707258</v>
      </c>
      <c r="Y149" s="17" t="s">
        <v>151</v>
      </c>
      <c r="Z149" s="17" t="s">
        <v>89</v>
      </c>
      <c r="AA149" s="35">
        <v>287709</v>
      </c>
      <c r="AB149" s="35">
        <v>0</v>
      </c>
      <c r="AC149" s="35">
        <v>0</v>
      </c>
      <c r="AD149" s="35">
        <v>3000000</v>
      </c>
      <c r="AE149" s="12" t="s">
        <v>86</v>
      </c>
      <c r="AF149" s="12" t="s">
        <v>87</v>
      </c>
      <c r="AG149" s="18">
        <v>-1</v>
      </c>
      <c r="AH149" s="12" t="s">
        <v>169</v>
      </c>
      <c r="AI149" s="12" t="s">
        <v>89</v>
      </c>
      <c r="AJ149" s="12" t="s">
        <v>89</v>
      </c>
      <c r="AK149" s="12" t="s">
        <v>89</v>
      </c>
      <c r="AL149" s="12" t="s">
        <v>170</v>
      </c>
      <c r="AM149" s="12" t="s">
        <v>91</v>
      </c>
      <c r="AN149" s="17" t="s">
        <v>92</v>
      </c>
    </row>
    <row r="150" spans="1:40">
      <c r="A150" s="12" t="s">
        <v>74</v>
      </c>
      <c r="B150" s="12" t="s">
        <v>75</v>
      </c>
      <c r="C150" s="12" t="s">
        <v>76</v>
      </c>
      <c r="D150" s="12" t="s">
        <v>594</v>
      </c>
      <c r="E150" s="12" t="s">
        <v>102</v>
      </c>
      <c r="F150" s="12" t="s">
        <v>655</v>
      </c>
      <c r="G150" s="12" t="s">
        <v>656</v>
      </c>
      <c r="H150" s="34" t="s">
        <v>657</v>
      </c>
      <c r="I150" s="12" t="s">
        <v>82</v>
      </c>
      <c r="J150" s="12" t="s">
        <v>83</v>
      </c>
      <c r="K150" s="18">
        <v>0.5</v>
      </c>
      <c r="L150" s="18">
        <v>0</v>
      </c>
      <c r="M150" s="12" t="s">
        <v>84</v>
      </c>
      <c r="N150" s="35">
        <v>256938</v>
      </c>
      <c r="O150" s="35">
        <v>140000</v>
      </c>
      <c r="P150" s="35">
        <v>140000</v>
      </c>
      <c r="Q150" s="35">
        <v>131428.18</v>
      </c>
      <c r="R150" s="18">
        <f>N150-O150</f>
        <v>116938.0</v>
      </c>
      <c r="S150" s="18">
        <f>O150-P150</f>
        <v>0.0</v>
      </c>
      <c r="T150" s="18">
        <f>N150-Q150</f>
        <v>125509.82</v>
      </c>
      <c r="U150" s="36">
        <f>IF(N150&gt;0,Q150/N150,0)</f>
        <v>0.511517097509905</v>
      </c>
      <c r="V150" s="35">
        <v>5978792.07</v>
      </c>
      <c r="W150" s="35">
        <v>131428.18</v>
      </c>
      <c r="X150" s="36">
        <v>0.02198239685562438</v>
      </c>
      <c r="Y150" s="35">
        <v>256937.5</v>
      </c>
      <c r="Z150" s="17" t="s">
        <v>108</v>
      </c>
      <c r="AA150" s="35">
        <v>140000</v>
      </c>
      <c r="AB150" s="35">
        <v>0</v>
      </c>
      <c r="AC150" s="35">
        <v>0</v>
      </c>
      <c r="AD150" s="35">
        <v>500000</v>
      </c>
      <c r="AE150" s="12" t="s">
        <v>86</v>
      </c>
      <c r="AF150" s="12" t="s">
        <v>87</v>
      </c>
      <c r="AG150" s="18">
        <v>-1</v>
      </c>
      <c r="AH150" s="12" t="s">
        <v>169</v>
      </c>
      <c r="AI150" s="12" t="s">
        <v>89</v>
      </c>
      <c r="AJ150" s="12" t="s">
        <v>89</v>
      </c>
      <c r="AK150" s="12" t="s">
        <v>89</v>
      </c>
      <c r="AL150" s="12" t="s">
        <v>170</v>
      </c>
      <c r="AM150" s="12" t="s">
        <v>91</v>
      </c>
      <c r="AN150" s="17" t="s">
        <v>92</v>
      </c>
    </row>
    <row r="151" spans="1:40">
      <c r="A151" s="12" t="s">
        <v>74</v>
      </c>
      <c r="B151" s="12" t="s">
        <v>75</v>
      </c>
      <c r="C151" s="12" t="s">
        <v>76</v>
      </c>
      <c r="D151" s="12" t="s">
        <v>594</v>
      </c>
      <c r="E151" s="12" t="s">
        <v>102</v>
      </c>
      <c r="F151" s="12" t="s">
        <v>658</v>
      </c>
      <c r="G151" s="12" t="s">
        <v>659</v>
      </c>
      <c r="H151" s="34" t="s">
        <v>660</v>
      </c>
      <c r="I151" s="12" t="s">
        <v>82</v>
      </c>
      <c r="J151" s="12" t="s">
        <v>83</v>
      </c>
      <c r="K151" s="18">
        <v>0</v>
      </c>
      <c r="L151" s="18">
        <v>0</v>
      </c>
      <c r="M151" s="12" t="s">
        <v>84</v>
      </c>
      <c r="N151" s="35">
        <v>200000</v>
      </c>
      <c r="O151" s="35">
        <v>200000</v>
      </c>
      <c r="P151" s="35">
        <v>200000</v>
      </c>
      <c r="Q151" s="35">
        <v>0</v>
      </c>
      <c r="R151" s="18">
        <f>N151-O151</f>
        <v>0.0</v>
      </c>
      <c r="S151" s="18">
        <f>O151-P151</f>
        <v>0.0</v>
      </c>
      <c r="T151" s="18">
        <f>N151-Q151</f>
        <v>200000.0</v>
      </c>
      <c r="U151" s="36">
        <f>IF(N151&gt;0,Q151/N151,0)</f>
        <v>0.0</v>
      </c>
      <c r="V151" s="35">
        <v>2766448.22</v>
      </c>
      <c r="W151" s="35">
        <v>0</v>
      </c>
      <c r="X151" s="36">
        <v>0</v>
      </c>
      <c r="Y151" s="35">
        <v>200000</v>
      </c>
      <c r="Z151" s="17" t="s">
        <v>661</v>
      </c>
      <c r="AA151" s="12" t="s">
        <v>99</v>
      </c>
      <c r="AB151" s="12" t="s">
        <v>99</v>
      </c>
      <c r="AC151" s="12" t="s">
        <v>99</v>
      </c>
      <c r="AD151" s="12" t="s">
        <v>99</v>
      </c>
      <c r="AE151" s="12" t="s">
        <v>86</v>
      </c>
      <c r="AF151" s="12" t="s">
        <v>87</v>
      </c>
      <c r="AG151" s="18">
        <v>-1</v>
      </c>
      <c r="AH151" s="12" t="s">
        <v>169</v>
      </c>
      <c r="AI151" s="12" t="s">
        <v>89</v>
      </c>
      <c r="AJ151" s="12" t="s">
        <v>89</v>
      </c>
      <c r="AK151" s="12" t="s">
        <v>89</v>
      </c>
      <c r="AL151" s="12" t="s">
        <v>89</v>
      </c>
      <c r="AM151" s="12" t="s">
        <v>662</v>
      </c>
      <c r="AN151" s="17" t="s">
        <v>92</v>
      </c>
    </row>
    <row r="152" spans="1:40">
      <c r="A152" s="12" t="s">
        <v>74</v>
      </c>
      <c r="B152" s="12" t="s">
        <v>75</v>
      </c>
      <c r="C152" s="12" t="s">
        <v>76</v>
      </c>
      <c r="D152" s="12" t="s">
        <v>594</v>
      </c>
      <c r="E152" s="12" t="s">
        <v>102</v>
      </c>
      <c r="F152" s="12" t="s">
        <v>663</v>
      </c>
      <c r="G152" s="12" t="s">
        <v>664</v>
      </c>
      <c r="H152" s="34" t="s">
        <v>665</v>
      </c>
      <c r="I152" s="12" t="s">
        <v>82</v>
      </c>
      <c r="J152" s="12" t="s">
        <v>83</v>
      </c>
      <c r="K152" s="18">
        <v>0</v>
      </c>
      <c r="L152" s="18">
        <v>0</v>
      </c>
      <c r="M152" s="12" t="s">
        <v>84</v>
      </c>
      <c r="N152" s="35">
        <v>200000</v>
      </c>
      <c r="O152" s="35">
        <v>200000</v>
      </c>
      <c r="P152" s="35">
        <v>200000</v>
      </c>
      <c r="Q152" s="35">
        <v>30838.26</v>
      </c>
      <c r="R152" s="18">
        <f>N152-O152</f>
        <v>0.0</v>
      </c>
      <c r="S152" s="18">
        <f>O152-P152</f>
        <v>0.0</v>
      </c>
      <c r="T152" s="18">
        <f>N152-Q152</f>
        <v>169161.74</v>
      </c>
      <c r="U152" s="36">
        <f>IF(N152&gt;0,Q152/N152,0)</f>
        <v>0.1541913</v>
      </c>
      <c r="V152" s="35">
        <v>12096729.4</v>
      </c>
      <c r="W152" s="35">
        <v>30838.26</v>
      </c>
      <c r="X152" s="36">
        <v>0.002549305599908683</v>
      </c>
      <c r="Y152" s="35">
        <v>200000</v>
      </c>
      <c r="Z152" s="17" t="s">
        <v>284</v>
      </c>
      <c r="AA152" s="35">
        <v>200000</v>
      </c>
      <c r="AB152" s="35">
        <v>0</v>
      </c>
      <c r="AC152" s="35">
        <v>3000000</v>
      </c>
      <c r="AD152" s="35">
        <v>8896729</v>
      </c>
      <c r="AE152" s="12" t="s">
        <v>86</v>
      </c>
      <c r="AF152" s="12" t="s">
        <v>87</v>
      </c>
      <c r="AG152" s="18">
        <v>-1</v>
      </c>
      <c r="AH152" s="12" t="s">
        <v>169</v>
      </c>
      <c r="AI152" s="12" t="s">
        <v>89</v>
      </c>
      <c r="AJ152" s="12" t="s">
        <v>89</v>
      </c>
      <c r="AK152" s="12" t="s">
        <v>89</v>
      </c>
      <c r="AL152" s="12" t="s">
        <v>170</v>
      </c>
      <c r="AM152" s="12" t="s">
        <v>91</v>
      </c>
      <c r="AN152" s="17" t="s">
        <v>92</v>
      </c>
    </row>
    <row r="153" spans="1:40">
      <c r="A153" s="12" t="s">
        <v>74</v>
      </c>
      <c r="B153" s="12" t="s">
        <v>75</v>
      </c>
      <c r="C153" s="12" t="s">
        <v>76</v>
      </c>
      <c r="D153" s="12" t="s">
        <v>594</v>
      </c>
      <c r="E153" s="12" t="s">
        <v>221</v>
      </c>
      <c r="F153" s="12" t="s">
        <v>666</v>
      </c>
      <c r="G153" s="12" t="s">
        <v>667</v>
      </c>
      <c r="H153" s="34" t="s">
        <v>668</v>
      </c>
      <c r="I153" s="12" t="s">
        <v>82</v>
      </c>
      <c r="J153" s="12" t="s">
        <v>83</v>
      </c>
      <c r="K153" s="18">
        <v>0</v>
      </c>
      <c r="L153" s="18">
        <v>0</v>
      </c>
      <c r="M153" s="12" t="s">
        <v>84</v>
      </c>
      <c r="N153" s="35">
        <v>412686</v>
      </c>
      <c r="O153" s="35">
        <v>364067</v>
      </c>
      <c r="P153" s="35">
        <v>364067</v>
      </c>
      <c r="Q153" s="35">
        <v>189727.76</v>
      </c>
      <c r="R153" s="18">
        <f>N153-O153</f>
        <v>48619.0</v>
      </c>
      <c r="S153" s="18">
        <f>O153-P153</f>
        <v>0.0</v>
      </c>
      <c r="T153" s="18">
        <f>N153-Q153</f>
        <v>222958.24</v>
      </c>
      <c r="U153" s="36">
        <f>IF(N153&gt;0,Q153/N153,0)</f>
        <v>0.45973878445113237</v>
      </c>
      <c r="V153" s="35">
        <v>18340806.74</v>
      </c>
      <c r="W153" s="35">
        <v>189727.76</v>
      </c>
      <c r="X153" s="36">
        <v>0.01034457004479619</v>
      </c>
      <c r="Y153" s="35">
        <v>412686</v>
      </c>
      <c r="Z153" s="17" t="s">
        <v>463</v>
      </c>
      <c r="AA153" s="12" t="s">
        <v>99</v>
      </c>
      <c r="AB153" s="12" t="s">
        <v>99</v>
      </c>
      <c r="AC153" s="12" t="s">
        <v>99</v>
      </c>
      <c r="AD153" s="12" t="s">
        <v>99</v>
      </c>
      <c r="AE153" s="12" t="s">
        <v>86</v>
      </c>
      <c r="AF153" s="12" t="s">
        <v>87</v>
      </c>
      <c r="AG153" s="18">
        <v>-1</v>
      </c>
      <c r="AH153" s="12" t="s">
        <v>169</v>
      </c>
      <c r="AI153" s="12" t="s">
        <v>89</v>
      </c>
      <c r="AJ153" s="12" t="s">
        <v>89</v>
      </c>
      <c r="AK153" s="12" t="s">
        <v>89</v>
      </c>
      <c r="AL153" s="12" t="s">
        <v>170</v>
      </c>
      <c r="AM153" s="12" t="s">
        <v>521</v>
      </c>
      <c r="AN153" s="17" t="s">
        <v>92</v>
      </c>
    </row>
    <row r="154" spans="1:40">
      <c r="A154" s="12" t="s">
        <v>74</v>
      </c>
      <c r="B154" s="12" t="s">
        <v>75</v>
      </c>
      <c r="C154" s="12" t="s">
        <v>76</v>
      </c>
      <c r="D154" s="12" t="s">
        <v>594</v>
      </c>
      <c r="E154" s="12" t="s">
        <v>221</v>
      </c>
      <c r="F154" s="12" t="s">
        <v>669</v>
      </c>
      <c r="G154" s="12" t="s">
        <v>670</v>
      </c>
      <c r="H154" s="34" t="s">
        <v>671</v>
      </c>
      <c r="I154" s="12" t="s">
        <v>82</v>
      </c>
      <c r="J154" s="12" t="s">
        <v>83</v>
      </c>
      <c r="K154" s="18">
        <v>0</v>
      </c>
      <c r="L154" s="18">
        <v>0</v>
      </c>
      <c r="M154" s="12" t="s">
        <v>84</v>
      </c>
      <c r="N154" s="35">
        <v>350000</v>
      </c>
      <c r="O154" s="35">
        <v>350000</v>
      </c>
      <c r="P154" s="35">
        <v>193545</v>
      </c>
      <c r="Q154" s="35">
        <v>65074.95999999999</v>
      </c>
      <c r="R154" s="18">
        <f>N154-O154</f>
        <v>0.0</v>
      </c>
      <c r="S154" s="18">
        <f>O154-P154</f>
        <v>156455.0</v>
      </c>
      <c r="T154" s="18">
        <f>N154-Q154</f>
        <v>284925.04000000004</v>
      </c>
      <c r="U154" s="36">
        <f>IF(N154&gt;0,Q154/N154,0)</f>
        <v>0.1859284571428571</v>
      </c>
      <c r="V154" s="35">
        <v>31640257.61</v>
      </c>
      <c r="W154" s="35">
        <v>65074.96</v>
      </c>
      <c r="X154" s="36">
        <v>0.002056713975028852</v>
      </c>
      <c r="Y154" s="35">
        <v>582593</v>
      </c>
      <c r="Z154" s="17" t="s">
        <v>85</v>
      </c>
      <c r="AA154" s="35">
        <v>350000</v>
      </c>
      <c r="AB154" s="35">
        <v>7563584</v>
      </c>
      <c r="AC154" s="35">
        <v>500000</v>
      </c>
      <c r="AD154" s="35">
        <v>700000</v>
      </c>
      <c r="AE154" s="12" t="s">
        <v>86</v>
      </c>
      <c r="AF154" s="12" t="s">
        <v>87</v>
      </c>
      <c r="AG154" s="18">
        <v>-1</v>
      </c>
      <c r="AH154" s="12" t="s">
        <v>169</v>
      </c>
      <c r="AI154" s="12" t="s">
        <v>89</v>
      </c>
      <c r="AJ154" s="12" t="s">
        <v>89</v>
      </c>
      <c r="AK154" s="12" t="s">
        <v>89</v>
      </c>
      <c r="AL154" s="12" t="s">
        <v>170</v>
      </c>
      <c r="AM154" s="12" t="s">
        <v>91</v>
      </c>
      <c r="AN154" s="17" t="s">
        <v>92</v>
      </c>
    </row>
    <row r="155" spans="1:40">
      <c r="A155" s="12" t="s">
        <v>74</v>
      </c>
      <c r="B155" s="12" t="s">
        <v>75</v>
      </c>
      <c r="C155" s="12" t="s">
        <v>76</v>
      </c>
      <c r="D155" s="12" t="s">
        <v>594</v>
      </c>
      <c r="E155" s="12" t="s">
        <v>221</v>
      </c>
      <c r="F155" s="12" t="s">
        <v>669</v>
      </c>
      <c r="G155" s="12" t="s">
        <v>672</v>
      </c>
      <c r="H155" s="34" t="s">
        <v>671</v>
      </c>
      <c r="I155" s="12" t="s">
        <v>82</v>
      </c>
      <c r="J155" s="12" t="s">
        <v>83</v>
      </c>
      <c r="K155" s="18">
        <v>0</v>
      </c>
      <c r="L155" s="18">
        <v>0</v>
      </c>
      <c r="M155" s="12" t="s">
        <v>84</v>
      </c>
      <c r="N155" s="35">
        <v>213376</v>
      </c>
      <c r="O155" s="35">
        <v>0</v>
      </c>
      <c r="P155" s="35">
        <v>0</v>
      </c>
      <c r="Q155" s="35">
        <v>0</v>
      </c>
      <c r="R155" s="18">
        <f>N155-O155</f>
        <v>213376.0</v>
      </c>
      <c r="S155" s="18">
        <f>O155-P155</f>
        <v>0.0</v>
      </c>
      <c r="T155" s="18">
        <f>N155-Q155</f>
        <v>213376.0</v>
      </c>
      <c r="U155" s="36">
        <f>IF(N155&gt;0,Q155/N155,0)</f>
        <v>0.0</v>
      </c>
      <c r="V155" s="35">
        <v>31640257.61</v>
      </c>
      <c r="W155" s="35">
        <v>65074.96</v>
      </c>
      <c r="X155" s="36">
        <v>0.002056713975028852</v>
      </c>
      <c r="Y155" s="35">
        <v>582593</v>
      </c>
      <c r="Z155" s="17" t="s">
        <v>85</v>
      </c>
      <c r="AA155" s="35">
        <v>350000</v>
      </c>
      <c r="AB155" s="35">
        <v>7563584</v>
      </c>
      <c r="AC155" s="35">
        <v>500000</v>
      </c>
      <c r="AD155" s="35">
        <v>700000</v>
      </c>
      <c r="AE155" s="12" t="s">
        <v>86</v>
      </c>
      <c r="AF155" s="12" t="s">
        <v>87</v>
      </c>
      <c r="AG155" s="18">
        <v>-1</v>
      </c>
      <c r="AH155" s="12" t="s">
        <v>169</v>
      </c>
      <c r="AI155" s="12" t="s">
        <v>89</v>
      </c>
      <c r="AJ155" s="12" t="s">
        <v>89</v>
      </c>
      <c r="AK155" s="12" t="s">
        <v>673</v>
      </c>
      <c r="AL155" s="12" t="s">
        <v>89</v>
      </c>
      <c r="AM155" s="12" t="s">
        <v>91</v>
      </c>
      <c r="AN155" s="17" t="s">
        <v>92</v>
      </c>
    </row>
    <row r="156" spans="1:40">
      <c r="A156" s="12" t="s">
        <v>74</v>
      </c>
      <c r="B156" s="12" t="s">
        <v>75</v>
      </c>
      <c r="C156" s="12" t="s">
        <v>76</v>
      </c>
      <c r="D156" s="12" t="s">
        <v>594</v>
      </c>
      <c r="E156" s="12" t="s">
        <v>221</v>
      </c>
      <c r="F156" s="12" t="s">
        <v>674</v>
      </c>
      <c r="G156" s="12" t="s">
        <v>675</v>
      </c>
      <c r="H156" s="34" t="s">
        <v>676</v>
      </c>
      <c r="I156" s="12" t="s">
        <v>82</v>
      </c>
      <c r="J156" s="12" t="s">
        <v>83</v>
      </c>
      <c r="K156" s="18">
        <v>0</v>
      </c>
      <c r="L156" s="18">
        <v>0</v>
      </c>
      <c r="M156" s="12" t="s">
        <v>84</v>
      </c>
      <c r="N156" s="35">
        <v>400000</v>
      </c>
      <c r="O156" s="35">
        <v>400000</v>
      </c>
      <c r="P156" s="35">
        <v>400000</v>
      </c>
      <c r="Q156" s="35">
        <v>285245.05</v>
      </c>
      <c r="R156" s="18">
        <f>N156-O156</f>
        <v>0.0</v>
      </c>
      <c r="S156" s="18">
        <f>O156-P156</f>
        <v>0.0</v>
      </c>
      <c r="T156" s="18">
        <f>N156-Q156</f>
        <v>114754.95000000001</v>
      </c>
      <c r="U156" s="36">
        <f>IF(N156&gt;0,Q156/N156,0)</f>
        <v>0.7131126249999999</v>
      </c>
      <c r="V156" s="35">
        <v>15848106.05</v>
      </c>
      <c r="W156" s="35">
        <v>285245.05</v>
      </c>
      <c r="X156" s="36">
        <v>0.01799868382379988</v>
      </c>
      <c r="Y156" s="35">
        <v>400000</v>
      </c>
      <c r="Z156" s="17" t="s">
        <v>85</v>
      </c>
      <c r="AA156" s="35">
        <v>400000</v>
      </c>
      <c r="AB156" s="35">
        <v>358745</v>
      </c>
      <c r="AC156" s="35">
        <v>0</v>
      </c>
      <c r="AD156" s="35">
        <v>1000000</v>
      </c>
      <c r="AE156" s="12" t="s">
        <v>86</v>
      </c>
      <c r="AF156" s="12" t="s">
        <v>87</v>
      </c>
      <c r="AG156" s="18">
        <v>-1</v>
      </c>
      <c r="AH156" s="12" t="s">
        <v>169</v>
      </c>
      <c r="AI156" s="12" t="s">
        <v>89</v>
      </c>
      <c r="AJ156" s="12" t="s">
        <v>89</v>
      </c>
      <c r="AK156" s="12" t="s">
        <v>89</v>
      </c>
      <c r="AL156" s="12" t="s">
        <v>170</v>
      </c>
      <c r="AM156" s="12" t="s">
        <v>91</v>
      </c>
      <c r="AN156" s="17" t="s">
        <v>92</v>
      </c>
    </row>
    <row r="157" spans="1:40">
      <c r="A157" s="12" t="s">
        <v>74</v>
      </c>
      <c r="B157" s="12" t="s">
        <v>75</v>
      </c>
      <c r="C157" s="12" t="s">
        <v>76</v>
      </c>
      <c r="D157" s="12" t="s">
        <v>594</v>
      </c>
      <c r="E157" s="12" t="s">
        <v>221</v>
      </c>
      <c r="F157" s="12" t="s">
        <v>677</v>
      </c>
      <c r="G157" s="12" t="s">
        <v>678</v>
      </c>
      <c r="H157" s="34" t="s">
        <v>679</v>
      </c>
      <c r="I157" s="12" t="s">
        <v>82</v>
      </c>
      <c r="J157" s="12" t="s">
        <v>83</v>
      </c>
      <c r="K157" s="18">
        <v>0</v>
      </c>
      <c r="L157" s="18">
        <v>0</v>
      </c>
      <c r="M157" s="12" t="s">
        <v>84</v>
      </c>
      <c r="N157" s="35">
        <v>386035</v>
      </c>
      <c r="O157" s="35">
        <v>365592.91</v>
      </c>
      <c r="P157" s="35">
        <v>365592.91</v>
      </c>
      <c r="Q157" s="35">
        <v>246262.9</v>
      </c>
      <c r="R157" s="18">
        <f>N157-O157</f>
        <v>20442.089999999967</v>
      </c>
      <c r="S157" s="18">
        <f>O157-P157</f>
        <v>0.0</v>
      </c>
      <c r="T157" s="18">
        <f>N157-Q157</f>
        <v>139772.1</v>
      </c>
      <c r="U157" s="36">
        <f>IF(N157&gt;0,Q157/N157,0)</f>
        <v>0.6379289442667115</v>
      </c>
      <c r="V157" s="35">
        <v>11960804.06</v>
      </c>
      <c r="W157" s="35">
        <v>246262.9</v>
      </c>
      <c r="X157" s="36">
        <v>0.02058915928767418</v>
      </c>
      <c r="Y157" s="35">
        <v>386035</v>
      </c>
      <c r="Z157" s="17" t="s">
        <v>85</v>
      </c>
      <c r="AA157" s="35">
        <v>386035</v>
      </c>
      <c r="AB157" s="35">
        <v>310542</v>
      </c>
      <c r="AC157" s="35">
        <v>0</v>
      </c>
      <c r="AD157" s="35">
        <v>1000000</v>
      </c>
      <c r="AE157" s="12" t="s">
        <v>86</v>
      </c>
      <c r="AF157" s="12" t="s">
        <v>87</v>
      </c>
      <c r="AG157" s="18">
        <v>-1</v>
      </c>
      <c r="AH157" s="12" t="s">
        <v>169</v>
      </c>
      <c r="AI157" s="12" t="s">
        <v>89</v>
      </c>
      <c r="AJ157" s="12" t="s">
        <v>89</v>
      </c>
      <c r="AK157" s="12" t="s">
        <v>89</v>
      </c>
      <c r="AL157" s="12" t="s">
        <v>170</v>
      </c>
      <c r="AM157" s="12" t="s">
        <v>91</v>
      </c>
      <c r="AN157" s="17" t="s">
        <v>92</v>
      </c>
    </row>
    <row r="158" spans="1:40">
      <c r="A158" s="12" t="s">
        <v>74</v>
      </c>
      <c r="B158" s="12" t="s">
        <v>75</v>
      </c>
      <c r="C158" s="12" t="s">
        <v>76</v>
      </c>
      <c r="D158" s="12" t="s">
        <v>594</v>
      </c>
      <c r="E158" s="12" t="s">
        <v>221</v>
      </c>
      <c r="F158" s="12" t="s">
        <v>680</v>
      </c>
      <c r="G158" s="12" t="s">
        <v>681</v>
      </c>
      <c r="H158" s="34" t="s">
        <v>682</v>
      </c>
      <c r="I158" s="12" t="s">
        <v>82</v>
      </c>
      <c r="J158" s="12" t="s">
        <v>272</v>
      </c>
      <c r="K158" s="18">
        <v>18371</v>
      </c>
      <c r="L158" s="18">
        <v>0</v>
      </c>
      <c r="M158" s="12" t="s">
        <v>683</v>
      </c>
      <c r="N158" s="35">
        <v>18371</v>
      </c>
      <c r="O158" s="35">
        <v>0</v>
      </c>
      <c r="P158" s="35">
        <v>0</v>
      </c>
      <c r="Q158" s="35">
        <v>0</v>
      </c>
      <c r="R158" s="18">
        <f>N158-O158</f>
        <v>18371.0</v>
      </c>
      <c r="S158" s="18">
        <f>O158-P158</f>
        <v>0.0</v>
      </c>
      <c r="T158" s="18">
        <f>N158-Q158</f>
        <v>18371.0</v>
      </c>
      <c r="U158" s="36">
        <f>IF(N158&gt;0,Q158/N158,0)</f>
        <v>0.0</v>
      </c>
      <c r="V158" s="35">
        <v>7452618.81</v>
      </c>
      <c r="W158" s="35">
        <v>413203.69</v>
      </c>
      <c r="X158" s="36">
        <v>0.0554440929469731</v>
      </c>
      <c r="Y158" s="35">
        <v>18371</v>
      </c>
      <c r="Z158" s="17" t="s">
        <v>463</v>
      </c>
      <c r="AA158" s="12" t="s">
        <v>99</v>
      </c>
      <c r="AB158" s="12" t="s">
        <v>99</v>
      </c>
      <c r="AC158" s="12" t="s">
        <v>99</v>
      </c>
      <c r="AD158" s="12" t="s">
        <v>99</v>
      </c>
      <c r="AE158" s="12" t="s">
        <v>86</v>
      </c>
      <c r="AF158" s="12" t="s">
        <v>87</v>
      </c>
      <c r="AG158" s="18">
        <v>-1</v>
      </c>
      <c r="AH158" s="12" t="s">
        <v>169</v>
      </c>
      <c r="AI158" s="12" t="s">
        <v>89</v>
      </c>
      <c r="AJ158" s="12" t="s">
        <v>89</v>
      </c>
      <c r="AK158" s="12" t="s">
        <v>89</v>
      </c>
      <c r="AL158" s="12" t="s">
        <v>170</v>
      </c>
      <c r="AM158" s="12" t="s">
        <v>684</v>
      </c>
      <c r="AN158" s="17" t="s">
        <v>87</v>
      </c>
    </row>
    <row r="159" spans="1:40">
      <c r="A159" s="12" t="s">
        <v>74</v>
      </c>
      <c r="B159" s="12" t="s">
        <v>75</v>
      </c>
      <c r="C159" s="12" t="s">
        <v>76</v>
      </c>
      <c r="D159" s="12" t="s">
        <v>594</v>
      </c>
      <c r="E159" s="12" t="s">
        <v>221</v>
      </c>
      <c r="F159" s="12" t="s">
        <v>685</v>
      </c>
      <c r="G159" s="12" t="s">
        <v>686</v>
      </c>
      <c r="H159" s="34" t="s">
        <v>687</v>
      </c>
      <c r="I159" s="12" t="s">
        <v>82</v>
      </c>
      <c r="J159" s="12" t="s">
        <v>83</v>
      </c>
      <c r="K159" s="18">
        <v>0</v>
      </c>
      <c r="L159" s="18">
        <v>0</v>
      </c>
      <c r="M159" s="12" t="s">
        <v>84</v>
      </c>
      <c r="N159" s="35">
        <v>225183</v>
      </c>
      <c r="O159" s="35">
        <v>180000</v>
      </c>
      <c r="P159" s="35">
        <v>180000</v>
      </c>
      <c r="Q159" s="35">
        <v>179898.4</v>
      </c>
      <c r="R159" s="18">
        <f>N159-O159</f>
        <v>45183.0</v>
      </c>
      <c r="S159" s="18">
        <f>O159-P159</f>
        <v>0.0</v>
      </c>
      <c r="T159" s="18">
        <f>N159-Q159</f>
        <v>45284.600000000006</v>
      </c>
      <c r="U159" s="36">
        <f>IF(N159&gt;0,Q159/N159,0)</f>
        <v>0.7988986735233121</v>
      </c>
      <c r="V159" s="35">
        <v>18627603.72</v>
      </c>
      <c r="W159" s="35">
        <v>464944.59</v>
      </c>
      <c r="X159" s="36">
        <v>0.02495997858816379</v>
      </c>
      <c r="Y159" s="35">
        <v>225183</v>
      </c>
      <c r="Z159" s="17" t="s">
        <v>463</v>
      </c>
      <c r="AA159" s="12" t="s">
        <v>99</v>
      </c>
      <c r="AB159" s="12" t="s">
        <v>99</v>
      </c>
      <c r="AC159" s="12" t="s">
        <v>99</v>
      </c>
      <c r="AD159" s="12" t="s">
        <v>99</v>
      </c>
      <c r="AE159" s="12" t="s">
        <v>86</v>
      </c>
      <c r="AF159" s="12" t="s">
        <v>87</v>
      </c>
      <c r="AG159" s="18">
        <v>-1</v>
      </c>
      <c r="AH159" s="12" t="s">
        <v>169</v>
      </c>
      <c r="AI159" s="12" t="s">
        <v>89</v>
      </c>
      <c r="AJ159" s="12" t="s">
        <v>89</v>
      </c>
      <c r="AK159" s="12" t="s">
        <v>89</v>
      </c>
      <c r="AL159" s="12" t="s">
        <v>170</v>
      </c>
      <c r="AM159" s="12" t="s">
        <v>688</v>
      </c>
      <c r="AN159" s="17" t="s">
        <v>92</v>
      </c>
    </row>
    <row r="160" spans="1:40">
      <c r="A160" s="12" t="s">
        <v>74</v>
      </c>
      <c r="B160" s="12" t="s">
        <v>75</v>
      </c>
      <c r="C160" s="12" t="s">
        <v>76</v>
      </c>
      <c r="D160" s="12" t="s">
        <v>594</v>
      </c>
      <c r="E160" s="12" t="s">
        <v>221</v>
      </c>
      <c r="F160" s="12" t="s">
        <v>689</v>
      </c>
      <c r="G160" s="12" t="s">
        <v>690</v>
      </c>
      <c r="H160" s="34" t="s">
        <v>691</v>
      </c>
      <c r="I160" s="12" t="s">
        <v>82</v>
      </c>
      <c r="J160" s="12" t="s">
        <v>83</v>
      </c>
      <c r="K160" s="18">
        <v>0</v>
      </c>
      <c r="L160" s="18">
        <v>0</v>
      </c>
      <c r="M160" s="12" t="s">
        <v>84</v>
      </c>
      <c r="N160" s="35">
        <v>680000</v>
      </c>
      <c r="O160" s="35">
        <v>676480</v>
      </c>
      <c r="P160" s="35">
        <v>626480</v>
      </c>
      <c r="Q160" s="35">
        <v>463894.66</v>
      </c>
      <c r="R160" s="18">
        <f>N160-O160</f>
        <v>3520.0</v>
      </c>
      <c r="S160" s="18">
        <f>O160-P160</f>
        <v>50000.0</v>
      </c>
      <c r="T160" s="18">
        <f>N160-Q160</f>
        <v>216105.33999999997</v>
      </c>
      <c r="U160" s="36">
        <f>IF(N160&gt;0,Q160/N160,0)</f>
        <v>0.6821980294117648</v>
      </c>
      <c r="V160" s="35">
        <v>36504822.37</v>
      </c>
      <c r="W160" s="35">
        <v>731532.42</v>
      </c>
      <c r="X160" s="36">
        <v>0.02003933651793852</v>
      </c>
      <c r="Y160" s="35">
        <v>680000</v>
      </c>
      <c r="Z160" s="17" t="s">
        <v>85</v>
      </c>
      <c r="AA160" s="35">
        <v>380000</v>
      </c>
      <c r="AB160" s="35">
        <v>6625412</v>
      </c>
      <c r="AC160" s="35">
        <v>0</v>
      </c>
      <c r="AD160" s="35">
        <v>1000000</v>
      </c>
      <c r="AE160" s="12" t="s">
        <v>86</v>
      </c>
      <c r="AF160" s="12" t="s">
        <v>87</v>
      </c>
      <c r="AG160" s="18">
        <v>-1</v>
      </c>
      <c r="AH160" s="12" t="s">
        <v>169</v>
      </c>
      <c r="AI160" s="12" t="s">
        <v>89</v>
      </c>
      <c r="AJ160" s="12" t="s">
        <v>89</v>
      </c>
      <c r="AK160" s="12" t="s">
        <v>89</v>
      </c>
      <c r="AL160" s="12" t="s">
        <v>170</v>
      </c>
      <c r="AM160" s="12" t="s">
        <v>91</v>
      </c>
      <c r="AN160" s="17" t="s">
        <v>92</v>
      </c>
    </row>
    <row r="161" spans="1:40">
      <c r="A161" s="12" t="s">
        <v>74</v>
      </c>
      <c r="B161" s="12" t="s">
        <v>75</v>
      </c>
      <c r="C161" s="12" t="s">
        <v>76</v>
      </c>
      <c r="D161" s="12" t="s">
        <v>594</v>
      </c>
      <c r="E161" s="12" t="s">
        <v>221</v>
      </c>
      <c r="F161" s="12" t="s">
        <v>692</v>
      </c>
      <c r="G161" s="12" t="s">
        <v>693</v>
      </c>
      <c r="H161" s="34" t="s">
        <v>694</v>
      </c>
      <c r="I161" s="12" t="s">
        <v>82</v>
      </c>
      <c r="J161" s="12" t="s">
        <v>83</v>
      </c>
      <c r="K161" s="18">
        <v>0</v>
      </c>
      <c r="L161" s="18">
        <v>0.5</v>
      </c>
      <c r="M161" s="12" t="s">
        <v>84</v>
      </c>
      <c r="N161" s="35">
        <v>519111</v>
      </c>
      <c r="O161" s="35">
        <v>519111</v>
      </c>
      <c r="P161" s="35">
        <v>518575.2</v>
      </c>
      <c r="Q161" s="35">
        <v>211182.68</v>
      </c>
      <c r="R161" s="18">
        <f>N161-O161</f>
        <v>0.0</v>
      </c>
      <c r="S161" s="18">
        <f>O161-P161</f>
        <v>535.7999999999884</v>
      </c>
      <c r="T161" s="18">
        <f>N161-Q161</f>
        <v>307928.32</v>
      </c>
      <c r="U161" s="36">
        <f>IF(N161&gt;0,Q161/N161,0)</f>
        <v>0.4068160374178162</v>
      </c>
      <c r="V161" s="35">
        <v>16389780.17</v>
      </c>
      <c r="W161" s="35">
        <v>277538.03</v>
      </c>
      <c r="X161" s="36">
        <v>0.01693360295997185</v>
      </c>
      <c r="Y161" s="35">
        <v>519110.5</v>
      </c>
      <c r="Z161" s="17" t="s">
        <v>85</v>
      </c>
      <c r="AA161" s="35">
        <v>300000</v>
      </c>
      <c r="AB161" s="35">
        <v>5285426</v>
      </c>
      <c r="AC161" s="35">
        <v>0</v>
      </c>
      <c r="AD161" s="35">
        <v>1000000</v>
      </c>
      <c r="AE161" s="12" t="s">
        <v>86</v>
      </c>
      <c r="AF161" s="12" t="s">
        <v>87</v>
      </c>
      <c r="AG161" s="18">
        <v>-1</v>
      </c>
      <c r="AH161" s="12" t="s">
        <v>169</v>
      </c>
      <c r="AI161" s="12" t="s">
        <v>89</v>
      </c>
      <c r="AJ161" s="12" t="s">
        <v>89</v>
      </c>
      <c r="AK161" s="12" t="s">
        <v>89</v>
      </c>
      <c r="AL161" s="12" t="s">
        <v>170</v>
      </c>
      <c r="AM161" s="12" t="s">
        <v>91</v>
      </c>
      <c r="AN161" s="17" t="s">
        <v>92</v>
      </c>
    </row>
    <row r="162" spans="1:40">
      <c r="A162" s="12" t="s">
        <v>74</v>
      </c>
      <c r="B162" s="12" t="s">
        <v>75</v>
      </c>
      <c r="C162" s="12" t="s">
        <v>76</v>
      </c>
      <c r="D162" s="12" t="s">
        <v>594</v>
      </c>
      <c r="E162" s="12" t="s">
        <v>221</v>
      </c>
      <c r="F162" s="12" t="s">
        <v>695</v>
      </c>
      <c r="G162" s="12" t="s">
        <v>696</v>
      </c>
      <c r="H162" s="34" t="s">
        <v>697</v>
      </c>
      <c r="I162" s="12" t="s">
        <v>162</v>
      </c>
      <c r="J162" s="12" t="s">
        <v>83</v>
      </c>
      <c r="K162" s="18">
        <v>0</v>
      </c>
      <c r="L162" s="18">
        <v>0</v>
      </c>
      <c r="M162" s="12" t="s">
        <v>84</v>
      </c>
      <c r="N162" s="35">
        <v>206971</v>
      </c>
      <c r="O162" s="35">
        <v>206970.5</v>
      </c>
      <c r="P162" s="35">
        <v>206970.5</v>
      </c>
      <c r="Q162" s="35">
        <v>110370.29</v>
      </c>
      <c r="R162" s="18">
        <f>N162-O162</f>
        <v>0.5</v>
      </c>
      <c r="S162" s="18">
        <f>O162-P162</f>
        <v>0.0</v>
      </c>
      <c r="T162" s="18">
        <f>N162-Q162</f>
        <v>96600.70999999999</v>
      </c>
      <c r="U162" s="36">
        <f>IF(N162&gt;0,Q162/N162,0)</f>
        <v>0.5332645153185712</v>
      </c>
      <c r="V162" s="35">
        <v>3696694.48</v>
      </c>
      <c r="W162" s="35">
        <v>136181.46</v>
      </c>
      <c r="X162" s="36">
        <v>0.03683871110711859</v>
      </c>
      <c r="Y162" s="35">
        <v>206972</v>
      </c>
      <c r="Z162" s="17" t="s">
        <v>85</v>
      </c>
      <c r="AA162" s="35">
        <v>206972</v>
      </c>
      <c r="AB162" s="35">
        <v>254584</v>
      </c>
      <c r="AC162" s="35">
        <v>0</v>
      </c>
      <c r="AD162" s="35">
        <v>500000</v>
      </c>
      <c r="AE162" s="12" t="s">
        <v>86</v>
      </c>
      <c r="AF162" s="12" t="s">
        <v>87</v>
      </c>
      <c r="AG162" s="18">
        <v>-1</v>
      </c>
      <c r="AH162" s="12" t="s">
        <v>169</v>
      </c>
      <c r="AI162" s="12" t="s">
        <v>89</v>
      </c>
      <c r="AJ162" s="12" t="s">
        <v>89</v>
      </c>
      <c r="AK162" s="12" t="s">
        <v>89</v>
      </c>
      <c r="AL162" s="12" t="s">
        <v>170</v>
      </c>
      <c r="AM162" s="12" t="s">
        <v>91</v>
      </c>
      <c r="AN162" s="17" t="s">
        <v>92</v>
      </c>
    </row>
    <row r="163" spans="1:40">
      <c r="A163" s="12" t="s">
        <v>74</v>
      </c>
      <c r="B163" s="12" t="s">
        <v>75</v>
      </c>
      <c r="C163" s="12" t="s">
        <v>76</v>
      </c>
      <c r="D163" s="12" t="s">
        <v>594</v>
      </c>
      <c r="E163" s="12" t="s">
        <v>221</v>
      </c>
      <c r="F163" s="12" t="s">
        <v>698</v>
      </c>
      <c r="G163" s="12" t="s">
        <v>699</v>
      </c>
      <c r="H163" s="34" t="s">
        <v>700</v>
      </c>
      <c r="I163" s="12" t="s">
        <v>82</v>
      </c>
      <c r="J163" s="12" t="s">
        <v>83</v>
      </c>
      <c r="K163" s="18">
        <v>0</v>
      </c>
      <c r="L163" s="18">
        <v>0</v>
      </c>
      <c r="M163" s="12" t="s">
        <v>84</v>
      </c>
      <c r="N163" s="35">
        <v>654463</v>
      </c>
      <c r="O163" s="35">
        <v>639329.5</v>
      </c>
      <c r="P163" s="35">
        <v>639329.5</v>
      </c>
      <c r="Q163" s="35">
        <v>548829.6900000001</v>
      </c>
      <c r="R163" s="18">
        <f>N163-O163</f>
        <v>15133.5</v>
      </c>
      <c r="S163" s="18">
        <f>O163-P163</f>
        <v>0.0</v>
      </c>
      <c r="T163" s="18">
        <f>N163-Q163</f>
        <v>105633.30999999994</v>
      </c>
      <c r="U163" s="36">
        <f>IF(N163&gt;0,Q163/N163,0)</f>
        <v>0.83859544389828</v>
      </c>
      <c r="V163" s="35">
        <v>52972504.53</v>
      </c>
      <c r="W163" s="35">
        <v>623531.38</v>
      </c>
      <c r="X163" s="36">
        <v>0.01177084952905851</v>
      </c>
      <c r="Y163" s="35">
        <v>654463</v>
      </c>
      <c r="Z163" s="17" t="s">
        <v>85</v>
      </c>
      <c r="AA163" s="35">
        <v>380000</v>
      </c>
      <c r="AB163" s="35">
        <v>1421799</v>
      </c>
      <c r="AC163" s="35">
        <v>0</v>
      </c>
      <c r="AD163" s="35">
        <v>1000000</v>
      </c>
      <c r="AE163" s="12" t="s">
        <v>86</v>
      </c>
      <c r="AF163" s="12" t="s">
        <v>87</v>
      </c>
      <c r="AG163" s="18">
        <v>-1</v>
      </c>
      <c r="AH163" s="12" t="s">
        <v>169</v>
      </c>
      <c r="AI163" s="12" t="s">
        <v>89</v>
      </c>
      <c r="AJ163" s="12" t="s">
        <v>89</v>
      </c>
      <c r="AK163" s="12" t="s">
        <v>89</v>
      </c>
      <c r="AL163" s="12" t="s">
        <v>170</v>
      </c>
      <c r="AM163" s="12" t="s">
        <v>91</v>
      </c>
      <c r="AN163" s="17" t="s">
        <v>92</v>
      </c>
    </row>
    <row r="164" spans="1:40">
      <c r="A164" s="12" t="s">
        <v>74</v>
      </c>
      <c r="B164" s="12" t="s">
        <v>75</v>
      </c>
      <c r="C164" s="12" t="s">
        <v>76</v>
      </c>
      <c r="D164" s="12" t="s">
        <v>594</v>
      </c>
      <c r="E164" s="12" t="s">
        <v>221</v>
      </c>
      <c r="F164" s="12" t="s">
        <v>256</v>
      </c>
      <c r="G164" s="12" t="s">
        <v>701</v>
      </c>
      <c r="H164" s="34" t="s">
        <v>258</v>
      </c>
      <c r="I164" s="12" t="s">
        <v>82</v>
      </c>
      <c r="J164" s="12" t="s">
        <v>83</v>
      </c>
      <c r="K164" s="18">
        <v>0</v>
      </c>
      <c r="L164" s="18">
        <v>0</v>
      </c>
      <c r="M164" s="12" t="s">
        <v>84</v>
      </c>
      <c r="N164" s="35">
        <v>100000</v>
      </c>
      <c r="O164" s="35">
        <v>0</v>
      </c>
      <c r="P164" s="35">
        <v>0</v>
      </c>
      <c r="Q164" s="35">
        <v>0</v>
      </c>
      <c r="R164" s="18">
        <f>N164-O164</f>
        <v>100000.0</v>
      </c>
      <c r="S164" s="18">
        <f>O164-P164</f>
        <v>0.0</v>
      </c>
      <c r="T164" s="18">
        <f>N164-Q164</f>
        <v>100000.0</v>
      </c>
      <c r="U164" s="36">
        <f>IF(N164&gt;0,Q164/N164,0)</f>
        <v>0.0</v>
      </c>
      <c r="V164" s="35">
        <v>160534801.58</v>
      </c>
      <c r="W164" s="35">
        <v>121602734.93</v>
      </c>
      <c r="X164" s="36">
        <v>0.7574851915794794</v>
      </c>
      <c r="Y164" s="35">
        <v>1868752</v>
      </c>
      <c r="Z164" s="17" t="s">
        <v>135</v>
      </c>
      <c r="AA164" s="35">
        <v>4800690</v>
      </c>
      <c r="AB164" s="35">
        <v>4000000</v>
      </c>
      <c r="AC164" s="35">
        <v>14883202</v>
      </c>
      <c r="AD164" s="35">
        <v>19038629</v>
      </c>
      <c r="AE164" s="12" t="s">
        <v>86</v>
      </c>
      <c r="AF164" s="12" t="s">
        <v>87</v>
      </c>
      <c r="AG164" s="18">
        <v>68.23999999999999</v>
      </c>
      <c r="AH164" s="12" t="s">
        <v>169</v>
      </c>
      <c r="AI164" s="12" t="s">
        <v>89</v>
      </c>
      <c r="AJ164" s="12" t="s">
        <v>89</v>
      </c>
      <c r="AK164" s="12" t="s">
        <v>89</v>
      </c>
      <c r="AL164" s="12" t="s">
        <v>89</v>
      </c>
      <c r="AM164" s="12" t="s">
        <v>91</v>
      </c>
      <c r="AN164" s="17" t="s">
        <v>92</v>
      </c>
    </row>
    <row r="165" spans="1:40">
      <c r="A165" s="12" t="s">
        <v>74</v>
      </c>
      <c r="B165" s="12" t="s">
        <v>75</v>
      </c>
      <c r="C165" s="12" t="s">
        <v>76</v>
      </c>
      <c r="D165" s="12" t="s">
        <v>594</v>
      </c>
      <c r="E165" s="12" t="s">
        <v>221</v>
      </c>
      <c r="F165" s="12" t="s">
        <v>702</v>
      </c>
      <c r="G165" s="12" t="s">
        <v>703</v>
      </c>
      <c r="H165" s="34" t="s">
        <v>704</v>
      </c>
      <c r="I165" s="12" t="s">
        <v>162</v>
      </c>
      <c r="J165" s="12" t="s">
        <v>272</v>
      </c>
      <c r="K165" s="18">
        <v>40572</v>
      </c>
      <c r="L165" s="18">
        <v>0</v>
      </c>
      <c r="M165" s="12" t="s">
        <v>705</v>
      </c>
      <c r="N165" s="35">
        <v>40572</v>
      </c>
      <c r="O165" s="35">
        <v>0</v>
      </c>
      <c r="P165" s="35">
        <v>0</v>
      </c>
      <c r="Q165" s="35">
        <v>0</v>
      </c>
      <c r="R165" s="18">
        <f>N165-O165</f>
        <v>40572.0</v>
      </c>
      <c r="S165" s="18">
        <f>O165-P165</f>
        <v>0.0</v>
      </c>
      <c r="T165" s="18">
        <f>N165-Q165</f>
        <v>40572.0</v>
      </c>
      <c r="U165" s="36">
        <f>IF(N165&gt;0,Q165/N165,0)</f>
        <v>0.0</v>
      </c>
      <c r="V165" s="35">
        <v>20340215.34</v>
      </c>
      <c r="W165" s="35">
        <v>0</v>
      </c>
      <c r="X165" s="36">
        <v>0</v>
      </c>
      <c r="Y165" s="17" t="s">
        <v>151</v>
      </c>
      <c r="Z165" s="17" t="s">
        <v>85</v>
      </c>
      <c r="AA165" s="12" t="s">
        <v>99</v>
      </c>
      <c r="AB165" s="12" t="s">
        <v>99</v>
      </c>
      <c r="AC165" s="12" t="s">
        <v>99</v>
      </c>
      <c r="AD165" s="12" t="s">
        <v>99</v>
      </c>
      <c r="AE165" s="12" t="s">
        <v>86</v>
      </c>
      <c r="AF165" s="12" t="s">
        <v>87</v>
      </c>
      <c r="AG165" s="18">
        <v>-1</v>
      </c>
      <c r="AH165" s="12" t="s">
        <v>169</v>
      </c>
      <c r="AI165" s="12" t="s">
        <v>89</v>
      </c>
      <c r="AJ165" s="12" t="s">
        <v>89</v>
      </c>
      <c r="AK165" s="12" t="s">
        <v>89</v>
      </c>
      <c r="AL165" s="12" t="s">
        <v>89</v>
      </c>
      <c r="AM165" s="12" t="s">
        <v>91</v>
      </c>
      <c r="AN165" s="17" t="s">
        <v>87</v>
      </c>
    </row>
    <row r="166" spans="1:40">
      <c r="A166" s="12" t="s">
        <v>74</v>
      </c>
      <c r="B166" s="12" t="s">
        <v>75</v>
      </c>
      <c r="C166" s="12" t="s">
        <v>76</v>
      </c>
      <c r="D166" s="12" t="s">
        <v>594</v>
      </c>
      <c r="E166" s="12" t="s">
        <v>221</v>
      </c>
      <c r="F166" s="12" t="s">
        <v>706</v>
      </c>
      <c r="G166" s="12" t="s">
        <v>707</v>
      </c>
      <c r="H166" s="34" t="s">
        <v>708</v>
      </c>
      <c r="I166" s="12" t="s">
        <v>162</v>
      </c>
      <c r="J166" s="12" t="s">
        <v>272</v>
      </c>
      <c r="K166" s="18">
        <v>75291</v>
      </c>
      <c r="L166" s="18">
        <v>0</v>
      </c>
      <c r="M166" s="12" t="s">
        <v>709</v>
      </c>
      <c r="N166" s="35">
        <v>75291</v>
      </c>
      <c r="O166" s="35">
        <v>0</v>
      </c>
      <c r="P166" s="35">
        <v>0</v>
      </c>
      <c r="Q166" s="35">
        <v>0</v>
      </c>
      <c r="R166" s="18">
        <f>N166-O166</f>
        <v>75291.0</v>
      </c>
      <c r="S166" s="18">
        <f>O166-P166</f>
        <v>0.0</v>
      </c>
      <c r="T166" s="18">
        <f>N166-Q166</f>
        <v>75291.0</v>
      </c>
      <c r="U166" s="36">
        <f>IF(N166&gt;0,Q166/N166,0)</f>
        <v>0.0</v>
      </c>
      <c r="V166" s="35">
        <v>9178685.9</v>
      </c>
      <c r="W166" s="35">
        <v>0</v>
      </c>
      <c r="X166" s="36">
        <v>0</v>
      </c>
      <c r="Y166" s="17" t="s">
        <v>151</v>
      </c>
      <c r="Z166" s="17" t="s">
        <v>89</v>
      </c>
      <c r="AA166" s="12" t="s">
        <v>99</v>
      </c>
      <c r="AB166" s="12" t="s">
        <v>99</v>
      </c>
      <c r="AC166" s="12" t="s">
        <v>99</v>
      </c>
      <c r="AD166" s="12" t="s">
        <v>99</v>
      </c>
      <c r="AE166" s="12" t="s">
        <v>86</v>
      </c>
      <c r="AF166" s="12" t="s">
        <v>87</v>
      </c>
      <c r="AG166" s="18">
        <v>-1</v>
      </c>
      <c r="AH166" s="12" t="s">
        <v>169</v>
      </c>
      <c r="AI166" s="12" t="s">
        <v>89</v>
      </c>
      <c r="AJ166" s="12" t="s">
        <v>89</v>
      </c>
      <c r="AK166" s="12" t="s">
        <v>89</v>
      </c>
      <c r="AL166" s="12" t="s">
        <v>89</v>
      </c>
      <c r="AM166" s="12" t="s">
        <v>91</v>
      </c>
      <c r="AN166" s="17" t="s">
        <v>87</v>
      </c>
    </row>
    <row r="167" spans="1:40">
      <c r="A167" s="12" t="s">
        <v>74</v>
      </c>
      <c r="B167" s="12" t="s">
        <v>75</v>
      </c>
      <c r="C167" s="12" t="s">
        <v>76</v>
      </c>
      <c r="D167" s="12" t="s">
        <v>594</v>
      </c>
      <c r="E167" s="12" t="s">
        <v>319</v>
      </c>
      <c r="F167" s="12" t="s">
        <v>329</v>
      </c>
      <c r="G167" s="12" t="s">
        <v>710</v>
      </c>
      <c r="H167" s="34" t="s">
        <v>331</v>
      </c>
      <c r="I167" s="12" t="s">
        <v>82</v>
      </c>
      <c r="J167" s="12" t="s">
        <v>83</v>
      </c>
      <c r="K167" s="18">
        <v>0</v>
      </c>
      <c r="L167" s="18">
        <v>0</v>
      </c>
      <c r="M167" s="12" t="s">
        <v>84</v>
      </c>
      <c r="N167" s="35">
        <v>325721</v>
      </c>
      <c r="O167" s="35">
        <v>325721</v>
      </c>
      <c r="P167" s="35">
        <v>325721</v>
      </c>
      <c r="Q167" s="35">
        <v>159147.06</v>
      </c>
      <c r="R167" s="18">
        <f>N167-O167</f>
        <v>0.0</v>
      </c>
      <c r="S167" s="18">
        <f>O167-P167</f>
        <v>0.0</v>
      </c>
      <c r="T167" s="18">
        <f>N167-Q167</f>
        <v>166573.94</v>
      </c>
      <c r="U167" s="36">
        <f>IF(N167&gt;0,Q167/N167,0)</f>
        <v>0.48859932273325946</v>
      </c>
      <c r="V167" s="35">
        <v>149699616.47</v>
      </c>
      <c r="W167" s="35">
        <v>72480823.81999999</v>
      </c>
      <c r="X167" s="36">
        <v>0.4841750802649868</v>
      </c>
      <c r="Y167" s="35">
        <v>1416491</v>
      </c>
      <c r="Z167" s="17" t="s">
        <v>333</v>
      </c>
      <c r="AA167" s="35">
        <v>11675669</v>
      </c>
      <c r="AB167" s="35">
        <v>6000000</v>
      </c>
      <c r="AC167" s="35">
        <v>6503691</v>
      </c>
      <c r="AD167" s="35">
        <v>7526858</v>
      </c>
      <c r="AE167" s="12" t="s">
        <v>86</v>
      </c>
      <c r="AF167" s="12" t="s">
        <v>87</v>
      </c>
      <c r="AG167" s="18">
        <v>44.43</v>
      </c>
      <c r="AH167" s="12" t="s">
        <v>169</v>
      </c>
      <c r="AI167" s="12" t="s">
        <v>89</v>
      </c>
      <c r="AJ167" s="12" t="s">
        <v>89</v>
      </c>
      <c r="AK167" s="12" t="s">
        <v>89</v>
      </c>
      <c r="AL167" s="12" t="s">
        <v>170</v>
      </c>
      <c r="AM167" s="12" t="s">
        <v>91</v>
      </c>
      <c r="AN167" s="17" t="s">
        <v>92</v>
      </c>
    </row>
    <row r="168" spans="1:40">
      <c r="A168" s="12" t="s">
        <v>74</v>
      </c>
      <c r="B168" s="12" t="s">
        <v>75</v>
      </c>
      <c r="C168" s="12" t="s">
        <v>76</v>
      </c>
      <c r="D168" s="12" t="s">
        <v>594</v>
      </c>
      <c r="E168" s="12" t="s">
        <v>319</v>
      </c>
      <c r="F168" s="12" t="s">
        <v>711</v>
      </c>
      <c r="G168" s="12" t="s">
        <v>712</v>
      </c>
      <c r="H168" s="34" t="s">
        <v>713</v>
      </c>
      <c r="I168" s="12" t="s">
        <v>162</v>
      </c>
      <c r="J168" s="12" t="s">
        <v>96</v>
      </c>
      <c r="K168" s="18">
        <v>0</v>
      </c>
      <c r="L168" s="18">
        <v>40369</v>
      </c>
      <c r="M168" s="12" t="s">
        <v>714</v>
      </c>
      <c r="N168" s="35">
        <v>100021</v>
      </c>
      <c r="O168" s="35">
        <v>100021</v>
      </c>
      <c r="P168" s="35">
        <v>59652</v>
      </c>
      <c r="Q168" s="35">
        <v>48247.51</v>
      </c>
      <c r="R168" s="18">
        <f>N168-O168</f>
        <v>0.0</v>
      </c>
      <c r="S168" s="18">
        <f>O168-P168</f>
        <v>40369.0</v>
      </c>
      <c r="T168" s="18">
        <f>N168-Q168</f>
        <v>51773.49</v>
      </c>
      <c r="U168" s="36">
        <f>IF(N168&gt;0,Q168/N168,0)</f>
        <v>0.4823738015016847</v>
      </c>
      <c r="V168" s="35">
        <v>3540050.67</v>
      </c>
      <c r="W168" s="35">
        <v>48247.51</v>
      </c>
      <c r="X168" s="36">
        <v>0.01362904503284977</v>
      </c>
      <c r="Y168" s="35">
        <v>50000</v>
      </c>
      <c r="Z168" s="17" t="s">
        <v>333</v>
      </c>
      <c r="AA168" s="35">
        <v>50000</v>
      </c>
      <c r="AB168" s="35">
        <v>0</v>
      </c>
      <c r="AC168" s="35">
        <v>0</v>
      </c>
      <c r="AD168" s="35">
        <v>1500000</v>
      </c>
      <c r="AE168" s="12" t="s">
        <v>86</v>
      </c>
      <c r="AF168" s="12" t="s">
        <v>87</v>
      </c>
      <c r="AG168" s="18">
        <v>-1</v>
      </c>
      <c r="AH168" s="12" t="s">
        <v>169</v>
      </c>
      <c r="AI168" s="12" t="s">
        <v>89</v>
      </c>
      <c r="AJ168" s="12" t="s">
        <v>89</v>
      </c>
      <c r="AK168" s="12" t="s">
        <v>89</v>
      </c>
      <c r="AL168" s="12" t="s">
        <v>170</v>
      </c>
      <c r="AM168" s="12" t="s">
        <v>91</v>
      </c>
      <c r="AN168" s="17" t="s">
        <v>92</v>
      </c>
    </row>
    <row r="169" spans="1:40">
      <c r="A169" s="12" t="s">
        <v>74</v>
      </c>
      <c r="B169" s="12" t="s">
        <v>75</v>
      </c>
      <c r="C169" s="12" t="s">
        <v>76</v>
      </c>
      <c r="D169" s="12" t="s">
        <v>594</v>
      </c>
      <c r="E169" s="12" t="s">
        <v>715</v>
      </c>
      <c r="F169" s="12" t="s">
        <v>716</v>
      </c>
      <c r="G169" s="12" t="s">
        <v>717</v>
      </c>
      <c r="H169" s="34" t="s">
        <v>718</v>
      </c>
      <c r="I169" s="12" t="s">
        <v>82</v>
      </c>
      <c r="J169" s="12" t="s">
        <v>83</v>
      </c>
      <c r="K169" s="18">
        <v>0</v>
      </c>
      <c r="L169" s="18">
        <v>0</v>
      </c>
      <c r="M169" s="12" t="s">
        <v>84</v>
      </c>
      <c r="N169" s="35">
        <v>500000</v>
      </c>
      <c r="O169" s="35">
        <v>0</v>
      </c>
      <c r="P169" s="35">
        <v>0</v>
      </c>
      <c r="Q169" s="35">
        <v>0</v>
      </c>
      <c r="R169" s="18">
        <f>N169-O169</f>
        <v>500000.0</v>
      </c>
      <c r="S169" s="18">
        <f>O169-P169</f>
        <v>0.0</v>
      </c>
      <c r="T169" s="18">
        <f>N169-Q169</f>
        <v>500000.0</v>
      </c>
      <c r="U169" s="36">
        <f>IF(N169&gt;0,Q169/N169,0)</f>
        <v>0.0</v>
      </c>
      <c r="V169" s="35">
        <v>37671549.79</v>
      </c>
      <c r="W169" s="35">
        <v>0</v>
      </c>
      <c r="X169" s="36">
        <v>0</v>
      </c>
      <c r="Y169" s="35">
        <v>500000</v>
      </c>
      <c r="Z169" s="17" t="s">
        <v>113</v>
      </c>
      <c r="AA169" s="12" t="s">
        <v>99</v>
      </c>
      <c r="AB169" s="12" t="s">
        <v>99</v>
      </c>
      <c r="AC169" s="12" t="s">
        <v>99</v>
      </c>
      <c r="AD169" s="12" t="s">
        <v>99</v>
      </c>
      <c r="AE169" s="12" t="s">
        <v>86</v>
      </c>
      <c r="AF169" s="12" t="s">
        <v>87</v>
      </c>
      <c r="AG169" s="18">
        <v>-1</v>
      </c>
      <c r="AH169" s="12" t="s">
        <v>169</v>
      </c>
      <c r="AI169" s="12" t="s">
        <v>89</v>
      </c>
      <c r="AJ169" s="12" t="s">
        <v>89</v>
      </c>
      <c r="AK169" s="12" t="s">
        <v>89</v>
      </c>
      <c r="AL169" s="12" t="s">
        <v>89</v>
      </c>
      <c r="AM169" s="12" t="s">
        <v>719</v>
      </c>
      <c r="AN169" s="17" t="s">
        <v>92</v>
      </c>
    </row>
    <row r="170" spans="1:40">
      <c r="A170" s="12" t="s">
        <v>74</v>
      </c>
      <c r="B170" s="12" t="s">
        <v>75</v>
      </c>
      <c r="C170" s="12" t="s">
        <v>76</v>
      </c>
      <c r="D170" s="12" t="s">
        <v>720</v>
      </c>
      <c r="E170" s="12" t="s">
        <v>78</v>
      </c>
      <c r="F170" s="12" t="s">
        <v>721</v>
      </c>
      <c r="G170" s="12" t="s">
        <v>722</v>
      </c>
      <c r="H170" s="34" t="s">
        <v>723</v>
      </c>
      <c r="I170" s="12" t="s">
        <v>82</v>
      </c>
      <c r="J170" s="12" t="s">
        <v>272</v>
      </c>
      <c r="K170" s="18">
        <v>789314</v>
      </c>
      <c r="L170" s="18">
        <v>0</v>
      </c>
      <c r="M170" s="12" t="s">
        <v>724</v>
      </c>
      <c r="N170" s="35">
        <v>10399190</v>
      </c>
      <c r="O170" s="35">
        <v>9609876</v>
      </c>
      <c r="P170" s="35">
        <v>9609876</v>
      </c>
      <c r="Q170" s="35">
        <v>4159675.65</v>
      </c>
      <c r="R170" s="18">
        <f>N170-O170</f>
        <v>789314.0</v>
      </c>
      <c r="S170" s="18">
        <f>O170-P170</f>
        <v>0.0</v>
      </c>
      <c r="T170" s="18">
        <f>N170-Q170</f>
        <v>6239514.35</v>
      </c>
      <c r="U170" s="36">
        <f>IF(N170&gt;0,Q170/N170,0)</f>
        <v>0.3999999663435325</v>
      </c>
      <c r="V170" s="35">
        <v>46622429.51</v>
      </c>
      <c r="W170" s="35">
        <v>4159675.65</v>
      </c>
      <c r="X170" s="36">
        <v>0.08922048236692159</v>
      </c>
      <c r="Y170" s="35">
        <v>551492</v>
      </c>
      <c r="Z170" s="17" t="s">
        <v>85</v>
      </c>
      <c r="AA170" s="35">
        <v>8282615</v>
      </c>
      <c r="AB170" s="35">
        <v>10255200</v>
      </c>
      <c r="AC170" s="35">
        <v>10389972</v>
      </c>
      <c r="AD170" s="35">
        <v>10574977</v>
      </c>
      <c r="AE170" s="12" t="s">
        <v>86</v>
      </c>
      <c r="AF170" s="12" t="s">
        <v>87</v>
      </c>
      <c r="AG170" s="18">
        <v>-1</v>
      </c>
      <c r="AH170" s="12" t="s">
        <v>145</v>
      </c>
      <c r="AI170" s="12" t="s">
        <v>89</v>
      </c>
      <c r="AJ170" s="12" t="s">
        <v>89</v>
      </c>
      <c r="AK170" s="12" t="s">
        <v>89</v>
      </c>
      <c r="AL170" s="12" t="s">
        <v>141</v>
      </c>
      <c r="AM170" s="12" t="s">
        <v>91</v>
      </c>
      <c r="AN170" s="17" t="s">
        <v>92</v>
      </c>
    </row>
    <row r="171" spans="1:40">
      <c r="A171" s="12" t="s">
        <v>74</v>
      </c>
      <c r="B171" s="12" t="s">
        <v>75</v>
      </c>
      <c r="C171" s="12" t="s">
        <v>76</v>
      </c>
      <c r="D171" s="12" t="s">
        <v>720</v>
      </c>
      <c r="E171" s="12" t="s">
        <v>78</v>
      </c>
      <c r="F171" s="12" t="s">
        <v>725</v>
      </c>
      <c r="G171" s="12" t="s">
        <v>726</v>
      </c>
      <c r="H171" s="34" t="s">
        <v>727</v>
      </c>
      <c r="I171" s="12" t="s">
        <v>82</v>
      </c>
      <c r="J171" s="12" t="s">
        <v>149</v>
      </c>
      <c r="K171" s="18">
        <v>0</v>
      </c>
      <c r="L171" s="18">
        <v>0</v>
      </c>
      <c r="M171" s="12" t="s">
        <v>150</v>
      </c>
      <c r="N171" s="35">
        <v>0</v>
      </c>
      <c r="O171" s="35">
        <v>0</v>
      </c>
      <c r="P171" s="35">
        <v>0</v>
      </c>
      <c r="Q171" s="35">
        <v>0</v>
      </c>
      <c r="R171" s="18">
        <f>N171-O171</f>
        <v>0.0</v>
      </c>
      <c r="S171" s="18">
        <f>O171-P171</f>
        <v>0.0</v>
      </c>
      <c r="T171" s="18">
        <f>N171-Q171</f>
        <v>0.0</v>
      </c>
      <c r="U171" s="36">
        <f>IF(N171&gt;0,Q171/N171,0)</f>
        <v>0</v>
      </c>
      <c r="V171" s="35">
        <v>237836344.8</v>
      </c>
      <c r="W171" s="35">
        <v>1660118.76</v>
      </c>
      <c r="X171" s="36">
        <v>0.006980088604187125</v>
      </c>
      <c r="Y171" s="35">
        <v>133512</v>
      </c>
      <c r="Z171" s="17" t="s">
        <v>85</v>
      </c>
      <c r="AA171" s="35">
        <v>1950000</v>
      </c>
      <c r="AB171" s="35">
        <v>0</v>
      </c>
      <c r="AC171" s="35">
        <v>1500000</v>
      </c>
      <c r="AD171" s="35">
        <v>2450000</v>
      </c>
      <c r="AE171" s="12" t="s">
        <v>86</v>
      </c>
      <c r="AF171" s="12" t="s">
        <v>87</v>
      </c>
      <c r="AG171" s="18">
        <v>-1</v>
      </c>
      <c r="AH171" s="12" t="s">
        <v>145</v>
      </c>
      <c r="AI171" s="12" t="s">
        <v>89</v>
      </c>
      <c r="AJ171" s="12" t="s">
        <v>89</v>
      </c>
      <c r="AK171" s="12" t="s">
        <v>89</v>
      </c>
      <c r="AL171" s="12" t="s">
        <v>141</v>
      </c>
      <c r="AM171" s="12" t="s">
        <v>91</v>
      </c>
      <c r="AN171" s="17" t="s">
        <v>92</v>
      </c>
    </row>
    <row r="172" spans="1:40">
      <c r="A172" s="12" t="s">
        <v>74</v>
      </c>
      <c r="B172" s="12" t="s">
        <v>75</v>
      </c>
      <c r="C172" s="12" t="s">
        <v>76</v>
      </c>
      <c r="D172" s="12" t="s">
        <v>720</v>
      </c>
      <c r="E172" s="12" t="s">
        <v>78</v>
      </c>
      <c r="F172" s="12" t="s">
        <v>728</v>
      </c>
      <c r="G172" s="12" t="s">
        <v>729</v>
      </c>
      <c r="H172" s="34" t="s">
        <v>730</v>
      </c>
      <c r="I172" s="12" t="s">
        <v>82</v>
      </c>
      <c r="J172" s="12" t="s">
        <v>83</v>
      </c>
      <c r="K172" s="18">
        <v>0</v>
      </c>
      <c r="L172" s="18">
        <v>0</v>
      </c>
      <c r="M172" s="12" t="s">
        <v>84</v>
      </c>
      <c r="N172" s="35">
        <v>184669</v>
      </c>
      <c r="O172" s="35">
        <v>184669</v>
      </c>
      <c r="P172" s="35">
        <v>0</v>
      </c>
      <c r="Q172" s="35">
        <v>0</v>
      </c>
      <c r="R172" s="18">
        <f>N172-O172</f>
        <v>0.0</v>
      </c>
      <c r="S172" s="18">
        <f>O172-P172</f>
        <v>184669.0</v>
      </c>
      <c r="T172" s="18">
        <f>N172-Q172</f>
        <v>184669.0</v>
      </c>
      <c r="U172" s="36">
        <f>IF(N172&gt;0,Q172/N172,0)</f>
        <v>0.0</v>
      </c>
      <c r="V172" s="35">
        <v>29855337.8</v>
      </c>
      <c r="W172" s="35">
        <v>719219.23</v>
      </c>
      <c r="X172" s="36">
        <v>0.02409013874899114</v>
      </c>
      <c r="Y172" s="35">
        <v>184669</v>
      </c>
      <c r="Z172" s="17" t="s">
        <v>108</v>
      </c>
      <c r="AA172" s="35">
        <v>5319000</v>
      </c>
      <c r="AB172" s="35">
        <v>8587485</v>
      </c>
      <c r="AC172" s="35">
        <v>0</v>
      </c>
      <c r="AD172" s="35">
        <v>1000000</v>
      </c>
      <c r="AE172" s="12" t="s">
        <v>86</v>
      </c>
      <c r="AF172" s="12" t="s">
        <v>87</v>
      </c>
      <c r="AG172" s="18">
        <v>-1</v>
      </c>
      <c r="AH172" s="12" t="s">
        <v>145</v>
      </c>
      <c r="AI172" s="12" t="s">
        <v>89</v>
      </c>
      <c r="AJ172" s="12" t="s">
        <v>89</v>
      </c>
      <c r="AK172" s="12" t="s">
        <v>89</v>
      </c>
      <c r="AL172" s="12" t="s">
        <v>141</v>
      </c>
      <c r="AM172" s="12" t="s">
        <v>731</v>
      </c>
      <c r="AN172" s="17" t="s">
        <v>92</v>
      </c>
    </row>
    <row r="173" spans="1:40">
      <c r="A173" s="12" t="s">
        <v>74</v>
      </c>
      <c r="B173" s="12" t="s">
        <v>75</v>
      </c>
      <c r="C173" s="12" t="s">
        <v>76</v>
      </c>
      <c r="D173" s="12" t="s">
        <v>720</v>
      </c>
      <c r="E173" s="12" t="s">
        <v>78</v>
      </c>
      <c r="F173" s="12" t="s">
        <v>732</v>
      </c>
      <c r="G173" s="12" t="s">
        <v>733</v>
      </c>
      <c r="H173" s="34" t="s">
        <v>734</v>
      </c>
      <c r="I173" s="12" t="s">
        <v>82</v>
      </c>
      <c r="J173" s="12" t="s">
        <v>83</v>
      </c>
      <c r="K173" s="18">
        <v>0</v>
      </c>
      <c r="L173" s="18">
        <v>0</v>
      </c>
      <c r="M173" s="12" t="s">
        <v>84</v>
      </c>
      <c r="N173" s="35">
        <v>83062</v>
      </c>
      <c r="O173" s="35">
        <v>50000</v>
      </c>
      <c r="P173" s="35">
        <v>0</v>
      </c>
      <c r="Q173" s="35">
        <v>0</v>
      </c>
      <c r="R173" s="18">
        <f>N173-O173</f>
        <v>33062.0</v>
      </c>
      <c r="S173" s="18">
        <f>O173-P173</f>
        <v>50000.0</v>
      </c>
      <c r="T173" s="18">
        <f>N173-Q173</f>
        <v>83062.0</v>
      </c>
      <c r="U173" s="36">
        <f>IF(N173&gt;0,Q173/N173,0)</f>
        <v>0.0</v>
      </c>
      <c r="V173" s="35">
        <v>18274830.36</v>
      </c>
      <c r="W173" s="35">
        <v>650330.52</v>
      </c>
      <c r="X173" s="36">
        <v>0.0355861317007596</v>
      </c>
      <c r="Y173" s="35">
        <v>83062.5</v>
      </c>
      <c r="Z173" s="17" t="s">
        <v>108</v>
      </c>
      <c r="AA173" s="35">
        <v>200000</v>
      </c>
      <c r="AB173" s="35">
        <v>1474000</v>
      </c>
      <c r="AC173" s="35">
        <v>0</v>
      </c>
      <c r="AD173" s="35">
        <v>0</v>
      </c>
      <c r="AE173" s="12" t="s">
        <v>86</v>
      </c>
      <c r="AF173" s="12" t="s">
        <v>87</v>
      </c>
      <c r="AG173" s="18">
        <v>-1</v>
      </c>
      <c r="AH173" s="12" t="s">
        <v>571</v>
      </c>
      <c r="AI173" s="12" t="s">
        <v>89</v>
      </c>
      <c r="AJ173" s="12" t="s">
        <v>89</v>
      </c>
      <c r="AK173" s="12" t="s">
        <v>89</v>
      </c>
      <c r="AL173" s="12" t="s">
        <v>141</v>
      </c>
      <c r="AM173" s="12" t="s">
        <v>91</v>
      </c>
      <c r="AN173" s="17" t="s">
        <v>92</v>
      </c>
    </row>
    <row r="174" spans="1:40">
      <c r="A174" s="12" t="s">
        <v>74</v>
      </c>
      <c r="B174" s="12" t="s">
        <v>75</v>
      </c>
      <c r="C174" s="12" t="s">
        <v>76</v>
      </c>
      <c r="D174" s="12" t="s">
        <v>720</v>
      </c>
      <c r="E174" s="12" t="s">
        <v>78</v>
      </c>
      <c r="F174" s="12" t="s">
        <v>735</v>
      </c>
      <c r="G174" s="12" t="s">
        <v>736</v>
      </c>
      <c r="H174" s="34" t="s">
        <v>737</v>
      </c>
      <c r="I174" s="12" t="s">
        <v>82</v>
      </c>
      <c r="J174" s="12" t="s">
        <v>83</v>
      </c>
      <c r="K174" s="18">
        <v>0</v>
      </c>
      <c r="L174" s="18">
        <v>0</v>
      </c>
      <c r="M174" s="12" t="s">
        <v>84</v>
      </c>
      <c r="N174" s="35">
        <v>654662</v>
      </c>
      <c r="O174" s="35">
        <v>654662</v>
      </c>
      <c r="P174" s="35">
        <v>480065.3</v>
      </c>
      <c r="Q174" s="35">
        <v>0</v>
      </c>
      <c r="R174" s="18">
        <f>N174-O174</f>
        <v>0.0</v>
      </c>
      <c r="S174" s="18">
        <f>O174-P174</f>
        <v>174596.7</v>
      </c>
      <c r="T174" s="18">
        <f>N174-Q174</f>
        <v>654662.0</v>
      </c>
      <c r="U174" s="36">
        <f>IF(N174&gt;0,Q174/N174,0)</f>
        <v>0.0</v>
      </c>
      <c r="V174" s="35">
        <v>56273214.81</v>
      </c>
      <c r="W174" s="35">
        <v>0</v>
      </c>
      <c r="X174" s="36">
        <v>0</v>
      </c>
      <c r="Y174" s="35">
        <v>654662</v>
      </c>
      <c r="Z174" s="17" t="s">
        <v>284</v>
      </c>
      <c r="AA174" s="12" t="s">
        <v>99</v>
      </c>
      <c r="AB174" s="12" t="s">
        <v>99</v>
      </c>
      <c r="AC174" s="12" t="s">
        <v>99</v>
      </c>
      <c r="AD174" s="12" t="s">
        <v>99</v>
      </c>
      <c r="AE174" s="12" t="s">
        <v>86</v>
      </c>
      <c r="AF174" s="12" t="s">
        <v>87</v>
      </c>
      <c r="AG174" s="18">
        <v>-1</v>
      </c>
      <c r="AH174" s="12" t="s">
        <v>169</v>
      </c>
      <c r="AI174" s="12" t="s">
        <v>89</v>
      </c>
      <c r="AJ174" s="12" t="s">
        <v>89</v>
      </c>
      <c r="AK174" s="12" t="s">
        <v>89</v>
      </c>
      <c r="AL174" s="12" t="s">
        <v>101</v>
      </c>
      <c r="AM174" s="12" t="s">
        <v>255</v>
      </c>
      <c r="AN174" s="17" t="s">
        <v>92</v>
      </c>
    </row>
    <row r="175" spans="1:40">
      <c r="A175" s="12" t="s">
        <v>74</v>
      </c>
      <c r="B175" s="12" t="s">
        <v>75</v>
      </c>
      <c r="C175" s="12" t="s">
        <v>76</v>
      </c>
      <c r="D175" s="12" t="s">
        <v>720</v>
      </c>
      <c r="E175" s="12" t="s">
        <v>78</v>
      </c>
      <c r="F175" s="12" t="s">
        <v>738</v>
      </c>
      <c r="G175" s="12" t="s">
        <v>739</v>
      </c>
      <c r="H175" s="34" t="s">
        <v>740</v>
      </c>
      <c r="I175" s="12" t="s">
        <v>82</v>
      </c>
      <c r="J175" s="12" t="s">
        <v>83</v>
      </c>
      <c r="K175" s="18">
        <v>0</v>
      </c>
      <c r="L175" s="18">
        <v>0</v>
      </c>
      <c r="M175" s="12" t="s">
        <v>84</v>
      </c>
      <c r="N175" s="35">
        <v>82568</v>
      </c>
      <c r="O175" s="35">
        <v>82568</v>
      </c>
      <c r="P175" s="35">
        <v>62568</v>
      </c>
      <c r="Q175" s="35">
        <v>57743.81</v>
      </c>
      <c r="R175" s="18">
        <f>N175-O175</f>
        <v>0.0</v>
      </c>
      <c r="S175" s="18">
        <f>O175-P175</f>
        <v>20000.0</v>
      </c>
      <c r="T175" s="18">
        <f>N175-Q175</f>
        <v>24824.190000000002</v>
      </c>
      <c r="U175" s="36">
        <f>IF(N175&gt;0,Q175/N175,0)</f>
        <v>0.6993485369634725</v>
      </c>
      <c r="V175" s="35">
        <v>28655841.78</v>
      </c>
      <c r="W175" s="35">
        <v>1010714.79</v>
      </c>
      <c r="X175" s="36">
        <v>0.03527081136752424</v>
      </c>
      <c r="Y175" s="35">
        <v>82568</v>
      </c>
      <c r="Z175" s="17" t="s">
        <v>236</v>
      </c>
      <c r="AA175" s="35">
        <v>4190000</v>
      </c>
      <c r="AB175" s="35">
        <v>7462800</v>
      </c>
      <c r="AC175" s="35">
        <v>7500000</v>
      </c>
      <c r="AD175" s="35">
        <v>12829438</v>
      </c>
      <c r="AE175" s="12" t="s">
        <v>86</v>
      </c>
      <c r="AF175" s="12" t="s">
        <v>87</v>
      </c>
      <c r="AG175" s="18">
        <v>-1</v>
      </c>
      <c r="AH175" s="12" t="s">
        <v>169</v>
      </c>
      <c r="AI175" s="12" t="s">
        <v>89</v>
      </c>
      <c r="AJ175" s="12" t="s">
        <v>89</v>
      </c>
      <c r="AK175" s="12" t="s">
        <v>89</v>
      </c>
      <c r="AL175" s="12" t="s">
        <v>141</v>
      </c>
      <c r="AM175" s="12" t="s">
        <v>91</v>
      </c>
      <c r="AN175" s="17" t="s">
        <v>92</v>
      </c>
    </row>
    <row r="176" spans="1:40">
      <c r="A176" s="12" t="s">
        <v>74</v>
      </c>
      <c r="B176" s="12" t="s">
        <v>75</v>
      </c>
      <c r="C176" s="12" t="s">
        <v>76</v>
      </c>
      <c r="D176" s="12" t="s">
        <v>720</v>
      </c>
      <c r="E176" s="12" t="s">
        <v>78</v>
      </c>
      <c r="F176" s="12" t="s">
        <v>741</v>
      </c>
      <c r="G176" s="12" t="s">
        <v>742</v>
      </c>
      <c r="H176" s="34" t="s">
        <v>743</v>
      </c>
      <c r="I176" s="12" t="s">
        <v>82</v>
      </c>
      <c r="J176" s="12" t="s">
        <v>83</v>
      </c>
      <c r="K176" s="18">
        <v>0</v>
      </c>
      <c r="L176" s="18">
        <v>0</v>
      </c>
      <c r="M176" s="12" t="s">
        <v>84</v>
      </c>
      <c r="N176" s="35">
        <v>100000</v>
      </c>
      <c r="O176" s="35">
        <v>100000</v>
      </c>
      <c r="P176" s="35">
        <v>100000</v>
      </c>
      <c r="Q176" s="35">
        <v>85262.53</v>
      </c>
      <c r="R176" s="18">
        <f>N176-O176</f>
        <v>0.0</v>
      </c>
      <c r="S176" s="18">
        <f>O176-P176</f>
        <v>0.0</v>
      </c>
      <c r="T176" s="18">
        <f>N176-Q176</f>
        <v>14737.470000000001</v>
      </c>
      <c r="U176" s="36">
        <f>IF(N176&gt;0,Q176/N176,0)</f>
        <v>0.8526253</v>
      </c>
      <c r="V176" s="35">
        <v>45907157.58</v>
      </c>
      <c r="W176" s="35">
        <v>95181.53</v>
      </c>
      <c r="X176" s="36">
        <v>0.002073348362597534</v>
      </c>
      <c r="Y176" s="35">
        <v>100000</v>
      </c>
      <c r="Z176" s="17" t="s">
        <v>85</v>
      </c>
      <c r="AA176" s="35">
        <v>100000</v>
      </c>
      <c r="AB176" s="35">
        <v>7898542</v>
      </c>
      <c r="AC176" s="35">
        <v>0</v>
      </c>
      <c r="AD176" s="35">
        <v>1000000</v>
      </c>
      <c r="AE176" s="12" t="s">
        <v>86</v>
      </c>
      <c r="AF176" s="12" t="s">
        <v>87</v>
      </c>
      <c r="AG176" s="18">
        <v>-1</v>
      </c>
      <c r="AH176" s="12" t="s">
        <v>169</v>
      </c>
      <c r="AI176" s="12" t="s">
        <v>89</v>
      </c>
      <c r="AJ176" s="12" t="s">
        <v>89</v>
      </c>
      <c r="AK176" s="12" t="s">
        <v>89</v>
      </c>
      <c r="AL176" s="12" t="s">
        <v>141</v>
      </c>
      <c r="AM176" s="12" t="s">
        <v>91</v>
      </c>
      <c r="AN176" s="17" t="s">
        <v>92</v>
      </c>
    </row>
    <row r="177" spans="1:40">
      <c r="A177" s="12" t="s">
        <v>74</v>
      </c>
      <c r="B177" s="12" t="s">
        <v>75</v>
      </c>
      <c r="C177" s="12" t="s">
        <v>76</v>
      </c>
      <c r="D177" s="12" t="s">
        <v>720</v>
      </c>
      <c r="E177" s="12" t="s">
        <v>78</v>
      </c>
      <c r="F177" s="12" t="s">
        <v>744</v>
      </c>
      <c r="G177" s="12" t="s">
        <v>745</v>
      </c>
      <c r="H177" s="34" t="s">
        <v>746</v>
      </c>
      <c r="I177" s="12" t="s">
        <v>82</v>
      </c>
      <c r="J177" s="12" t="s">
        <v>149</v>
      </c>
      <c r="K177" s="18">
        <v>0</v>
      </c>
      <c r="L177" s="18">
        <v>0</v>
      </c>
      <c r="M177" s="12" t="s">
        <v>150</v>
      </c>
      <c r="N177" s="35">
        <v>0</v>
      </c>
      <c r="O177" s="35">
        <v>0</v>
      </c>
      <c r="P177" s="35">
        <v>0</v>
      </c>
      <c r="Q177" s="35">
        <v>0</v>
      </c>
      <c r="R177" s="18">
        <f>N177-O177</f>
        <v>0.0</v>
      </c>
      <c r="S177" s="18">
        <f>O177-P177</f>
        <v>0.0</v>
      </c>
      <c r="T177" s="18">
        <f>N177-Q177</f>
        <v>0.0</v>
      </c>
      <c r="U177" s="36">
        <f>IF(N177&gt;0,Q177/N177,0)</f>
        <v>0</v>
      </c>
      <c r="V177" s="35">
        <v>34839869.43</v>
      </c>
      <c r="W177" s="35">
        <v>0</v>
      </c>
      <c r="X177" s="36">
        <v>0</v>
      </c>
      <c r="Y177" s="17" t="s">
        <v>151</v>
      </c>
      <c r="Z177" s="17" t="s">
        <v>85</v>
      </c>
      <c r="AA177" s="35">
        <v>100000</v>
      </c>
      <c r="AB177" s="35">
        <v>0</v>
      </c>
      <c r="AC177" s="35">
        <v>0</v>
      </c>
      <c r="AD177" s="35">
        <v>0</v>
      </c>
      <c r="AE177" s="12" t="s">
        <v>86</v>
      </c>
      <c r="AF177" s="12" t="s">
        <v>87</v>
      </c>
      <c r="AG177" s="18">
        <v>-1</v>
      </c>
      <c r="AH177" s="12" t="s">
        <v>145</v>
      </c>
      <c r="AI177" s="12" t="s">
        <v>89</v>
      </c>
      <c r="AJ177" s="12" t="s">
        <v>89</v>
      </c>
      <c r="AK177" s="12" t="s">
        <v>89</v>
      </c>
      <c r="AL177" s="12" t="s">
        <v>141</v>
      </c>
      <c r="AM177" s="12" t="s">
        <v>91</v>
      </c>
      <c r="AN177" s="17" t="s">
        <v>92</v>
      </c>
    </row>
    <row r="178" spans="1:40">
      <c r="A178" s="12" t="s">
        <v>74</v>
      </c>
      <c r="B178" s="12" t="s">
        <v>75</v>
      </c>
      <c r="C178" s="12" t="s">
        <v>76</v>
      </c>
      <c r="D178" s="12" t="s">
        <v>720</v>
      </c>
      <c r="E178" s="12" t="s">
        <v>78</v>
      </c>
      <c r="F178" s="12" t="s">
        <v>747</v>
      </c>
      <c r="G178" s="12" t="s">
        <v>748</v>
      </c>
      <c r="H178" s="34" t="s">
        <v>749</v>
      </c>
      <c r="I178" s="12" t="s">
        <v>82</v>
      </c>
      <c r="J178" s="12" t="s">
        <v>106</v>
      </c>
      <c r="K178" s="18">
        <v>0</v>
      </c>
      <c r="L178" s="18">
        <v>0</v>
      </c>
      <c r="M178" s="12" t="s">
        <v>121</v>
      </c>
      <c r="N178" s="35">
        <v>154665</v>
      </c>
      <c r="O178" s="35">
        <v>154665</v>
      </c>
      <c r="P178" s="35">
        <v>154665</v>
      </c>
      <c r="Q178" s="35">
        <v>154066.77</v>
      </c>
      <c r="R178" s="18">
        <f>N178-O178</f>
        <v>0.0</v>
      </c>
      <c r="S178" s="18">
        <f>O178-P178</f>
        <v>0.0</v>
      </c>
      <c r="T178" s="18">
        <f>N178-Q178</f>
        <v>598.2300000000105</v>
      </c>
      <c r="U178" s="36">
        <f>IF(N178&gt;0,Q178/N178,0)</f>
        <v>0.9961320919406459</v>
      </c>
      <c r="V178" s="35">
        <v>38667299.95</v>
      </c>
      <c r="W178" s="35">
        <v>638519.74</v>
      </c>
      <c r="X178" s="36">
        <v>0.01651317109872317</v>
      </c>
      <c r="Y178" s="35">
        <v>154665</v>
      </c>
      <c r="Z178" s="17" t="s">
        <v>85</v>
      </c>
      <c r="AA178" s="35">
        <v>200000</v>
      </c>
      <c r="AB178" s="35">
        <v>8562546</v>
      </c>
      <c r="AC178" s="35">
        <v>5000000</v>
      </c>
      <c r="AD178" s="35">
        <v>5168291</v>
      </c>
      <c r="AE178" s="12" t="s">
        <v>86</v>
      </c>
      <c r="AF178" s="12" t="s">
        <v>87</v>
      </c>
      <c r="AG178" s="18">
        <v>-1</v>
      </c>
      <c r="AH178" s="12" t="s">
        <v>169</v>
      </c>
      <c r="AI178" s="12" t="s">
        <v>89</v>
      </c>
      <c r="AJ178" s="12" t="s">
        <v>89</v>
      </c>
      <c r="AK178" s="12" t="s">
        <v>89</v>
      </c>
      <c r="AL178" s="12" t="s">
        <v>141</v>
      </c>
      <c r="AM178" s="12" t="s">
        <v>91</v>
      </c>
      <c r="AN178" s="17" t="s">
        <v>92</v>
      </c>
    </row>
    <row r="179" spans="1:40">
      <c r="A179" s="12" t="s">
        <v>74</v>
      </c>
      <c r="B179" s="12" t="s">
        <v>75</v>
      </c>
      <c r="C179" s="12" t="s">
        <v>76</v>
      </c>
      <c r="D179" s="12" t="s">
        <v>720</v>
      </c>
      <c r="E179" s="12" t="s">
        <v>78</v>
      </c>
      <c r="F179" s="12" t="s">
        <v>750</v>
      </c>
      <c r="G179" s="12" t="s">
        <v>751</v>
      </c>
      <c r="H179" s="34" t="s">
        <v>752</v>
      </c>
      <c r="I179" s="12" t="s">
        <v>162</v>
      </c>
      <c r="J179" s="12" t="s">
        <v>83</v>
      </c>
      <c r="K179" s="18">
        <v>0</v>
      </c>
      <c r="L179" s="18">
        <v>0</v>
      </c>
      <c r="M179" s="12" t="s">
        <v>84</v>
      </c>
      <c r="N179" s="35">
        <v>1750696</v>
      </c>
      <c r="O179" s="35">
        <v>1750696</v>
      </c>
      <c r="P179" s="35">
        <v>0</v>
      </c>
      <c r="Q179" s="35">
        <v>0</v>
      </c>
      <c r="R179" s="18">
        <f>N179-O179</f>
        <v>0.0</v>
      </c>
      <c r="S179" s="18">
        <f>O179-P179</f>
        <v>1750696.0</v>
      </c>
      <c r="T179" s="18">
        <f>N179-Q179</f>
        <v>1750696.0</v>
      </c>
      <c r="U179" s="36">
        <f>IF(N179&gt;0,Q179/N179,0)</f>
        <v>0.0</v>
      </c>
      <c r="V179" s="35">
        <v>16090743.53</v>
      </c>
      <c r="W179" s="35">
        <v>312095.42</v>
      </c>
      <c r="X179" s="36">
        <v>0.01939596013186844</v>
      </c>
      <c r="Y179" s="35">
        <v>1750696</v>
      </c>
      <c r="Z179" s="17" t="s">
        <v>122</v>
      </c>
      <c r="AA179" s="35">
        <v>4083424</v>
      </c>
      <c r="AB179" s="35">
        <v>8803099</v>
      </c>
      <c r="AC179" s="35">
        <v>5321398</v>
      </c>
      <c r="AD179" s="35">
        <v>0</v>
      </c>
      <c r="AE179" s="12" t="s">
        <v>86</v>
      </c>
      <c r="AF179" s="12" t="s">
        <v>87</v>
      </c>
      <c r="AG179" s="18">
        <v>-1</v>
      </c>
      <c r="AH179" s="12" t="s">
        <v>145</v>
      </c>
      <c r="AI179" s="12" t="s">
        <v>89</v>
      </c>
      <c r="AJ179" s="12" t="s">
        <v>89</v>
      </c>
      <c r="AK179" s="12" t="s">
        <v>89</v>
      </c>
      <c r="AL179" s="12" t="s">
        <v>753</v>
      </c>
      <c r="AM179" s="12" t="s">
        <v>91</v>
      </c>
      <c r="AN179" s="17" t="s">
        <v>92</v>
      </c>
    </row>
    <row r="180" spans="1:40">
      <c r="A180" s="12" t="s">
        <v>74</v>
      </c>
      <c r="B180" s="12" t="s">
        <v>75</v>
      </c>
      <c r="C180" s="12" t="s">
        <v>76</v>
      </c>
      <c r="D180" s="12" t="s">
        <v>720</v>
      </c>
      <c r="E180" s="12" t="s">
        <v>78</v>
      </c>
      <c r="F180" s="12" t="s">
        <v>754</v>
      </c>
      <c r="G180" s="12" t="s">
        <v>755</v>
      </c>
      <c r="H180" s="34" t="s">
        <v>756</v>
      </c>
      <c r="I180" s="12" t="s">
        <v>82</v>
      </c>
      <c r="J180" s="12" t="s">
        <v>149</v>
      </c>
      <c r="K180" s="18">
        <v>0</v>
      </c>
      <c r="L180" s="18">
        <v>0</v>
      </c>
      <c r="M180" s="12" t="s">
        <v>150</v>
      </c>
      <c r="N180" s="35">
        <v>0</v>
      </c>
      <c r="O180" s="35">
        <v>0</v>
      </c>
      <c r="P180" s="35">
        <v>0</v>
      </c>
      <c r="Q180" s="35">
        <v>0</v>
      </c>
      <c r="R180" s="18">
        <f>N180-O180</f>
        <v>0.0</v>
      </c>
      <c r="S180" s="18">
        <f>O180-P180</f>
        <v>0.0</v>
      </c>
      <c r="T180" s="18">
        <f>N180-Q180</f>
        <v>0.0</v>
      </c>
      <c r="U180" s="36">
        <f>IF(N180&gt;0,Q180/N180,0)</f>
        <v>0</v>
      </c>
      <c r="V180" s="35">
        <v>40554509.77</v>
      </c>
      <c r="W180" s="35">
        <v>0</v>
      </c>
      <c r="X180" s="36">
        <v>0</v>
      </c>
      <c r="Y180" s="17" t="s">
        <v>151</v>
      </c>
      <c r="Z180" s="17" t="s">
        <v>85</v>
      </c>
      <c r="AA180" s="35">
        <v>100000</v>
      </c>
      <c r="AB180" s="35">
        <v>0</v>
      </c>
      <c r="AC180" s="35">
        <v>0</v>
      </c>
      <c r="AD180" s="35">
        <v>500000</v>
      </c>
      <c r="AE180" s="12" t="s">
        <v>86</v>
      </c>
      <c r="AF180" s="12" t="s">
        <v>87</v>
      </c>
      <c r="AG180" s="18">
        <v>-1</v>
      </c>
      <c r="AH180" s="12" t="s">
        <v>145</v>
      </c>
      <c r="AI180" s="12" t="s">
        <v>89</v>
      </c>
      <c r="AJ180" s="12" t="s">
        <v>89</v>
      </c>
      <c r="AK180" s="12" t="s">
        <v>89</v>
      </c>
      <c r="AL180" s="12" t="s">
        <v>141</v>
      </c>
      <c r="AM180" s="12" t="s">
        <v>91</v>
      </c>
      <c r="AN180" s="17" t="s">
        <v>92</v>
      </c>
    </row>
    <row r="181" spans="1:40">
      <c r="A181" s="12" t="s">
        <v>74</v>
      </c>
      <c r="B181" s="12" t="s">
        <v>75</v>
      </c>
      <c r="C181" s="12" t="s">
        <v>76</v>
      </c>
      <c r="D181" s="12" t="s">
        <v>720</v>
      </c>
      <c r="E181" s="12" t="s">
        <v>78</v>
      </c>
      <c r="F181" s="12" t="s">
        <v>757</v>
      </c>
      <c r="G181" s="12" t="s">
        <v>758</v>
      </c>
      <c r="H181" s="34" t="s">
        <v>759</v>
      </c>
      <c r="I181" s="12" t="s">
        <v>82</v>
      </c>
      <c r="J181" s="12" t="s">
        <v>96</v>
      </c>
      <c r="K181" s="18">
        <v>0</v>
      </c>
      <c r="L181" s="18">
        <v>606460</v>
      </c>
      <c r="M181" s="12" t="s">
        <v>760</v>
      </c>
      <c r="N181" s="35">
        <v>656461</v>
      </c>
      <c r="O181" s="35">
        <v>656461</v>
      </c>
      <c r="P181" s="35">
        <v>0</v>
      </c>
      <c r="Q181" s="35">
        <v>0</v>
      </c>
      <c r="R181" s="18">
        <f>N181-O181</f>
        <v>0.0</v>
      </c>
      <c r="S181" s="18">
        <f>O181-P181</f>
        <v>656461.0</v>
      </c>
      <c r="T181" s="18">
        <f>N181-Q181</f>
        <v>656461.0</v>
      </c>
      <c r="U181" s="36">
        <f>IF(N181&gt;0,Q181/N181,0)</f>
        <v>0.0</v>
      </c>
      <c r="V181" s="35">
        <v>41154330.69</v>
      </c>
      <c r="W181" s="35">
        <v>0</v>
      </c>
      <c r="X181" s="36">
        <v>0</v>
      </c>
      <c r="Y181" s="35">
        <v>50001</v>
      </c>
      <c r="Z181" s="17" t="s">
        <v>284</v>
      </c>
      <c r="AA181" s="35">
        <v>50000</v>
      </c>
      <c r="AB181" s="35">
        <v>7005844</v>
      </c>
      <c r="AC181" s="35">
        <v>0</v>
      </c>
      <c r="AD181" s="35">
        <v>3544143</v>
      </c>
      <c r="AE181" s="12" t="s">
        <v>86</v>
      </c>
      <c r="AF181" s="12" t="s">
        <v>87</v>
      </c>
      <c r="AG181" s="18">
        <v>-1</v>
      </c>
      <c r="AH181" s="12" t="s">
        <v>169</v>
      </c>
      <c r="AI181" s="12" t="s">
        <v>89</v>
      </c>
      <c r="AJ181" s="12" t="s">
        <v>89</v>
      </c>
      <c r="AK181" s="12" t="s">
        <v>89</v>
      </c>
      <c r="AL181" s="12" t="s">
        <v>141</v>
      </c>
      <c r="AM181" s="12" t="s">
        <v>91</v>
      </c>
      <c r="AN181" s="17" t="s">
        <v>92</v>
      </c>
    </row>
    <row r="182" spans="1:40">
      <c r="A182" s="12" t="s">
        <v>74</v>
      </c>
      <c r="B182" s="12" t="s">
        <v>75</v>
      </c>
      <c r="C182" s="12" t="s">
        <v>76</v>
      </c>
      <c r="D182" s="12" t="s">
        <v>720</v>
      </c>
      <c r="E182" s="12" t="s">
        <v>78</v>
      </c>
      <c r="F182" s="12" t="s">
        <v>761</v>
      </c>
      <c r="G182" s="12" t="s">
        <v>762</v>
      </c>
      <c r="H182" s="34" t="s">
        <v>763</v>
      </c>
      <c r="I182" s="12" t="s">
        <v>82</v>
      </c>
      <c r="J182" s="12" t="s">
        <v>96</v>
      </c>
      <c r="K182" s="18">
        <v>0.4699999999720603</v>
      </c>
      <c r="L182" s="18">
        <v>606459.53</v>
      </c>
      <c r="M182" s="12" t="s">
        <v>760</v>
      </c>
      <c r="N182" s="35">
        <v>606461</v>
      </c>
      <c r="O182" s="35">
        <v>606460.53</v>
      </c>
      <c r="P182" s="35">
        <v>0</v>
      </c>
      <c r="Q182" s="35">
        <v>0</v>
      </c>
      <c r="R182" s="18">
        <f>N182-O182</f>
        <v>0.4699999999720603</v>
      </c>
      <c r="S182" s="18">
        <f>O182-P182</f>
        <v>606460.53</v>
      </c>
      <c r="T182" s="18">
        <f>N182-Q182</f>
        <v>606461.0</v>
      </c>
      <c r="U182" s="36">
        <f>IF(N182&gt;0,Q182/N182,0)</f>
        <v>0.0</v>
      </c>
      <c r="V182" s="35">
        <v>35956132.62</v>
      </c>
      <c r="W182" s="35">
        <v>0</v>
      </c>
      <c r="X182" s="36">
        <v>0</v>
      </c>
      <c r="Y182" s="35">
        <v>1</v>
      </c>
      <c r="Z182" s="17" t="s">
        <v>284</v>
      </c>
      <c r="AA182" s="35">
        <v>706461</v>
      </c>
      <c r="AB182" s="35">
        <v>7021584</v>
      </c>
      <c r="AC182" s="35">
        <v>0</v>
      </c>
      <c r="AD182" s="35">
        <v>1000000</v>
      </c>
      <c r="AE182" s="12" t="s">
        <v>86</v>
      </c>
      <c r="AF182" s="12" t="s">
        <v>87</v>
      </c>
      <c r="AG182" s="18">
        <v>-1</v>
      </c>
      <c r="AH182" s="12" t="s">
        <v>169</v>
      </c>
      <c r="AI182" s="12" t="s">
        <v>89</v>
      </c>
      <c r="AJ182" s="12" t="s">
        <v>89</v>
      </c>
      <c r="AK182" s="12" t="s">
        <v>89</v>
      </c>
      <c r="AL182" s="12" t="s">
        <v>141</v>
      </c>
      <c r="AM182" s="12" t="s">
        <v>91</v>
      </c>
      <c r="AN182" s="17" t="s">
        <v>92</v>
      </c>
    </row>
    <row r="183" spans="1:40">
      <c r="A183" s="12" t="s">
        <v>74</v>
      </c>
      <c r="B183" s="12" t="s">
        <v>75</v>
      </c>
      <c r="C183" s="12" t="s">
        <v>76</v>
      </c>
      <c r="D183" s="12" t="s">
        <v>720</v>
      </c>
      <c r="E183" s="12" t="s">
        <v>78</v>
      </c>
      <c r="F183" s="12" t="s">
        <v>764</v>
      </c>
      <c r="G183" s="12" t="s">
        <v>765</v>
      </c>
      <c r="H183" s="34" t="s">
        <v>766</v>
      </c>
      <c r="I183" s="12" t="s">
        <v>82</v>
      </c>
      <c r="J183" s="12" t="s">
        <v>149</v>
      </c>
      <c r="K183" s="18">
        <v>0</v>
      </c>
      <c r="L183" s="18">
        <v>0</v>
      </c>
      <c r="M183" s="12" t="s">
        <v>150</v>
      </c>
      <c r="N183" s="35">
        <v>0</v>
      </c>
      <c r="O183" s="35">
        <v>0</v>
      </c>
      <c r="P183" s="35">
        <v>0</v>
      </c>
      <c r="Q183" s="35">
        <v>0</v>
      </c>
      <c r="R183" s="18">
        <f>N183-O183</f>
        <v>0.0</v>
      </c>
      <c r="S183" s="18">
        <f>O183-P183</f>
        <v>0.0</v>
      </c>
      <c r="T183" s="18">
        <f>N183-Q183</f>
        <v>0.0</v>
      </c>
      <c r="U183" s="36">
        <f>IF(N183&gt;0,Q183/N183,0)</f>
        <v>0</v>
      </c>
      <c r="V183" s="35">
        <v>25288415.69</v>
      </c>
      <c r="W183" s="35">
        <v>0</v>
      </c>
      <c r="X183" s="36">
        <v>0</v>
      </c>
      <c r="Y183" s="17" t="s">
        <v>151</v>
      </c>
      <c r="Z183" s="17" t="s">
        <v>333</v>
      </c>
      <c r="AA183" s="35">
        <v>100000</v>
      </c>
      <c r="AB183" s="35">
        <v>0</v>
      </c>
      <c r="AC183" s="35">
        <v>0</v>
      </c>
      <c r="AD183" s="35">
        <v>1000000</v>
      </c>
      <c r="AE183" s="12" t="s">
        <v>86</v>
      </c>
      <c r="AF183" s="12" t="s">
        <v>87</v>
      </c>
      <c r="AG183" s="18">
        <v>-1</v>
      </c>
      <c r="AH183" s="12" t="s">
        <v>145</v>
      </c>
      <c r="AI183" s="12" t="s">
        <v>89</v>
      </c>
      <c r="AJ183" s="12" t="s">
        <v>89</v>
      </c>
      <c r="AK183" s="12" t="s">
        <v>89</v>
      </c>
      <c r="AL183" s="12" t="s">
        <v>141</v>
      </c>
      <c r="AM183" s="12" t="s">
        <v>91</v>
      </c>
      <c r="AN183" s="17" t="s">
        <v>92</v>
      </c>
    </row>
    <row r="184" spans="1:40">
      <c r="A184" s="12" t="s">
        <v>74</v>
      </c>
      <c r="B184" s="12" t="s">
        <v>75</v>
      </c>
      <c r="C184" s="12" t="s">
        <v>76</v>
      </c>
      <c r="D184" s="12" t="s">
        <v>720</v>
      </c>
      <c r="E184" s="12" t="s">
        <v>78</v>
      </c>
      <c r="F184" s="12" t="s">
        <v>767</v>
      </c>
      <c r="G184" s="12" t="s">
        <v>768</v>
      </c>
      <c r="H184" s="34" t="s">
        <v>769</v>
      </c>
      <c r="I184" s="12" t="s">
        <v>82</v>
      </c>
      <c r="J184" s="12" t="s">
        <v>106</v>
      </c>
      <c r="K184" s="18">
        <v>0</v>
      </c>
      <c r="L184" s="18">
        <v>0</v>
      </c>
      <c r="M184" s="12" t="s">
        <v>121</v>
      </c>
      <c r="N184" s="35">
        <v>50000</v>
      </c>
      <c r="O184" s="35">
        <v>50000</v>
      </c>
      <c r="P184" s="35">
        <v>50000</v>
      </c>
      <c r="Q184" s="35">
        <v>47929.32999999999</v>
      </c>
      <c r="R184" s="18">
        <f>N184-O184</f>
        <v>0.0</v>
      </c>
      <c r="S184" s="18">
        <f>O184-P184</f>
        <v>0.0</v>
      </c>
      <c r="T184" s="18">
        <f>N184-Q184</f>
        <v>2070.6700000000055</v>
      </c>
      <c r="U184" s="36">
        <f>IF(N184&gt;0,Q184/N184,0)</f>
        <v>0.9585865999999998</v>
      </c>
      <c r="V184" s="35">
        <v>2781791.34</v>
      </c>
      <c r="W184" s="35">
        <v>228484.97</v>
      </c>
      <c r="X184" s="36">
        <v>0.08213591246567041</v>
      </c>
      <c r="Y184" s="35">
        <v>50000</v>
      </c>
      <c r="Z184" s="17" t="s">
        <v>85</v>
      </c>
      <c r="AA184" s="35">
        <v>50000</v>
      </c>
      <c r="AB184" s="35">
        <v>1543234</v>
      </c>
      <c r="AC184" s="35">
        <v>0</v>
      </c>
      <c r="AD184" s="35">
        <v>1008002</v>
      </c>
      <c r="AE184" s="12" t="s">
        <v>86</v>
      </c>
      <c r="AF184" s="12" t="s">
        <v>87</v>
      </c>
      <c r="AG184" s="18">
        <v>-1</v>
      </c>
      <c r="AH184" s="12" t="s">
        <v>169</v>
      </c>
      <c r="AI184" s="12" t="s">
        <v>89</v>
      </c>
      <c r="AJ184" s="12" t="s">
        <v>89</v>
      </c>
      <c r="AK184" s="12" t="s">
        <v>89</v>
      </c>
      <c r="AL184" s="12" t="s">
        <v>141</v>
      </c>
      <c r="AM184" s="12" t="s">
        <v>91</v>
      </c>
      <c r="AN184" s="17" t="s">
        <v>92</v>
      </c>
    </row>
    <row r="185" spans="1:40">
      <c r="A185" s="12" t="s">
        <v>74</v>
      </c>
      <c r="B185" s="12" t="s">
        <v>75</v>
      </c>
      <c r="C185" s="12" t="s">
        <v>76</v>
      </c>
      <c r="D185" s="12" t="s">
        <v>720</v>
      </c>
      <c r="E185" s="12" t="s">
        <v>78</v>
      </c>
      <c r="F185" s="12" t="s">
        <v>770</v>
      </c>
      <c r="G185" s="12" t="s">
        <v>771</v>
      </c>
      <c r="H185" s="34" t="s">
        <v>772</v>
      </c>
      <c r="I185" s="12" t="s">
        <v>82</v>
      </c>
      <c r="J185" s="12" t="s">
        <v>149</v>
      </c>
      <c r="K185" s="18">
        <v>0</v>
      </c>
      <c r="L185" s="18">
        <v>0</v>
      </c>
      <c r="M185" s="12" t="s">
        <v>150</v>
      </c>
      <c r="N185" s="35">
        <v>0</v>
      </c>
      <c r="O185" s="35">
        <v>0</v>
      </c>
      <c r="P185" s="35">
        <v>0</v>
      </c>
      <c r="Q185" s="35">
        <v>0</v>
      </c>
      <c r="R185" s="18">
        <f>N185-O185</f>
        <v>0.0</v>
      </c>
      <c r="S185" s="18">
        <f>O185-P185</f>
        <v>0.0</v>
      </c>
      <c r="T185" s="18">
        <f>N185-Q185</f>
        <v>0.0</v>
      </c>
      <c r="U185" s="36">
        <f>IF(N185&gt;0,Q185/N185,0)</f>
        <v>0</v>
      </c>
      <c r="V185" s="35">
        <v>2929159.32</v>
      </c>
      <c r="W185" s="35">
        <v>0</v>
      </c>
      <c r="X185" s="36">
        <v>0</v>
      </c>
      <c r="Y185" s="17" t="s">
        <v>151</v>
      </c>
      <c r="Z185" s="17" t="s">
        <v>122</v>
      </c>
      <c r="AA185" s="35">
        <v>50000</v>
      </c>
      <c r="AB185" s="35">
        <v>0</v>
      </c>
      <c r="AC185" s="35">
        <v>300000</v>
      </c>
      <c r="AD185" s="35">
        <v>2629159</v>
      </c>
      <c r="AE185" s="12" t="s">
        <v>86</v>
      </c>
      <c r="AF185" s="12" t="s">
        <v>87</v>
      </c>
      <c r="AG185" s="18">
        <v>-1</v>
      </c>
      <c r="AH185" s="12" t="s">
        <v>145</v>
      </c>
      <c r="AI185" s="12" t="s">
        <v>89</v>
      </c>
      <c r="AJ185" s="12" t="s">
        <v>89</v>
      </c>
      <c r="AK185" s="12" t="s">
        <v>89</v>
      </c>
      <c r="AL185" s="12" t="s">
        <v>141</v>
      </c>
      <c r="AM185" s="12" t="s">
        <v>91</v>
      </c>
      <c r="AN185" s="17" t="s">
        <v>92</v>
      </c>
    </row>
    <row r="186" spans="1:40">
      <c r="A186" s="12" t="s">
        <v>74</v>
      </c>
      <c r="B186" s="12" t="s">
        <v>75</v>
      </c>
      <c r="C186" s="12" t="s">
        <v>76</v>
      </c>
      <c r="D186" s="12" t="s">
        <v>720</v>
      </c>
      <c r="E186" s="12" t="s">
        <v>78</v>
      </c>
      <c r="F186" s="12" t="s">
        <v>773</v>
      </c>
      <c r="G186" s="12" t="s">
        <v>774</v>
      </c>
      <c r="H186" s="34" t="s">
        <v>775</v>
      </c>
      <c r="I186" s="12" t="s">
        <v>82</v>
      </c>
      <c r="J186" s="12" t="s">
        <v>83</v>
      </c>
      <c r="K186" s="18">
        <v>0</v>
      </c>
      <c r="L186" s="18">
        <v>0</v>
      </c>
      <c r="M186" s="12" t="s">
        <v>84</v>
      </c>
      <c r="N186" s="35">
        <v>82042</v>
      </c>
      <c r="O186" s="35">
        <v>73137.01999999999</v>
      </c>
      <c r="P186" s="35">
        <v>53137.02</v>
      </c>
      <c r="Q186" s="35">
        <v>48346.77</v>
      </c>
      <c r="R186" s="18">
        <f>N186-O186</f>
        <v>8904.98000000001</v>
      </c>
      <c r="S186" s="18">
        <f>O186-P186</f>
        <v>19999.999999999985</v>
      </c>
      <c r="T186" s="18">
        <f>N186-Q186</f>
        <v>33695.229999999996</v>
      </c>
      <c r="U186" s="36">
        <f>IF(N186&gt;0,Q186/N186,0)</f>
        <v>0.5892929231369299</v>
      </c>
      <c r="V186" s="35">
        <v>2982410.72</v>
      </c>
      <c r="W186" s="35">
        <v>241705.45</v>
      </c>
      <c r="X186" s="36">
        <v>0.08104364981628016</v>
      </c>
      <c r="Y186" s="35">
        <v>82042</v>
      </c>
      <c r="Z186" s="17" t="s">
        <v>85</v>
      </c>
      <c r="AA186" s="35">
        <v>50000</v>
      </c>
      <c r="AB186" s="35">
        <v>254525</v>
      </c>
      <c r="AC186" s="35">
        <v>0</v>
      </c>
      <c r="AD186" s="35">
        <v>1345475</v>
      </c>
      <c r="AE186" s="12" t="s">
        <v>86</v>
      </c>
      <c r="AF186" s="12" t="s">
        <v>87</v>
      </c>
      <c r="AG186" s="18">
        <v>-1</v>
      </c>
      <c r="AH186" s="12" t="s">
        <v>169</v>
      </c>
      <c r="AI186" s="12" t="s">
        <v>89</v>
      </c>
      <c r="AJ186" s="12" t="s">
        <v>89</v>
      </c>
      <c r="AK186" s="12" t="s">
        <v>89</v>
      </c>
      <c r="AL186" s="12" t="s">
        <v>141</v>
      </c>
      <c r="AM186" s="12" t="s">
        <v>91</v>
      </c>
      <c r="AN186" s="17" t="s">
        <v>92</v>
      </c>
    </row>
    <row r="187" spans="1:40">
      <c r="A187" s="12" t="s">
        <v>74</v>
      </c>
      <c r="B187" s="12" t="s">
        <v>75</v>
      </c>
      <c r="C187" s="12" t="s">
        <v>76</v>
      </c>
      <c r="D187" s="12" t="s">
        <v>720</v>
      </c>
      <c r="E187" s="12" t="s">
        <v>78</v>
      </c>
      <c r="F187" s="12" t="s">
        <v>776</v>
      </c>
      <c r="G187" s="12" t="s">
        <v>777</v>
      </c>
      <c r="H187" s="34" t="s">
        <v>778</v>
      </c>
      <c r="I187" s="12" t="s">
        <v>82</v>
      </c>
      <c r="J187" s="12" t="s">
        <v>149</v>
      </c>
      <c r="K187" s="18">
        <v>0</v>
      </c>
      <c r="L187" s="18">
        <v>0</v>
      </c>
      <c r="M187" s="12" t="s">
        <v>150</v>
      </c>
      <c r="N187" s="35">
        <v>0</v>
      </c>
      <c r="O187" s="35">
        <v>0</v>
      </c>
      <c r="P187" s="35">
        <v>0</v>
      </c>
      <c r="Q187" s="35">
        <v>0</v>
      </c>
      <c r="R187" s="18">
        <f>N187-O187</f>
        <v>0.0</v>
      </c>
      <c r="S187" s="18">
        <f>O187-P187</f>
        <v>0.0</v>
      </c>
      <c r="T187" s="18">
        <f>N187-Q187</f>
        <v>0.0</v>
      </c>
      <c r="U187" s="36">
        <f>IF(N187&gt;0,Q187/N187,0)</f>
        <v>0</v>
      </c>
      <c r="V187" s="35">
        <v>2802337.59</v>
      </c>
      <c r="W187" s="35">
        <v>0</v>
      </c>
      <c r="X187" s="36">
        <v>0</v>
      </c>
      <c r="Y187" s="17" t="s">
        <v>151</v>
      </c>
      <c r="Z187" s="17" t="s">
        <v>85</v>
      </c>
      <c r="AA187" s="35">
        <v>50000</v>
      </c>
      <c r="AB187" s="35">
        <v>0</v>
      </c>
      <c r="AC187" s="35">
        <v>0</v>
      </c>
      <c r="AD187" s="35">
        <v>150000</v>
      </c>
      <c r="AE187" s="12" t="s">
        <v>86</v>
      </c>
      <c r="AF187" s="12" t="s">
        <v>87</v>
      </c>
      <c r="AG187" s="18">
        <v>-1</v>
      </c>
      <c r="AH187" s="12" t="s">
        <v>145</v>
      </c>
      <c r="AI187" s="12" t="s">
        <v>89</v>
      </c>
      <c r="AJ187" s="12" t="s">
        <v>89</v>
      </c>
      <c r="AK187" s="12" t="s">
        <v>89</v>
      </c>
      <c r="AL187" s="12" t="s">
        <v>141</v>
      </c>
      <c r="AM187" s="12" t="s">
        <v>91</v>
      </c>
      <c r="AN187" s="17" t="s">
        <v>92</v>
      </c>
    </row>
    <row r="188" spans="1:40">
      <c r="A188" s="12" t="s">
        <v>74</v>
      </c>
      <c r="B188" s="12" t="s">
        <v>75</v>
      </c>
      <c r="C188" s="12" t="s">
        <v>76</v>
      </c>
      <c r="D188" s="12" t="s">
        <v>720</v>
      </c>
      <c r="E188" s="12" t="s">
        <v>78</v>
      </c>
      <c r="F188" s="12" t="s">
        <v>779</v>
      </c>
      <c r="G188" s="12" t="s">
        <v>780</v>
      </c>
      <c r="H188" s="34" t="s">
        <v>781</v>
      </c>
      <c r="I188" s="12" t="s">
        <v>82</v>
      </c>
      <c r="J188" s="12" t="s">
        <v>83</v>
      </c>
      <c r="K188" s="18">
        <v>0</v>
      </c>
      <c r="L188" s="18">
        <v>0</v>
      </c>
      <c r="M188" s="12" t="s">
        <v>84</v>
      </c>
      <c r="N188" s="35">
        <v>72190</v>
      </c>
      <c r="O188" s="35">
        <v>62384.34</v>
      </c>
      <c r="P188" s="35">
        <v>62384.34</v>
      </c>
      <c r="Q188" s="35">
        <v>59404.06</v>
      </c>
      <c r="R188" s="18">
        <f>N188-O188</f>
        <v>9805.660000000003</v>
      </c>
      <c r="S188" s="18">
        <f>O188-P188</f>
        <v>0.0</v>
      </c>
      <c r="T188" s="18">
        <f>N188-Q188</f>
        <v>12785.940000000002</v>
      </c>
      <c r="U188" s="36">
        <f>IF(N188&gt;0,Q188/N188,0)</f>
        <v>0.822884887103477</v>
      </c>
      <c r="V188" s="35">
        <v>2951562.49</v>
      </c>
      <c r="W188" s="35">
        <v>231644.25</v>
      </c>
      <c r="X188" s="36">
        <v>0.07848190603614832</v>
      </c>
      <c r="Y188" s="35">
        <v>72190</v>
      </c>
      <c r="Z188" s="17" t="s">
        <v>85</v>
      </c>
      <c r="AA188" s="35">
        <v>50000</v>
      </c>
      <c r="AB188" s="35">
        <v>0</v>
      </c>
      <c r="AC188" s="35">
        <v>0</v>
      </c>
      <c r="AD188" s="35">
        <v>2707132</v>
      </c>
      <c r="AE188" s="12" t="s">
        <v>86</v>
      </c>
      <c r="AF188" s="12" t="s">
        <v>87</v>
      </c>
      <c r="AG188" s="18">
        <v>-1</v>
      </c>
      <c r="AH188" s="12" t="s">
        <v>169</v>
      </c>
      <c r="AI188" s="12" t="s">
        <v>89</v>
      </c>
      <c r="AJ188" s="12" t="s">
        <v>89</v>
      </c>
      <c r="AK188" s="12" t="s">
        <v>89</v>
      </c>
      <c r="AL188" s="12" t="s">
        <v>141</v>
      </c>
      <c r="AM188" s="12" t="s">
        <v>91</v>
      </c>
      <c r="AN188" s="17" t="s">
        <v>92</v>
      </c>
    </row>
    <row r="189" spans="1:40">
      <c r="A189" s="12" t="s">
        <v>74</v>
      </c>
      <c r="B189" s="12" t="s">
        <v>75</v>
      </c>
      <c r="C189" s="12" t="s">
        <v>76</v>
      </c>
      <c r="D189" s="12" t="s">
        <v>720</v>
      </c>
      <c r="E189" s="12" t="s">
        <v>78</v>
      </c>
      <c r="F189" s="12" t="s">
        <v>782</v>
      </c>
      <c r="G189" s="12" t="s">
        <v>783</v>
      </c>
      <c r="H189" s="34" t="s">
        <v>784</v>
      </c>
      <c r="I189" s="12" t="s">
        <v>82</v>
      </c>
      <c r="J189" s="12" t="s">
        <v>83</v>
      </c>
      <c r="K189" s="18">
        <v>0</v>
      </c>
      <c r="L189" s="18">
        <v>0</v>
      </c>
      <c r="M189" s="12" t="s">
        <v>84</v>
      </c>
      <c r="N189" s="35">
        <v>69837</v>
      </c>
      <c r="O189" s="35">
        <v>50000</v>
      </c>
      <c r="P189" s="35">
        <v>50000</v>
      </c>
      <c r="Q189" s="35">
        <v>24166.33</v>
      </c>
      <c r="R189" s="18">
        <f>N189-O189</f>
        <v>19837.0</v>
      </c>
      <c r="S189" s="18">
        <f>O189-P189</f>
        <v>0.0</v>
      </c>
      <c r="T189" s="18">
        <f>N189-Q189</f>
        <v>45670.67</v>
      </c>
      <c r="U189" s="36">
        <f>IF(N189&gt;0,Q189/N189,0)</f>
        <v>0.34603906238813237</v>
      </c>
      <c r="V189" s="35">
        <v>2972554.87</v>
      </c>
      <c r="W189" s="35">
        <v>237719.53</v>
      </c>
      <c r="X189" s="36">
        <v>0.07997145230156845</v>
      </c>
      <c r="Y189" s="35">
        <v>69837</v>
      </c>
      <c r="Z189" s="17" t="s">
        <v>85</v>
      </c>
      <c r="AA189" s="35">
        <v>50000</v>
      </c>
      <c r="AB189" s="35">
        <v>1543466</v>
      </c>
      <c r="AC189" s="35">
        <v>0</v>
      </c>
      <c r="AD189" s="35">
        <v>500000</v>
      </c>
      <c r="AE189" s="12" t="s">
        <v>86</v>
      </c>
      <c r="AF189" s="12" t="s">
        <v>87</v>
      </c>
      <c r="AG189" s="18">
        <v>-1</v>
      </c>
      <c r="AH189" s="12" t="s">
        <v>169</v>
      </c>
      <c r="AI189" s="12" t="s">
        <v>89</v>
      </c>
      <c r="AJ189" s="12" t="s">
        <v>89</v>
      </c>
      <c r="AK189" s="12" t="s">
        <v>89</v>
      </c>
      <c r="AL189" s="12" t="s">
        <v>141</v>
      </c>
      <c r="AM189" s="12" t="s">
        <v>91</v>
      </c>
      <c r="AN189" s="17" t="s">
        <v>92</v>
      </c>
    </row>
    <row r="190" spans="1:40">
      <c r="A190" s="12" t="s">
        <v>74</v>
      </c>
      <c r="B190" s="12" t="s">
        <v>75</v>
      </c>
      <c r="C190" s="12" t="s">
        <v>76</v>
      </c>
      <c r="D190" s="12" t="s">
        <v>720</v>
      </c>
      <c r="E190" s="12" t="s">
        <v>78</v>
      </c>
      <c r="F190" s="12" t="s">
        <v>785</v>
      </c>
      <c r="G190" s="12" t="s">
        <v>786</v>
      </c>
      <c r="H190" s="34" t="s">
        <v>787</v>
      </c>
      <c r="I190" s="12" t="s">
        <v>82</v>
      </c>
      <c r="J190" s="12" t="s">
        <v>106</v>
      </c>
      <c r="K190" s="18">
        <v>0</v>
      </c>
      <c r="L190" s="18">
        <v>0</v>
      </c>
      <c r="M190" s="12" t="s">
        <v>121</v>
      </c>
      <c r="N190" s="35">
        <v>50000</v>
      </c>
      <c r="O190" s="35">
        <v>50000</v>
      </c>
      <c r="P190" s="35">
        <v>50000</v>
      </c>
      <c r="Q190" s="35">
        <v>48541.71</v>
      </c>
      <c r="R190" s="18">
        <f>N190-O190</f>
        <v>0.0</v>
      </c>
      <c r="S190" s="18">
        <f>O190-P190</f>
        <v>0.0</v>
      </c>
      <c r="T190" s="18">
        <f>N190-Q190</f>
        <v>1458.2900000000009</v>
      </c>
      <c r="U190" s="36">
        <f>IF(N190&gt;0,Q190/N190,0)</f>
        <v>0.9708342</v>
      </c>
      <c r="V190" s="35">
        <v>2938428.43</v>
      </c>
      <c r="W190" s="35">
        <v>266242.68</v>
      </c>
      <c r="X190" s="36">
        <v>0.09060716854008929</v>
      </c>
      <c r="Y190" s="35">
        <v>50000</v>
      </c>
      <c r="Z190" s="17" t="s">
        <v>85</v>
      </c>
      <c r="AA190" s="35">
        <v>50000</v>
      </c>
      <c r="AB190" s="35">
        <v>1525657</v>
      </c>
      <c r="AC190" s="35">
        <v>0</v>
      </c>
      <c r="AD190" s="35">
        <v>1145070</v>
      </c>
      <c r="AE190" s="12" t="s">
        <v>86</v>
      </c>
      <c r="AF190" s="12" t="s">
        <v>87</v>
      </c>
      <c r="AG190" s="18">
        <v>-1</v>
      </c>
      <c r="AH190" s="12" t="s">
        <v>169</v>
      </c>
      <c r="AI190" s="12" t="s">
        <v>89</v>
      </c>
      <c r="AJ190" s="12" t="s">
        <v>89</v>
      </c>
      <c r="AK190" s="12" t="s">
        <v>89</v>
      </c>
      <c r="AL190" s="12" t="s">
        <v>141</v>
      </c>
      <c r="AM190" s="12" t="s">
        <v>91</v>
      </c>
      <c r="AN190" s="17" t="s">
        <v>92</v>
      </c>
    </row>
    <row r="191" spans="1:40">
      <c r="A191" s="12" t="s">
        <v>74</v>
      </c>
      <c r="B191" s="12" t="s">
        <v>75</v>
      </c>
      <c r="C191" s="12" t="s">
        <v>76</v>
      </c>
      <c r="D191" s="12" t="s">
        <v>720</v>
      </c>
      <c r="E191" s="12" t="s">
        <v>78</v>
      </c>
      <c r="F191" s="12" t="s">
        <v>788</v>
      </c>
      <c r="G191" s="12" t="s">
        <v>789</v>
      </c>
      <c r="H191" s="34" t="s">
        <v>790</v>
      </c>
      <c r="I191" s="12" t="s">
        <v>82</v>
      </c>
      <c r="J191" s="12" t="s">
        <v>83</v>
      </c>
      <c r="K191" s="18">
        <v>0</v>
      </c>
      <c r="L191" s="18">
        <v>0</v>
      </c>
      <c r="M191" s="12" t="s">
        <v>84</v>
      </c>
      <c r="N191" s="35">
        <v>304060</v>
      </c>
      <c r="O191" s="35">
        <v>291997.5</v>
      </c>
      <c r="P191" s="35">
        <v>291997.5</v>
      </c>
      <c r="Q191" s="35">
        <v>267446.91</v>
      </c>
      <c r="R191" s="18">
        <f>N191-O191</f>
        <v>12062.5</v>
      </c>
      <c r="S191" s="18">
        <f>O191-P191</f>
        <v>0.0</v>
      </c>
      <c r="T191" s="18">
        <f>N191-Q191</f>
        <v>36613.090000000026</v>
      </c>
      <c r="U191" s="36">
        <f>IF(N191&gt;0,Q191/N191,0)</f>
        <v>0.8795859698743668</v>
      </c>
      <c r="V191" s="35">
        <v>2780218.29</v>
      </c>
      <c r="W191" s="35">
        <v>280758.61</v>
      </c>
      <c r="X191" s="36">
        <v>0.100984376302337</v>
      </c>
      <c r="Y191" s="35">
        <v>304060</v>
      </c>
      <c r="Z191" s="17" t="s">
        <v>333</v>
      </c>
      <c r="AA191" s="35">
        <v>50000</v>
      </c>
      <c r="AB191" s="35">
        <v>0</v>
      </c>
      <c r="AC191" s="35">
        <v>0</v>
      </c>
      <c r="AD191" s="35">
        <v>1809535</v>
      </c>
      <c r="AE191" s="12" t="s">
        <v>86</v>
      </c>
      <c r="AF191" s="12" t="s">
        <v>87</v>
      </c>
      <c r="AG191" s="18">
        <v>-1</v>
      </c>
      <c r="AH191" s="12" t="s">
        <v>169</v>
      </c>
      <c r="AI191" s="12" t="s">
        <v>89</v>
      </c>
      <c r="AJ191" s="12" t="s">
        <v>89</v>
      </c>
      <c r="AK191" s="12" t="s">
        <v>89</v>
      </c>
      <c r="AL191" s="12" t="s">
        <v>141</v>
      </c>
      <c r="AM191" s="12" t="s">
        <v>91</v>
      </c>
      <c r="AN191" s="17" t="s">
        <v>92</v>
      </c>
    </row>
    <row r="192" spans="1:40">
      <c r="A192" s="12" t="s">
        <v>74</v>
      </c>
      <c r="B192" s="12" t="s">
        <v>75</v>
      </c>
      <c r="C192" s="12" t="s">
        <v>76</v>
      </c>
      <c r="D192" s="12" t="s">
        <v>720</v>
      </c>
      <c r="E192" s="12" t="s">
        <v>78</v>
      </c>
      <c r="F192" s="12" t="s">
        <v>791</v>
      </c>
      <c r="G192" s="12" t="s">
        <v>792</v>
      </c>
      <c r="H192" s="34" t="s">
        <v>793</v>
      </c>
      <c r="I192" s="12" t="s">
        <v>82</v>
      </c>
      <c r="J192" s="12" t="s">
        <v>149</v>
      </c>
      <c r="K192" s="18">
        <v>0</v>
      </c>
      <c r="L192" s="18">
        <v>0</v>
      </c>
      <c r="M192" s="12" t="s">
        <v>150</v>
      </c>
      <c r="N192" s="35">
        <v>0</v>
      </c>
      <c r="O192" s="35">
        <v>0</v>
      </c>
      <c r="P192" s="35">
        <v>0</v>
      </c>
      <c r="Q192" s="35">
        <v>0</v>
      </c>
      <c r="R192" s="18">
        <f>N192-O192</f>
        <v>0.0</v>
      </c>
      <c r="S192" s="18">
        <f>O192-P192</f>
        <v>0.0</v>
      </c>
      <c r="T192" s="18">
        <f>N192-Q192</f>
        <v>0.0</v>
      </c>
      <c r="U192" s="36">
        <f>IF(N192&gt;0,Q192/N192,0)</f>
        <v>0</v>
      </c>
      <c r="V192" s="35">
        <v>3061548.95</v>
      </c>
      <c r="W192" s="35">
        <v>0</v>
      </c>
      <c r="X192" s="36">
        <v>0</v>
      </c>
      <c r="Y192" s="17" t="s">
        <v>151</v>
      </c>
      <c r="Z192" s="17" t="s">
        <v>85</v>
      </c>
      <c r="AA192" s="35">
        <v>50000</v>
      </c>
      <c r="AB192" s="35">
        <v>0</v>
      </c>
      <c r="AC192" s="35">
        <v>0</v>
      </c>
      <c r="AD192" s="35">
        <v>600000</v>
      </c>
      <c r="AE192" s="12" t="s">
        <v>86</v>
      </c>
      <c r="AF192" s="12" t="s">
        <v>87</v>
      </c>
      <c r="AG192" s="18">
        <v>-1</v>
      </c>
      <c r="AH192" s="12" t="s">
        <v>145</v>
      </c>
      <c r="AI192" s="12" t="s">
        <v>89</v>
      </c>
      <c r="AJ192" s="12" t="s">
        <v>89</v>
      </c>
      <c r="AK192" s="12" t="s">
        <v>89</v>
      </c>
      <c r="AL192" s="12" t="s">
        <v>141</v>
      </c>
      <c r="AM192" s="12" t="s">
        <v>91</v>
      </c>
      <c r="AN192" s="17" t="s">
        <v>92</v>
      </c>
    </row>
    <row r="193" spans="1:40">
      <c r="A193" s="12" t="s">
        <v>74</v>
      </c>
      <c r="B193" s="12" t="s">
        <v>75</v>
      </c>
      <c r="C193" s="12" t="s">
        <v>76</v>
      </c>
      <c r="D193" s="12" t="s">
        <v>720</v>
      </c>
      <c r="E193" s="12" t="s">
        <v>78</v>
      </c>
      <c r="F193" s="12" t="s">
        <v>794</v>
      </c>
      <c r="G193" s="12" t="s">
        <v>795</v>
      </c>
      <c r="H193" s="34" t="s">
        <v>796</v>
      </c>
      <c r="I193" s="12" t="s">
        <v>82</v>
      </c>
      <c r="J193" s="12" t="s">
        <v>149</v>
      </c>
      <c r="K193" s="18">
        <v>0</v>
      </c>
      <c r="L193" s="18">
        <v>0</v>
      </c>
      <c r="M193" s="12" t="s">
        <v>150</v>
      </c>
      <c r="N193" s="35">
        <v>0</v>
      </c>
      <c r="O193" s="35">
        <v>0</v>
      </c>
      <c r="P193" s="35">
        <v>0</v>
      </c>
      <c r="Q193" s="35">
        <v>0</v>
      </c>
      <c r="R193" s="18">
        <f>N193-O193</f>
        <v>0.0</v>
      </c>
      <c r="S193" s="18">
        <f>O193-P193</f>
        <v>0.0</v>
      </c>
      <c r="T193" s="18">
        <f>N193-Q193</f>
        <v>0.0</v>
      </c>
      <c r="U193" s="36">
        <f>IF(N193&gt;0,Q193/N193,0)</f>
        <v>0</v>
      </c>
      <c r="V193" s="35">
        <v>3135487.85</v>
      </c>
      <c r="W193" s="35">
        <v>0</v>
      </c>
      <c r="X193" s="36">
        <v>0</v>
      </c>
      <c r="Y193" s="17" t="s">
        <v>151</v>
      </c>
      <c r="Z193" s="17" t="s">
        <v>85</v>
      </c>
      <c r="AA193" s="35">
        <v>50000</v>
      </c>
      <c r="AB193" s="35">
        <v>0</v>
      </c>
      <c r="AC193" s="35">
        <v>0</v>
      </c>
      <c r="AD193" s="35">
        <v>120000</v>
      </c>
      <c r="AE193" s="12" t="s">
        <v>86</v>
      </c>
      <c r="AF193" s="12" t="s">
        <v>87</v>
      </c>
      <c r="AG193" s="18">
        <v>-1</v>
      </c>
      <c r="AH193" s="12" t="s">
        <v>145</v>
      </c>
      <c r="AI193" s="12" t="s">
        <v>89</v>
      </c>
      <c r="AJ193" s="12" t="s">
        <v>89</v>
      </c>
      <c r="AK193" s="12" t="s">
        <v>89</v>
      </c>
      <c r="AL193" s="12" t="s">
        <v>141</v>
      </c>
      <c r="AM193" s="12" t="s">
        <v>91</v>
      </c>
      <c r="AN193" s="17" t="s">
        <v>92</v>
      </c>
    </row>
    <row r="194" spans="1:40">
      <c r="A194" s="12" t="s">
        <v>74</v>
      </c>
      <c r="B194" s="12" t="s">
        <v>75</v>
      </c>
      <c r="C194" s="12" t="s">
        <v>76</v>
      </c>
      <c r="D194" s="12" t="s">
        <v>720</v>
      </c>
      <c r="E194" s="12" t="s">
        <v>78</v>
      </c>
      <c r="F194" s="12" t="s">
        <v>797</v>
      </c>
      <c r="G194" s="12" t="s">
        <v>798</v>
      </c>
      <c r="H194" s="34" t="s">
        <v>799</v>
      </c>
      <c r="I194" s="12" t="s">
        <v>82</v>
      </c>
      <c r="J194" s="12" t="s">
        <v>83</v>
      </c>
      <c r="K194" s="18">
        <v>0</v>
      </c>
      <c r="L194" s="18">
        <v>0</v>
      </c>
      <c r="M194" s="12" t="s">
        <v>84</v>
      </c>
      <c r="N194" s="35">
        <v>340317</v>
      </c>
      <c r="O194" s="35">
        <v>335271.5</v>
      </c>
      <c r="P194" s="35">
        <v>335271.5</v>
      </c>
      <c r="Q194" s="35">
        <v>228699.2</v>
      </c>
      <c r="R194" s="18">
        <f>N194-O194</f>
        <v>5045.5</v>
      </c>
      <c r="S194" s="18">
        <f>O194-P194</f>
        <v>0.0</v>
      </c>
      <c r="T194" s="18">
        <f>N194-Q194</f>
        <v>111617.79999999999</v>
      </c>
      <c r="U194" s="36">
        <f>IF(N194&gt;0,Q194/N194,0)</f>
        <v>0.672018147785741</v>
      </c>
      <c r="V194" s="35">
        <v>4287780.61</v>
      </c>
      <c r="W194" s="35">
        <v>252537.8</v>
      </c>
      <c r="X194" s="36">
        <v>0.05889708988632233</v>
      </c>
      <c r="Y194" s="35">
        <v>340317</v>
      </c>
      <c r="Z194" s="17" t="s">
        <v>85</v>
      </c>
      <c r="AA194" s="35">
        <v>50000</v>
      </c>
      <c r="AB194" s="35">
        <v>0</v>
      </c>
      <c r="AC194" s="35">
        <v>0</v>
      </c>
      <c r="AD194" s="35">
        <v>1523839</v>
      </c>
      <c r="AE194" s="12" t="s">
        <v>86</v>
      </c>
      <c r="AF194" s="12" t="s">
        <v>87</v>
      </c>
      <c r="AG194" s="18">
        <v>-1</v>
      </c>
      <c r="AH194" s="12" t="s">
        <v>169</v>
      </c>
      <c r="AI194" s="12" t="s">
        <v>89</v>
      </c>
      <c r="AJ194" s="12" t="s">
        <v>89</v>
      </c>
      <c r="AK194" s="12" t="s">
        <v>89</v>
      </c>
      <c r="AL194" s="12" t="s">
        <v>141</v>
      </c>
      <c r="AM194" s="12" t="s">
        <v>91</v>
      </c>
      <c r="AN194" s="17" t="s">
        <v>92</v>
      </c>
    </row>
    <row r="195" spans="1:40">
      <c r="A195" s="12" t="s">
        <v>74</v>
      </c>
      <c r="B195" s="12" t="s">
        <v>75</v>
      </c>
      <c r="C195" s="12" t="s">
        <v>76</v>
      </c>
      <c r="D195" s="12" t="s">
        <v>720</v>
      </c>
      <c r="E195" s="12" t="s">
        <v>102</v>
      </c>
      <c r="F195" s="12" t="s">
        <v>800</v>
      </c>
      <c r="G195" s="12" t="s">
        <v>801</v>
      </c>
      <c r="H195" s="34" t="s">
        <v>802</v>
      </c>
      <c r="I195" s="12" t="s">
        <v>82</v>
      </c>
      <c r="J195" s="12" t="s">
        <v>149</v>
      </c>
      <c r="K195" s="18">
        <v>0</v>
      </c>
      <c r="L195" s="18">
        <v>0</v>
      </c>
      <c r="M195" s="12" t="s">
        <v>150</v>
      </c>
      <c r="N195" s="35">
        <v>0</v>
      </c>
      <c r="O195" s="35">
        <v>0</v>
      </c>
      <c r="P195" s="35">
        <v>0</v>
      </c>
      <c r="Q195" s="35">
        <v>0</v>
      </c>
      <c r="R195" s="18">
        <f>N195-O195</f>
        <v>0.0</v>
      </c>
      <c r="S195" s="18">
        <f>O195-P195</f>
        <v>0.0</v>
      </c>
      <c r="T195" s="18">
        <f>N195-Q195</f>
        <v>0.0</v>
      </c>
      <c r="U195" s="36">
        <f>IF(N195&gt;0,Q195/N195,0)</f>
        <v>0</v>
      </c>
      <c r="V195" s="35">
        <v>15694423.55</v>
      </c>
      <c r="W195" s="35">
        <v>955559.63</v>
      </c>
      <c r="X195" s="36">
        <v>0.06088529642109729</v>
      </c>
      <c r="Y195" s="17" t="s">
        <v>151</v>
      </c>
      <c r="Z195" s="17" t="s">
        <v>803</v>
      </c>
      <c r="AA195" s="35">
        <v>1792000</v>
      </c>
      <c r="AB195" s="35">
        <v>0</v>
      </c>
      <c r="AC195" s="35">
        <v>0</v>
      </c>
      <c r="AD195" s="35">
        <v>0</v>
      </c>
      <c r="AE195" s="12" t="s">
        <v>203</v>
      </c>
      <c r="AF195" s="12" t="s">
        <v>87</v>
      </c>
      <c r="AG195" s="18">
        <v>-1</v>
      </c>
      <c r="AH195" s="12" t="s">
        <v>145</v>
      </c>
      <c r="AI195" s="12" t="s">
        <v>89</v>
      </c>
      <c r="AJ195" s="12" t="s">
        <v>89</v>
      </c>
      <c r="AK195" s="12" t="s">
        <v>89</v>
      </c>
      <c r="AL195" s="12" t="s">
        <v>141</v>
      </c>
      <c r="AM195" s="12" t="s">
        <v>91</v>
      </c>
      <c r="AN195" s="17" t="s">
        <v>92</v>
      </c>
    </row>
    <row r="196" spans="1:40">
      <c r="A196" s="12" t="s">
        <v>74</v>
      </c>
      <c r="B196" s="12" t="s">
        <v>75</v>
      </c>
      <c r="C196" s="12" t="s">
        <v>76</v>
      </c>
      <c r="D196" s="12" t="s">
        <v>720</v>
      </c>
      <c r="E196" s="12" t="s">
        <v>102</v>
      </c>
      <c r="F196" s="12" t="s">
        <v>804</v>
      </c>
      <c r="G196" s="12" t="s">
        <v>805</v>
      </c>
      <c r="H196" s="34" t="s">
        <v>806</v>
      </c>
      <c r="I196" s="12" t="s">
        <v>82</v>
      </c>
      <c r="J196" s="12" t="s">
        <v>83</v>
      </c>
      <c r="K196" s="18">
        <v>0</v>
      </c>
      <c r="L196" s="18">
        <v>0</v>
      </c>
      <c r="M196" s="12" t="s">
        <v>84</v>
      </c>
      <c r="N196" s="35">
        <v>100000</v>
      </c>
      <c r="O196" s="35">
        <v>85000</v>
      </c>
      <c r="P196" s="35">
        <v>60000</v>
      </c>
      <c r="Q196" s="35">
        <v>58662.71000000001</v>
      </c>
      <c r="R196" s="18">
        <f>N196-O196</f>
        <v>15000.0</v>
      </c>
      <c r="S196" s="18">
        <f>O196-P196</f>
        <v>25000.0</v>
      </c>
      <c r="T196" s="18">
        <f>N196-Q196</f>
        <v>41337.28999999999</v>
      </c>
      <c r="U196" s="36">
        <f>IF(N196&gt;0,Q196/N196,0)</f>
        <v>0.5866271000000001</v>
      </c>
      <c r="V196" s="35">
        <v>42606902.1</v>
      </c>
      <c r="W196" s="35">
        <v>1765868.83</v>
      </c>
      <c r="X196" s="36">
        <v>0.04144560488944818</v>
      </c>
      <c r="Y196" s="35">
        <v>100000</v>
      </c>
      <c r="Z196" s="17" t="s">
        <v>85</v>
      </c>
      <c r="AA196" s="35">
        <v>100000</v>
      </c>
      <c r="AB196" s="35">
        <v>1000000</v>
      </c>
      <c r="AC196" s="35">
        <v>0</v>
      </c>
      <c r="AD196" s="35">
        <v>0</v>
      </c>
      <c r="AE196" s="12" t="s">
        <v>86</v>
      </c>
      <c r="AF196" s="12" t="s">
        <v>87</v>
      </c>
      <c r="AG196" s="18">
        <v>-1</v>
      </c>
      <c r="AH196" s="12" t="s">
        <v>169</v>
      </c>
      <c r="AI196" s="12" t="s">
        <v>89</v>
      </c>
      <c r="AJ196" s="12" t="s">
        <v>89</v>
      </c>
      <c r="AK196" s="12" t="s">
        <v>89</v>
      </c>
      <c r="AL196" s="12" t="s">
        <v>141</v>
      </c>
      <c r="AM196" s="12" t="s">
        <v>91</v>
      </c>
      <c r="AN196" s="17" t="s">
        <v>92</v>
      </c>
    </row>
    <row r="197" spans="1:40">
      <c r="A197" s="12" t="s">
        <v>74</v>
      </c>
      <c r="B197" s="12" t="s">
        <v>75</v>
      </c>
      <c r="C197" s="12" t="s">
        <v>76</v>
      </c>
      <c r="D197" s="12" t="s">
        <v>720</v>
      </c>
      <c r="E197" s="12" t="s">
        <v>102</v>
      </c>
      <c r="F197" s="12" t="s">
        <v>807</v>
      </c>
      <c r="G197" s="12" t="s">
        <v>808</v>
      </c>
      <c r="H197" s="34" t="s">
        <v>809</v>
      </c>
      <c r="I197" s="12" t="s">
        <v>82</v>
      </c>
      <c r="J197" s="12" t="s">
        <v>149</v>
      </c>
      <c r="K197" s="18">
        <v>0</v>
      </c>
      <c r="L197" s="18">
        <v>0</v>
      </c>
      <c r="M197" s="12" t="s">
        <v>150</v>
      </c>
      <c r="N197" s="35">
        <v>0</v>
      </c>
      <c r="O197" s="35">
        <v>0</v>
      </c>
      <c r="P197" s="35">
        <v>0</v>
      </c>
      <c r="Q197" s="35">
        <v>0</v>
      </c>
      <c r="R197" s="18">
        <f>N197-O197</f>
        <v>0.0</v>
      </c>
      <c r="S197" s="18">
        <f>O197-P197</f>
        <v>0.0</v>
      </c>
      <c r="T197" s="18">
        <f>N197-Q197</f>
        <v>0.0</v>
      </c>
      <c r="U197" s="36">
        <f>IF(N197&gt;0,Q197/N197,0)</f>
        <v>0</v>
      </c>
      <c r="V197" s="35">
        <v>19833819.78</v>
      </c>
      <c r="W197" s="35">
        <v>662932.4</v>
      </c>
      <c r="X197" s="36">
        <v>0.03342434323561248</v>
      </c>
      <c r="Y197" s="17" t="s">
        <v>151</v>
      </c>
      <c r="Z197" s="17" t="s">
        <v>810</v>
      </c>
      <c r="AA197" s="35">
        <v>500000</v>
      </c>
      <c r="AB197" s="35">
        <v>0</v>
      </c>
      <c r="AC197" s="35">
        <v>0</v>
      </c>
      <c r="AD197" s="35">
        <v>0</v>
      </c>
      <c r="AE197" s="12" t="s">
        <v>203</v>
      </c>
      <c r="AF197" s="12" t="s">
        <v>87</v>
      </c>
      <c r="AG197" s="18">
        <v>-1</v>
      </c>
      <c r="AH197" s="12" t="s">
        <v>145</v>
      </c>
      <c r="AI197" s="12" t="s">
        <v>89</v>
      </c>
      <c r="AJ197" s="12" t="s">
        <v>89</v>
      </c>
      <c r="AK197" s="12" t="s">
        <v>89</v>
      </c>
      <c r="AL197" s="12" t="s">
        <v>141</v>
      </c>
      <c r="AM197" s="12" t="s">
        <v>91</v>
      </c>
      <c r="AN197" s="17" t="s">
        <v>92</v>
      </c>
    </row>
    <row r="198" spans="1:40">
      <c r="A198" s="12" t="s">
        <v>74</v>
      </c>
      <c r="B198" s="12" t="s">
        <v>75</v>
      </c>
      <c r="C198" s="12" t="s">
        <v>76</v>
      </c>
      <c r="D198" s="12" t="s">
        <v>720</v>
      </c>
      <c r="E198" s="12" t="s">
        <v>102</v>
      </c>
      <c r="F198" s="12" t="s">
        <v>811</v>
      </c>
      <c r="G198" s="12" t="s">
        <v>812</v>
      </c>
      <c r="H198" s="34" t="s">
        <v>813</v>
      </c>
      <c r="I198" s="12" t="s">
        <v>82</v>
      </c>
      <c r="J198" s="12" t="s">
        <v>83</v>
      </c>
      <c r="K198" s="18">
        <v>0</v>
      </c>
      <c r="L198" s="18">
        <v>0</v>
      </c>
      <c r="M198" s="12" t="s">
        <v>84</v>
      </c>
      <c r="N198" s="35">
        <v>58259</v>
      </c>
      <c r="O198" s="35">
        <v>58259</v>
      </c>
      <c r="P198" s="35">
        <v>58259</v>
      </c>
      <c r="Q198" s="35">
        <v>50730.47</v>
      </c>
      <c r="R198" s="18">
        <f>N198-O198</f>
        <v>0.0</v>
      </c>
      <c r="S198" s="18">
        <f>O198-P198</f>
        <v>0.0</v>
      </c>
      <c r="T198" s="18">
        <f>N198-Q198</f>
        <v>7528.529999999999</v>
      </c>
      <c r="U198" s="36">
        <f>IF(N198&gt;0,Q198/N198,0)</f>
        <v>0.8707748159082717</v>
      </c>
      <c r="V198" s="35">
        <v>22390702.24</v>
      </c>
      <c r="W198" s="35">
        <v>550467.76</v>
      </c>
      <c r="X198" s="36">
        <v>0.02458465813620681</v>
      </c>
      <c r="Y198" s="35">
        <v>688063</v>
      </c>
      <c r="Z198" s="17" t="s">
        <v>85</v>
      </c>
      <c r="AA198" s="35">
        <v>3860273</v>
      </c>
      <c r="AB198" s="35">
        <v>7764202</v>
      </c>
      <c r="AC198" s="35">
        <v>0</v>
      </c>
      <c r="AD198" s="35">
        <v>500000</v>
      </c>
      <c r="AE198" s="12" t="s">
        <v>86</v>
      </c>
      <c r="AF198" s="12" t="s">
        <v>87</v>
      </c>
      <c r="AG198" s="18">
        <v>-1</v>
      </c>
      <c r="AH198" s="12" t="s">
        <v>169</v>
      </c>
      <c r="AI198" s="12" t="s">
        <v>89</v>
      </c>
      <c r="AJ198" s="12" t="s">
        <v>89</v>
      </c>
      <c r="AK198" s="12" t="s">
        <v>89</v>
      </c>
      <c r="AL198" s="12" t="s">
        <v>141</v>
      </c>
      <c r="AM198" s="12" t="s">
        <v>91</v>
      </c>
      <c r="AN198" s="17" t="s">
        <v>92</v>
      </c>
    </row>
    <row r="199" spans="1:40">
      <c r="A199" s="12" t="s">
        <v>74</v>
      </c>
      <c r="B199" s="12" t="s">
        <v>75</v>
      </c>
      <c r="C199" s="12" t="s">
        <v>76</v>
      </c>
      <c r="D199" s="12" t="s">
        <v>720</v>
      </c>
      <c r="E199" s="12" t="s">
        <v>102</v>
      </c>
      <c r="F199" s="12" t="s">
        <v>814</v>
      </c>
      <c r="G199" s="12" t="s">
        <v>815</v>
      </c>
      <c r="H199" s="34" t="s">
        <v>816</v>
      </c>
      <c r="I199" s="12" t="s">
        <v>82</v>
      </c>
      <c r="J199" s="12" t="s">
        <v>83</v>
      </c>
      <c r="K199" s="18">
        <v>0</v>
      </c>
      <c r="L199" s="18">
        <v>0</v>
      </c>
      <c r="M199" s="12" t="s">
        <v>84</v>
      </c>
      <c r="N199" s="35">
        <v>100000</v>
      </c>
      <c r="O199" s="35">
        <v>100000</v>
      </c>
      <c r="P199" s="35">
        <v>50000</v>
      </c>
      <c r="Q199" s="35">
        <v>45460.23</v>
      </c>
      <c r="R199" s="18">
        <f>N199-O199</f>
        <v>0.0</v>
      </c>
      <c r="S199" s="18">
        <f>O199-P199</f>
        <v>50000.0</v>
      </c>
      <c r="T199" s="18">
        <f>N199-Q199</f>
        <v>54539.770000000004</v>
      </c>
      <c r="U199" s="36">
        <f>IF(N199&gt;0,Q199/N199,0)</f>
        <v>0.45460229999999996</v>
      </c>
      <c r="V199" s="35">
        <v>9766088.49</v>
      </c>
      <c r="W199" s="35">
        <v>330694.73</v>
      </c>
      <c r="X199" s="36">
        <v>0.0338615332370391</v>
      </c>
      <c r="Y199" s="35">
        <v>100000</v>
      </c>
      <c r="Z199" s="17" t="s">
        <v>85</v>
      </c>
      <c r="AA199" s="35">
        <v>1800000</v>
      </c>
      <c r="AB199" s="35">
        <v>1234564</v>
      </c>
      <c r="AC199" s="35">
        <v>0</v>
      </c>
      <c r="AD199" s="35">
        <v>680854</v>
      </c>
      <c r="AE199" s="12" t="s">
        <v>86</v>
      </c>
      <c r="AF199" s="12" t="s">
        <v>87</v>
      </c>
      <c r="AG199" s="18">
        <v>-1</v>
      </c>
      <c r="AH199" s="12" t="s">
        <v>169</v>
      </c>
      <c r="AI199" s="12" t="s">
        <v>89</v>
      </c>
      <c r="AJ199" s="12" t="s">
        <v>89</v>
      </c>
      <c r="AK199" s="12" t="s">
        <v>89</v>
      </c>
      <c r="AL199" s="12" t="s">
        <v>141</v>
      </c>
      <c r="AM199" s="12" t="s">
        <v>91</v>
      </c>
      <c r="AN199" s="17" t="s">
        <v>92</v>
      </c>
    </row>
    <row r="200" spans="1:40">
      <c r="A200" s="12" t="s">
        <v>74</v>
      </c>
      <c r="B200" s="12" t="s">
        <v>75</v>
      </c>
      <c r="C200" s="12" t="s">
        <v>76</v>
      </c>
      <c r="D200" s="12" t="s">
        <v>720</v>
      </c>
      <c r="E200" s="12" t="s">
        <v>102</v>
      </c>
      <c r="F200" s="12" t="s">
        <v>817</v>
      </c>
      <c r="G200" s="12" t="s">
        <v>818</v>
      </c>
      <c r="H200" s="34" t="s">
        <v>819</v>
      </c>
      <c r="I200" s="12" t="s">
        <v>82</v>
      </c>
      <c r="J200" s="12" t="s">
        <v>83</v>
      </c>
      <c r="K200" s="18">
        <v>0</v>
      </c>
      <c r="L200" s="18">
        <v>0</v>
      </c>
      <c r="M200" s="12" t="s">
        <v>84</v>
      </c>
      <c r="N200" s="35">
        <v>100000</v>
      </c>
      <c r="O200" s="35">
        <v>98580</v>
      </c>
      <c r="P200" s="35">
        <v>98580</v>
      </c>
      <c r="Q200" s="35">
        <v>83195.39999999999</v>
      </c>
      <c r="R200" s="18">
        <f>N200-O200</f>
        <v>1420.0</v>
      </c>
      <c r="S200" s="18">
        <f>O200-P200</f>
        <v>0.0</v>
      </c>
      <c r="T200" s="18">
        <f>N200-Q200</f>
        <v>16804.600000000006</v>
      </c>
      <c r="U200" s="36">
        <f>IF(N200&gt;0,Q200/N200,0)</f>
        <v>0.831954</v>
      </c>
      <c r="V200" s="35">
        <v>9761077.5</v>
      </c>
      <c r="W200" s="35">
        <v>385181.81</v>
      </c>
      <c r="X200" s="36">
        <v>0.03946099290780142</v>
      </c>
      <c r="Y200" s="35">
        <v>100000</v>
      </c>
      <c r="Z200" s="17" t="s">
        <v>85</v>
      </c>
      <c r="AA200" s="35">
        <v>100000</v>
      </c>
      <c r="AB200" s="35">
        <v>2565482</v>
      </c>
      <c r="AC200" s="35">
        <v>0</v>
      </c>
      <c r="AD200" s="35">
        <v>534518</v>
      </c>
      <c r="AE200" s="12" t="s">
        <v>86</v>
      </c>
      <c r="AF200" s="12" t="s">
        <v>87</v>
      </c>
      <c r="AG200" s="18">
        <v>-1</v>
      </c>
      <c r="AH200" s="12" t="s">
        <v>571</v>
      </c>
      <c r="AI200" s="12" t="s">
        <v>89</v>
      </c>
      <c r="AJ200" s="12" t="s">
        <v>89</v>
      </c>
      <c r="AK200" s="12" t="s">
        <v>89</v>
      </c>
      <c r="AL200" s="12" t="s">
        <v>141</v>
      </c>
      <c r="AM200" s="12" t="s">
        <v>91</v>
      </c>
      <c r="AN200" s="17" t="s">
        <v>92</v>
      </c>
    </row>
    <row r="201" spans="1:40">
      <c r="A201" s="12" t="s">
        <v>74</v>
      </c>
      <c r="B201" s="12" t="s">
        <v>75</v>
      </c>
      <c r="C201" s="12" t="s">
        <v>76</v>
      </c>
      <c r="D201" s="12" t="s">
        <v>720</v>
      </c>
      <c r="E201" s="12" t="s">
        <v>102</v>
      </c>
      <c r="F201" s="12" t="s">
        <v>820</v>
      </c>
      <c r="G201" s="12" t="s">
        <v>821</v>
      </c>
      <c r="H201" s="34" t="s">
        <v>822</v>
      </c>
      <c r="I201" s="12" t="s">
        <v>82</v>
      </c>
      <c r="J201" s="12" t="s">
        <v>83</v>
      </c>
      <c r="K201" s="18">
        <v>0</v>
      </c>
      <c r="L201" s="18">
        <v>0</v>
      </c>
      <c r="M201" s="12" t="s">
        <v>84</v>
      </c>
      <c r="N201" s="35">
        <v>500172</v>
      </c>
      <c r="O201" s="35">
        <v>0</v>
      </c>
      <c r="P201" s="35">
        <v>0</v>
      </c>
      <c r="Q201" s="35">
        <v>0</v>
      </c>
      <c r="R201" s="18">
        <f>N201-O201</f>
        <v>500172.0</v>
      </c>
      <c r="S201" s="18">
        <f>O201-P201</f>
        <v>0.0</v>
      </c>
      <c r="T201" s="18">
        <f>N201-Q201</f>
        <v>500172.0</v>
      </c>
      <c r="U201" s="36">
        <f>IF(N201&gt;0,Q201/N201,0)</f>
        <v>0.0</v>
      </c>
      <c r="V201" s="35">
        <v>4977227.42</v>
      </c>
      <c r="W201" s="35">
        <v>221699.38</v>
      </c>
      <c r="X201" s="36">
        <v>0.0445427466523119</v>
      </c>
      <c r="Y201" s="35">
        <v>527172</v>
      </c>
      <c r="Z201" s="17" t="s">
        <v>85</v>
      </c>
      <c r="AA201" s="35">
        <v>700000</v>
      </c>
      <c r="AB201" s="35">
        <v>1243456</v>
      </c>
      <c r="AC201" s="35">
        <v>0</v>
      </c>
      <c r="AD201" s="35">
        <v>2984900</v>
      </c>
      <c r="AE201" s="12" t="s">
        <v>86</v>
      </c>
      <c r="AF201" s="12" t="s">
        <v>87</v>
      </c>
      <c r="AG201" s="18">
        <v>-1</v>
      </c>
      <c r="AH201" s="12" t="s">
        <v>145</v>
      </c>
      <c r="AI201" s="12" t="s">
        <v>89</v>
      </c>
      <c r="AJ201" s="12" t="s">
        <v>89</v>
      </c>
      <c r="AK201" s="12" t="s">
        <v>89</v>
      </c>
      <c r="AL201" s="12" t="s">
        <v>141</v>
      </c>
      <c r="AM201" s="12" t="s">
        <v>91</v>
      </c>
      <c r="AN201" s="17" t="s">
        <v>92</v>
      </c>
    </row>
    <row r="202" spans="1:40">
      <c r="A202" s="12" t="s">
        <v>74</v>
      </c>
      <c r="B202" s="12" t="s">
        <v>75</v>
      </c>
      <c r="C202" s="12" t="s">
        <v>76</v>
      </c>
      <c r="D202" s="12" t="s">
        <v>720</v>
      </c>
      <c r="E202" s="12" t="s">
        <v>102</v>
      </c>
      <c r="F202" s="12" t="s">
        <v>823</v>
      </c>
      <c r="G202" s="12" t="s">
        <v>824</v>
      </c>
      <c r="H202" s="34" t="s">
        <v>825</v>
      </c>
      <c r="I202" s="12" t="s">
        <v>82</v>
      </c>
      <c r="J202" s="12" t="s">
        <v>83</v>
      </c>
      <c r="K202" s="18">
        <v>0</v>
      </c>
      <c r="L202" s="18">
        <v>0</v>
      </c>
      <c r="M202" s="12" t="s">
        <v>84</v>
      </c>
      <c r="N202" s="35">
        <v>310000</v>
      </c>
      <c r="O202" s="35">
        <v>310000</v>
      </c>
      <c r="P202" s="35">
        <v>250000</v>
      </c>
      <c r="Q202" s="35">
        <v>240998.16</v>
      </c>
      <c r="R202" s="18">
        <f>N202-O202</f>
        <v>0.0</v>
      </c>
      <c r="S202" s="18">
        <f>O202-P202</f>
        <v>60000.0</v>
      </c>
      <c r="T202" s="18">
        <f>N202-Q202</f>
        <v>69001.83999999997</v>
      </c>
      <c r="U202" s="36">
        <f>IF(N202&gt;0,Q202/N202,0)</f>
        <v>0.7774134193548388</v>
      </c>
      <c r="V202" s="35">
        <v>2851049.65</v>
      </c>
      <c r="W202" s="35">
        <v>240998.16</v>
      </c>
      <c r="X202" s="36">
        <v>0.08452962578185899</v>
      </c>
      <c r="Y202" s="35">
        <v>310000</v>
      </c>
      <c r="Z202" s="17" t="s">
        <v>85</v>
      </c>
      <c r="AA202" s="35">
        <v>50000</v>
      </c>
      <c r="AB202" s="35">
        <v>0</v>
      </c>
      <c r="AC202" s="35">
        <v>0</v>
      </c>
      <c r="AD202" s="35">
        <v>1000000</v>
      </c>
      <c r="AE202" s="12" t="s">
        <v>86</v>
      </c>
      <c r="AF202" s="12" t="s">
        <v>87</v>
      </c>
      <c r="AG202" s="18">
        <v>-1</v>
      </c>
      <c r="AH202" s="12" t="s">
        <v>169</v>
      </c>
      <c r="AI202" s="12" t="s">
        <v>89</v>
      </c>
      <c r="AJ202" s="12" t="s">
        <v>89</v>
      </c>
      <c r="AK202" s="12" t="s">
        <v>89</v>
      </c>
      <c r="AL202" s="12" t="s">
        <v>141</v>
      </c>
      <c r="AM202" s="12" t="s">
        <v>91</v>
      </c>
      <c r="AN202" s="17" t="s">
        <v>92</v>
      </c>
    </row>
    <row r="203" spans="1:40">
      <c r="A203" s="12" t="s">
        <v>74</v>
      </c>
      <c r="B203" s="12" t="s">
        <v>75</v>
      </c>
      <c r="C203" s="12" t="s">
        <v>76</v>
      </c>
      <c r="D203" s="12" t="s">
        <v>720</v>
      </c>
      <c r="E203" s="12" t="s">
        <v>102</v>
      </c>
      <c r="F203" s="12" t="s">
        <v>826</v>
      </c>
      <c r="G203" s="12" t="s">
        <v>827</v>
      </c>
      <c r="H203" s="34" t="s">
        <v>828</v>
      </c>
      <c r="I203" s="12" t="s">
        <v>82</v>
      </c>
      <c r="J203" s="12" t="s">
        <v>83</v>
      </c>
      <c r="K203" s="18">
        <v>0</v>
      </c>
      <c r="L203" s="18">
        <v>0</v>
      </c>
      <c r="M203" s="12" t="s">
        <v>84</v>
      </c>
      <c r="N203" s="35">
        <v>100000</v>
      </c>
      <c r="O203" s="35">
        <v>98287</v>
      </c>
      <c r="P203" s="35">
        <v>98287</v>
      </c>
      <c r="Q203" s="35">
        <v>19750.31</v>
      </c>
      <c r="R203" s="18">
        <f>N203-O203</f>
        <v>1713.0</v>
      </c>
      <c r="S203" s="18">
        <f>O203-P203</f>
        <v>0.0</v>
      </c>
      <c r="T203" s="18">
        <f>N203-Q203</f>
        <v>80249.69</v>
      </c>
      <c r="U203" s="36">
        <f>IF(N203&gt;0,Q203/N203,0)</f>
        <v>0.19750310000000001</v>
      </c>
      <c r="V203" s="35">
        <v>3592200.09</v>
      </c>
      <c r="W203" s="35">
        <v>173992.42</v>
      </c>
      <c r="X203" s="36">
        <v>0.04843617160535175</v>
      </c>
      <c r="Y203" s="35">
        <v>100000</v>
      </c>
      <c r="Z203" s="17" t="s">
        <v>85</v>
      </c>
      <c r="AA203" s="35">
        <v>100000</v>
      </c>
      <c r="AB203" s="35">
        <v>254875</v>
      </c>
      <c r="AC203" s="35">
        <v>0</v>
      </c>
      <c r="AD203" s="35">
        <v>500000</v>
      </c>
      <c r="AE203" s="12" t="s">
        <v>86</v>
      </c>
      <c r="AF203" s="12" t="s">
        <v>87</v>
      </c>
      <c r="AG203" s="18">
        <v>-1</v>
      </c>
      <c r="AH203" s="12" t="s">
        <v>169</v>
      </c>
      <c r="AI203" s="12" t="s">
        <v>89</v>
      </c>
      <c r="AJ203" s="12" t="s">
        <v>89</v>
      </c>
      <c r="AK203" s="12" t="s">
        <v>89</v>
      </c>
      <c r="AL203" s="12" t="s">
        <v>141</v>
      </c>
      <c r="AM203" s="12" t="s">
        <v>91</v>
      </c>
      <c r="AN203" s="17" t="s">
        <v>92</v>
      </c>
    </row>
    <row r="204" spans="1:40">
      <c r="A204" s="12" t="s">
        <v>74</v>
      </c>
      <c r="B204" s="12" t="s">
        <v>75</v>
      </c>
      <c r="C204" s="12" t="s">
        <v>76</v>
      </c>
      <c r="D204" s="12" t="s">
        <v>720</v>
      </c>
      <c r="E204" s="12" t="s">
        <v>102</v>
      </c>
      <c r="F204" s="12" t="s">
        <v>829</v>
      </c>
      <c r="G204" s="12" t="s">
        <v>830</v>
      </c>
      <c r="H204" s="34" t="s">
        <v>831</v>
      </c>
      <c r="I204" s="12" t="s">
        <v>82</v>
      </c>
      <c r="J204" s="12" t="s">
        <v>83</v>
      </c>
      <c r="K204" s="18">
        <v>0</v>
      </c>
      <c r="L204" s="18">
        <v>0</v>
      </c>
      <c r="M204" s="12" t="s">
        <v>84</v>
      </c>
      <c r="N204" s="35">
        <v>400214</v>
      </c>
      <c r="O204" s="35">
        <v>400214</v>
      </c>
      <c r="P204" s="35">
        <v>350213.5</v>
      </c>
      <c r="Q204" s="35">
        <v>330372.18</v>
      </c>
      <c r="R204" s="18">
        <f>N204-O204</f>
        <v>0.0</v>
      </c>
      <c r="S204" s="18">
        <f>O204-P204</f>
        <v>50000.5</v>
      </c>
      <c r="T204" s="18">
        <f>N204-Q204</f>
        <v>69841.82</v>
      </c>
      <c r="U204" s="36">
        <f>IF(N204&gt;0,Q204/N204,0)</f>
        <v>0.8254888134847856</v>
      </c>
      <c r="V204" s="35">
        <v>3777835.4</v>
      </c>
      <c r="W204" s="35">
        <v>330372.18</v>
      </c>
      <c r="X204" s="36">
        <v>0.08745012554014396</v>
      </c>
      <c r="Y204" s="35">
        <v>400214</v>
      </c>
      <c r="Z204" s="17" t="s">
        <v>85</v>
      </c>
      <c r="AA204" s="35">
        <v>50000</v>
      </c>
      <c r="AB204" s="35">
        <v>0</v>
      </c>
      <c r="AC204" s="35">
        <v>0</v>
      </c>
      <c r="AD204" s="35">
        <v>1299636</v>
      </c>
      <c r="AE204" s="12" t="s">
        <v>86</v>
      </c>
      <c r="AF204" s="12" t="s">
        <v>87</v>
      </c>
      <c r="AG204" s="18">
        <v>-1</v>
      </c>
      <c r="AH204" s="12" t="s">
        <v>169</v>
      </c>
      <c r="AI204" s="12" t="s">
        <v>89</v>
      </c>
      <c r="AJ204" s="12" t="s">
        <v>89</v>
      </c>
      <c r="AK204" s="12" t="s">
        <v>89</v>
      </c>
      <c r="AL204" s="12" t="s">
        <v>141</v>
      </c>
      <c r="AM204" s="12" t="s">
        <v>91</v>
      </c>
      <c r="AN204" s="17" t="s">
        <v>92</v>
      </c>
    </row>
    <row r="205" spans="1:40">
      <c r="A205" s="12" t="s">
        <v>74</v>
      </c>
      <c r="B205" s="12" t="s">
        <v>75</v>
      </c>
      <c r="C205" s="12" t="s">
        <v>76</v>
      </c>
      <c r="D205" s="12" t="s">
        <v>720</v>
      </c>
      <c r="E205" s="12" t="s">
        <v>102</v>
      </c>
      <c r="F205" s="12" t="s">
        <v>832</v>
      </c>
      <c r="G205" s="12" t="s">
        <v>833</v>
      </c>
      <c r="H205" s="34" t="s">
        <v>834</v>
      </c>
      <c r="I205" s="12" t="s">
        <v>82</v>
      </c>
      <c r="J205" s="12" t="s">
        <v>149</v>
      </c>
      <c r="K205" s="18">
        <v>0</v>
      </c>
      <c r="L205" s="18">
        <v>0</v>
      </c>
      <c r="M205" s="12" t="s">
        <v>150</v>
      </c>
      <c r="N205" s="35">
        <v>0</v>
      </c>
      <c r="O205" s="35">
        <v>0</v>
      </c>
      <c r="P205" s="35">
        <v>0</v>
      </c>
      <c r="Q205" s="35">
        <v>0</v>
      </c>
      <c r="R205" s="18">
        <f>N205-O205</f>
        <v>0.0</v>
      </c>
      <c r="S205" s="18">
        <f>O205-P205</f>
        <v>0.0</v>
      </c>
      <c r="T205" s="18">
        <f>N205-Q205</f>
        <v>0.0</v>
      </c>
      <c r="U205" s="36">
        <f>IF(N205&gt;0,Q205/N205,0)</f>
        <v>0</v>
      </c>
      <c r="V205" s="35">
        <v>4916766.28</v>
      </c>
      <c r="W205" s="35">
        <v>0</v>
      </c>
      <c r="X205" s="36">
        <v>0</v>
      </c>
      <c r="Y205" s="17" t="s">
        <v>151</v>
      </c>
      <c r="Z205" s="17" t="s">
        <v>85</v>
      </c>
      <c r="AA205" s="35">
        <v>50000</v>
      </c>
      <c r="AB205" s="35">
        <v>0</v>
      </c>
      <c r="AC205" s="35">
        <v>0</v>
      </c>
      <c r="AD205" s="35">
        <v>300000</v>
      </c>
      <c r="AE205" s="12" t="s">
        <v>86</v>
      </c>
      <c r="AF205" s="12" t="s">
        <v>87</v>
      </c>
      <c r="AG205" s="18">
        <v>-1</v>
      </c>
      <c r="AH205" s="12" t="s">
        <v>145</v>
      </c>
      <c r="AI205" s="12" t="s">
        <v>89</v>
      </c>
      <c r="AJ205" s="12" t="s">
        <v>89</v>
      </c>
      <c r="AK205" s="12" t="s">
        <v>89</v>
      </c>
      <c r="AL205" s="12" t="s">
        <v>141</v>
      </c>
      <c r="AM205" s="12" t="s">
        <v>91</v>
      </c>
      <c r="AN205" s="17" t="s">
        <v>92</v>
      </c>
    </row>
    <row r="206" spans="1:40">
      <c r="A206" s="12" t="s">
        <v>74</v>
      </c>
      <c r="B206" s="12" t="s">
        <v>75</v>
      </c>
      <c r="C206" s="12" t="s">
        <v>76</v>
      </c>
      <c r="D206" s="12" t="s">
        <v>720</v>
      </c>
      <c r="E206" s="12" t="s">
        <v>102</v>
      </c>
      <c r="F206" s="12" t="s">
        <v>835</v>
      </c>
      <c r="G206" s="12" t="s">
        <v>836</v>
      </c>
      <c r="H206" s="34" t="s">
        <v>837</v>
      </c>
      <c r="I206" s="12" t="s">
        <v>82</v>
      </c>
      <c r="J206" s="12" t="s">
        <v>106</v>
      </c>
      <c r="K206" s="18">
        <v>0</v>
      </c>
      <c r="L206" s="18">
        <v>0</v>
      </c>
      <c r="M206" s="12" t="s">
        <v>121</v>
      </c>
      <c r="N206" s="35">
        <v>126982</v>
      </c>
      <c r="O206" s="35">
        <v>126982</v>
      </c>
      <c r="P206" s="35">
        <v>126982</v>
      </c>
      <c r="Q206" s="35">
        <v>120317.21</v>
      </c>
      <c r="R206" s="18">
        <f>N206-O206</f>
        <v>0.0</v>
      </c>
      <c r="S206" s="18">
        <f>O206-P206</f>
        <v>0.0</v>
      </c>
      <c r="T206" s="18">
        <f>N206-Q206</f>
        <v>6664.790000000008</v>
      </c>
      <c r="U206" s="36">
        <f>IF(N206&gt;0,Q206/N206,0)</f>
        <v>0.9475138996078184</v>
      </c>
      <c r="V206" s="35">
        <v>4853787.55</v>
      </c>
      <c r="W206" s="35">
        <v>329309.25</v>
      </c>
      <c r="X206" s="36">
        <v>0.06784583103560023</v>
      </c>
      <c r="Y206" s="35">
        <v>126982</v>
      </c>
      <c r="Z206" s="17" t="s">
        <v>85</v>
      </c>
      <c r="AA206" s="35">
        <v>50000</v>
      </c>
      <c r="AB206" s="35">
        <v>251478</v>
      </c>
      <c r="AC206" s="35">
        <v>0</v>
      </c>
      <c r="AD206" s="35">
        <v>300000</v>
      </c>
      <c r="AE206" s="12" t="s">
        <v>86</v>
      </c>
      <c r="AF206" s="12" t="s">
        <v>87</v>
      </c>
      <c r="AG206" s="18">
        <v>-1</v>
      </c>
      <c r="AH206" s="12" t="s">
        <v>169</v>
      </c>
      <c r="AI206" s="12" t="s">
        <v>89</v>
      </c>
      <c r="AJ206" s="12" t="s">
        <v>89</v>
      </c>
      <c r="AK206" s="12" t="s">
        <v>89</v>
      </c>
      <c r="AL206" s="12" t="s">
        <v>141</v>
      </c>
      <c r="AM206" s="12" t="s">
        <v>91</v>
      </c>
      <c r="AN206" s="17" t="s">
        <v>92</v>
      </c>
    </row>
    <row r="207" spans="1:40">
      <c r="A207" s="12" t="s">
        <v>74</v>
      </c>
      <c r="B207" s="12" t="s">
        <v>75</v>
      </c>
      <c r="C207" s="12" t="s">
        <v>76</v>
      </c>
      <c r="D207" s="12" t="s">
        <v>720</v>
      </c>
      <c r="E207" s="12" t="s">
        <v>102</v>
      </c>
      <c r="F207" s="12" t="s">
        <v>838</v>
      </c>
      <c r="G207" s="12" t="s">
        <v>839</v>
      </c>
      <c r="H207" s="34" t="s">
        <v>840</v>
      </c>
      <c r="I207" s="12" t="s">
        <v>82</v>
      </c>
      <c r="J207" s="12" t="s">
        <v>149</v>
      </c>
      <c r="K207" s="18">
        <v>0</v>
      </c>
      <c r="L207" s="18">
        <v>0</v>
      </c>
      <c r="M207" s="12" t="s">
        <v>150</v>
      </c>
      <c r="N207" s="35">
        <v>0</v>
      </c>
      <c r="O207" s="35">
        <v>0</v>
      </c>
      <c r="P207" s="35">
        <v>0</v>
      </c>
      <c r="Q207" s="35">
        <v>0</v>
      </c>
      <c r="R207" s="18">
        <f>N207-O207</f>
        <v>0.0</v>
      </c>
      <c r="S207" s="18">
        <f>O207-P207</f>
        <v>0.0</v>
      </c>
      <c r="T207" s="18">
        <f>N207-Q207</f>
        <v>0.0</v>
      </c>
      <c r="U207" s="36">
        <f>IF(N207&gt;0,Q207/N207,0)</f>
        <v>0</v>
      </c>
      <c r="V207" s="35">
        <v>4322826.77</v>
      </c>
      <c r="W207" s="35">
        <v>0</v>
      </c>
      <c r="X207" s="36">
        <v>0</v>
      </c>
      <c r="Y207" s="17" t="s">
        <v>151</v>
      </c>
      <c r="Z207" s="17" t="s">
        <v>85</v>
      </c>
      <c r="AA207" s="35">
        <v>50000</v>
      </c>
      <c r="AB207" s="35">
        <v>0</v>
      </c>
      <c r="AC207" s="35">
        <v>0</v>
      </c>
      <c r="AD207" s="35">
        <v>150000</v>
      </c>
      <c r="AE207" s="12" t="s">
        <v>86</v>
      </c>
      <c r="AF207" s="12" t="s">
        <v>87</v>
      </c>
      <c r="AG207" s="18">
        <v>-1</v>
      </c>
      <c r="AH207" s="12" t="s">
        <v>145</v>
      </c>
      <c r="AI207" s="12" t="s">
        <v>89</v>
      </c>
      <c r="AJ207" s="12" t="s">
        <v>89</v>
      </c>
      <c r="AK207" s="12" t="s">
        <v>89</v>
      </c>
      <c r="AL207" s="12" t="s">
        <v>141</v>
      </c>
      <c r="AM207" s="12" t="s">
        <v>91</v>
      </c>
      <c r="AN207" s="17" t="s">
        <v>92</v>
      </c>
    </row>
    <row r="208" spans="1:40">
      <c r="A208" s="12" t="s">
        <v>74</v>
      </c>
      <c r="B208" s="12" t="s">
        <v>75</v>
      </c>
      <c r="C208" s="12" t="s">
        <v>76</v>
      </c>
      <c r="D208" s="12" t="s">
        <v>720</v>
      </c>
      <c r="E208" s="12" t="s">
        <v>102</v>
      </c>
      <c r="F208" s="12" t="s">
        <v>841</v>
      </c>
      <c r="G208" s="12" t="s">
        <v>842</v>
      </c>
      <c r="H208" s="34" t="s">
        <v>843</v>
      </c>
      <c r="I208" s="12" t="s">
        <v>82</v>
      </c>
      <c r="J208" s="12" t="s">
        <v>83</v>
      </c>
      <c r="K208" s="18">
        <v>0</v>
      </c>
      <c r="L208" s="18">
        <v>0</v>
      </c>
      <c r="M208" s="12" t="s">
        <v>84</v>
      </c>
      <c r="N208" s="35">
        <v>112244</v>
      </c>
      <c r="O208" s="35">
        <v>112243.56</v>
      </c>
      <c r="P208" s="35">
        <v>82243.56</v>
      </c>
      <c r="Q208" s="35">
        <v>78030.97</v>
      </c>
      <c r="R208" s="18">
        <f>N208-O208</f>
        <v>0.4400000000023283</v>
      </c>
      <c r="S208" s="18">
        <f>O208-P208</f>
        <v>30000.0</v>
      </c>
      <c r="T208" s="18">
        <f>N208-Q208</f>
        <v>34213.03</v>
      </c>
      <c r="U208" s="36">
        <f>IF(N208&gt;0,Q208/N208,0)</f>
        <v>0.6951905669790813</v>
      </c>
      <c r="V208" s="35">
        <v>9959132.77</v>
      </c>
      <c r="W208" s="35">
        <v>465502.03</v>
      </c>
      <c r="X208" s="36">
        <v>0.04674122142464419</v>
      </c>
      <c r="Y208" s="35">
        <v>112244</v>
      </c>
      <c r="Z208" s="17" t="s">
        <v>85</v>
      </c>
      <c r="AA208" s="35">
        <v>50000</v>
      </c>
      <c r="AB208" s="35">
        <v>3985654</v>
      </c>
      <c r="AC208" s="35">
        <v>0</v>
      </c>
      <c r="AD208" s="35">
        <v>500000</v>
      </c>
      <c r="AE208" s="12" t="s">
        <v>86</v>
      </c>
      <c r="AF208" s="12" t="s">
        <v>87</v>
      </c>
      <c r="AG208" s="18">
        <v>-1</v>
      </c>
      <c r="AH208" s="12" t="s">
        <v>169</v>
      </c>
      <c r="AI208" s="12" t="s">
        <v>89</v>
      </c>
      <c r="AJ208" s="12" t="s">
        <v>89</v>
      </c>
      <c r="AK208" s="12" t="s">
        <v>89</v>
      </c>
      <c r="AL208" s="12" t="s">
        <v>141</v>
      </c>
      <c r="AM208" s="12" t="s">
        <v>91</v>
      </c>
      <c r="AN208" s="17" t="s">
        <v>92</v>
      </c>
    </row>
    <row r="209" spans="1:40">
      <c r="A209" s="12" t="s">
        <v>74</v>
      </c>
      <c r="B209" s="12" t="s">
        <v>75</v>
      </c>
      <c r="C209" s="12" t="s">
        <v>76</v>
      </c>
      <c r="D209" s="12" t="s">
        <v>720</v>
      </c>
      <c r="E209" s="12" t="s">
        <v>102</v>
      </c>
      <c r="F209" s="12" t="s">
        <v>844</v>
      </c>
      <c r="G209" s="12" t="s">
        <v>845</v>
      </c>
      <c r="H209" s="34" t="s">
        <v>846</v>
      </c>
      <c r="I209" s="12" t="s">
        <v>82</v>
      </c>
      <c r="J209" s="12" t="s">
        <v>106</v>
      </c>
      <c r="K209" s="18">
        <v>0</v>
      </c>
      <c r="L209" s="18">
        <v>0</v>
      </c>
      <c r="M209" s="12" t="s">
        <v>121</v>
      </c>
      <c r="N209" s="35">
        <v>164979</v>
      </c>
      <c r="O209" s="35">
        <v>164976.5</v>
      </c>
      <c r="P209" s="35">
        <v>164976.5</v>
      </c>
      <c r="Q209" s="35">
        <v>152477.04</v>
      </c>
      <c r="R209" s="18">
        <f>N209-O209</f>
        <v>2.5</v>
      </c>
      <c r="S209" s="18">
        <f>O209-P209</f>
        <v>0.0</v>
      </c>
      <c r="T209" s="18">
        <f>N209-Q209</f>
        <v>12501.959999999992</v>
      </c>
      <c r="U209" s="36">
        <f>IF(N209&gt;0,Q209/N209,0)</f>
        <v>0.9242209008419254</v>
      </c>
      <c r="V209" s="35">
        <v>2130533.23</v>
      </c>
      <c r="W209" s="35">
        <v>268468.64</v>
      </c>
      <c r="X209" s="36">
        <v>0.1260100693195947</v>
      </c>
      <c r="Y209" s="35">
        <v>688943</v>
      </c>
      <c r="Z209" s="17" t="s">
        <v>108</v>
      </c>
      <c r="AA209" s="35">
        <v>50000</v>
      </c>
      <c r="AB209" s="35">
        <v>2375675</v>
      </c>
      <c r="AC209" s="35">
        <v>0</v>
      </c>
      <c r="AD209" s="35">
        <v>0</v>
      </c>
      <c r="AE209" s="12" t="s">
        <v>86</v>
      </c>
      <c r="AF209" s="12" t="s">
        <v>87</v>
      </c>
      <c r="AG209" s="18">
        <v>-1</v>
      </c>
      <c r="AH209" s="12" t="s">
        <v>169</v>
      </c>
      <c r="AI209" s="12" t="s">
        <v>89</v>
      </c>
      <c r="AJ209" s="12" t="s">
        <v>89</v>
      </c>
      <c r="AK209" s="12" t="s">
        <v>89</v>
      </c>
      <c r="AL209" s="12" t="s">
        <v>141</v>
      </c>
      <c r="AM209" s="12" t="s">
        <v>91</v>
      </c>
      <c r="AN209" s="17" t="s">
        <v>92</v>
      </c>
    </row>
    <row r="210" spans="1:40">
      <c r="A210" s="12" t="s">
        <v>74</v>
      </c>
      <c r="B210" s="12" t="s">
        <v>75</v>
      </c>
      <c r="C210" s="12" t="s">
        <v>76</v>
      </c>
      <c r="D210" s="12" t="s">
        <v>720</v>
      </c>
      <c r="E210" s="12" t="s">
        <v>102</v>
      </c>
      <c r="F210" s="12" t="s">
        <v>847</v>
      </c>
      <c r="G210" s="12" t="s">
        <v>848</v>
      </c>
      <c r="H210" s="34" t="s">
        <v>849</v>
      </c>
      <c r="I210" s="12" t="s">
        <v>82</v>
      </c>
      <c r="J210" s="12" t="s">
        <v>106</v>
      </c>
      <c r="K210" s="18">
        <v>0</v>
      </c>
      <c r="L210" s="18">
        <v>0</v>
      </c>
      <c r="M210" s="12" t="s">
        <v>121</v>
      </c>
      <c r="N210" s="35">
        <v>99897</v>
      </c>
      <c r="O210" s="35">
        <v>99879.63</v>
      </c>
      <c r="P210" s="35">
        <v>99879.63</v>
      </c>
      <c r="Q210" s="35">
        <v>91645.05</v>
      </c>
      <c r="R210" s="18">
        <f>N210-O210</f>
        <v>17.369999999995343</v>
      </c>
      <c r="S210" s="18">
        <f>O210-P210</f>
        <v>0.0</v>
      </c>
      <c r="T210" s="18">
        <f>N210-Q210</f>
        <v>8251.949999999997</v>
      </c>
      <c r="U210" s="36">
        <f>IF(N210&gt;0,Q210/N210,0)</f>
        <v>0.9173954172797982</v>
      </c>
      <c r="V210" s="35">
        <v>2938756.08</v>
      </c>
      <c r="W210" s="35">
        <v>267828.78</v>
      </c>
      <c r="X210" s="36">
        <v>0.09113678464937451</v>
      </c>
      <c r="Y210" s="35">
        <v>783894</v>
      </c>
      <c r="Z210" s="17" t="s">
        <v>108</v>
      </c>
      <c r="AA210" s="35">
        <v>50000</v>
      </c>
      <c r="AB210" s="35">
        <v>1278678</v>
      </c>
      <c r="AC210" s="35">
        <v>0</v>
      </c>
      <c r="AD210" s="35">
        <v>1000000</v>
      </c>
      <c r="AE210" s="12" t="s">
        <v>86</v>
      </c>
      <c r="AF210" s="12" t="s">
        <v>87</v>
      </c>
      <c r="AG210" s="18">
        <v>-1</v>
      </c>
      <c r="AH210" s="12" t="s">
        <v>169</v>
      </c>
      <c r="AI210" s="12" t="s">
        <v>89</v>
      </c>
      <c r="AJ210" s="12" t="s">
        <v>89</v>
      </c>
      <c r="AK210" s="12" t="s">
        <v>89</v>
      </c>
      <c r="AL210" s="12" t="s">
        <v>141</v>
      </c>
      <c r="AM210" s="12" t="s">
        <v>91</v>
      </c>
      <c r="AN210" s="17" t="s">
        <v>92</v>
      </c>
    </row>
    <row r="211" spans="1:40">
      <c r="A211" s="12" t="s">
        <v>74</v>
      </c>
      <c r="B211" s="12" t="s">
        <v>75</v>
      </c>
      <c r="C211" s="12" t="s">
        <v>76</v>
      </c>
      <c r="D211" s="12" t="s">
        <v>720</v>
      </c>
      <c r="E211" s="12" t="s">
        <v>102</v>
      </c>
      <c r="F211" s="12" t="s">
        <v>850</v>
      </c>
      <c r="G211" s="12" t="s">
        <v>851</v>
      </c>
      <c r="H211" s="34" t="s">
        <v>852</v>
      </c>
      <c r="I211" s="12" t="s">
        <v>82</v>
      </c>
      <c r="J211" s="12" t="s">
        <v>83</v>
      </c>
      <c r="K211" s="18">
        <v>0</v>
      </c>
      <c r="L211" s="18">
        <v>0</v>
      </c>
      <c r="M211" s="12" t="s">
        <v>84</v>
      </c>
      <c r="N211" s="35">
        <v>332000</v>
      </c>
      <c r="O211" s="35">
        <v>332000</v>
      </c>
      <c r="P211" s="35">
        <v>250000</v>
      </c>
      <c r="Q211" s="35">
        <v>165235.17</v>
      </c>
      <c r="R211" s="18">
        <f>N211-O211</f>
        <v>0.0</v>
      </c>
      <c r="S211" s="18">
        <f>O211-P211</f>
        <v>82000.0</v>
      </c>
      <c r="T211" s="18">
        <f>N211-Q211</f>
        <v>166764.83000000002</v>
      </c>
      <c r="U211" s="36">
        <f>IF(N211&gt;0,Q211/N211,0)</f>
        <v>0.49769629518072284</v>
      </c>
      <c r="V211" s="35">
        <v>5797658.1</v>
      </c>
      <c r="W211" s="35">
        <v>165235.17</v>
      </c>
      <c r="X211" s="36">
        <v>0.02850033015917238</v>
      </c>
      <c r="Y211" s="35">
        <v>332000</v>
      </c>
      <c r="Z211" s="17" t="s">
        <v>85</v>
      </c>
      <c r="AA211" s="35">
        <v>50000</v>
      </c>
      <c r="AB211" s="35">
        <v>0</v>
      </c>
      <c r="AC211" s="35">
        <v>0</v>
      </c>
      <c r="AD211" s="35">
        <v>50000</v>
      </c>
      <c r="AE211" s="12" t="s">
        <v>86</v>
      </c>
      <c r="AF211" s="12" t="s">
        <v>87</v>
      </c>
      <c r="AG211" s="18">
        <v>-1</v>
      </c>
      <c r="AH211" s="12" t="s">
        <v>169</v>
      </c>
      <c r="AI211" s="12" t="s">
        <v>89</v>
      </c>
      <c r="AJ211" s="12" t="s">
        <v>89</v>
      </c>
      <c r="AK211" s="12" t="s">
        <v>89</v>
      </c>
      <c r="AL211" s="12" t="s">
        <v>141</v>
      </c>
      <c r="AM211" s="12" t="s">
        <v>91</v>
      </c>
      <c r="AN211" s="17" t="s">
        <v>92</v>
      </c>
    </row>
    <row r="212" spans="1:40">
      <c r="A212" s="12" t="s">
        <v>74</v>
      </c>
      <c r="B212" s="12" t="s">
        <v>75</v>
      </c>
      <c r="C212" s="12" t="s">
        <v>76</v>
      </c>
      <c r="D212" s="12" t="s">
        <v>720</v>
      </c>
      <c r="E212" s="12" t="s">
        <v>102</v>
      </c>
      <c r="F212" s="12" t="s">
        <v>853</v>
      </c>
      <c r="G212" s="12" t="s">
        <v>854</v>
      </c>
      <c r="H212" s="34" t="s">
        <v>855</v>
      </c>
      <c r="I212" s="12" t="s">
        <v>82</v>
      </c>
      <c r="J212" s="12" t="s">
        <v>149</v>
      </c>
      <c r="K212" s="18">
        <v>0</v>
      </c>
      <c r="L212" s="18">
        <v>0</v>
      </c>
      <c r="M212" s="12" t="s">
        <v>150</v>
      </c>
      <c r="N212" s="35">
        <v>0</v>
      </c>
      <c r="O212" s="35">
        <v>0</v>
      </c>
      <c r="P212" s="35">
        <v>0</v>
      </c>
      <c r="Q212" s="35">
        <v>0</v>
      </c>
      <c r="R212" s="18">
        <f>N212-O212</f>
        <v>0.0</v>
      </c>
      <c r="S212" s="18">
        <f>O212-P212</f>
        <v>0.0</v>
      </c>
      <c r="T212" s="18">
        <f>N212-Q212</f>
        <v>0.0</v>
      </c>
      <c r="U212" s="36">
        <f>IF(N212&gt;0,Q212/N212,0)</f>
        <v>0</v>
      </c>
      <c r="V212" s="35">
        <v>6387037.09</v>
      </c>
      <c r="W212" s="35">
        <v>0</v>
      </c>
      <c r="X212" s="36">
        <v>0</v>
      </c>
      <c r="Y212" s="35">
        <v>50000</v>
      </c>
      <c r="Z212" s="17" t="s">
        <v>85</v>
      </c>
      <c r="AA212" s="35">
        <v>50000</v>
      </c>
      <c r="AB212" s="35">
        <v>0</v>
      </c>
      <c r="AC212" s="35">
        <v>0</v>
      </c>
      <c r="AD212" s="35">
        <v>2500000</v>
      </c>
      <c r="AE212" s="12" t="s">
        <v>86</v>
      </c>
      <c r="AF212" s="12" t="s">
        <v>87</v>
      </c>
      <c r="AG212" s="18">
        <v>-1</v>
      </c>
      <c r="AH212" s="12" t="s">
        <v>145</v>
      </c>
      <c r="AI212" s="12" t="s">
        <v>89</v>
      </c>
      <c r="AJ212" s="12" t="s">
        <v>89</v>
      </c>
      <c r="AK212" s="12" t="s">
        <v>89</v>
      </c>
      <c r="AL212" s="12" t="s">
        <v>141</v>
      </c>
      <c r="AM212" s="12" t="s">
        <v>91</v>
      </c>
      <c r="AN212" s="17" t="s">
        <v>92</v>
      </c>
    </row>
    <row r="213" spans="1:40">
      <c r="A213" s="12" t="s">
        <v>74</v>
      </c>
      <c r="B213" s="12" t="s">
        <v>75</v>
      </c>
      <c r="C213" s="12" t="s">
        <v>76</v>
      </c>
      <c r="D213" s="12" t="s">
        <v>720</v>
      </c>
      <c r="E213" s="12" t="s">
        <v>102</v>
      </c>
      <c r="F213" s="12" t="s">
        <v>856</v>
      </c>
      <c r="G213" s="12" t="s">
        <v>857</v>
      </c>
      <c r="H213" s="34" t="s">
        <v>858</v>
      </c>
      <c r="I213" s="12" t="s">
        <v>82</v>
      </c>
      <c r="J213" s="12" t="s">
        <v>83</v>
      </c>
      <c r="K213" s="18">
        <v>0</v>
      </c>
      <c r="L213" s="18">
        <v>0</v>
      </c>
      <c r="M213" s="12" t="s">
        <v>84</v>
      </c>
      <c r="N213" s="35">
        <v>100000</v>
      </c>
      <c r="O213" s="35">
        <v>50000</v>
      </c>
      <c r="P213" s="35">
        <v>50000</v>
      </c>
      <c r="Q213" s="35">
        <v>0</v>
      </c>
      <c r="R213" s="18">
        <f>N213-O213</f>
        <v>50000.0</v>
      </c>
      <c r="S213" s="18">
        <f>O213-P213</f>
        <v>0.0</v>
      </c>
      <c r="T213" s="18">
        <f>N213-Q213</f>
        <v>100000.0</v>
      </c>
      <c r="U213" s="36">
        <f>IF(N213&gt;0,Q213/N213,0)</f>
        <v>0.0</v>
      </c>
      <c r="V213" s="35">
        <v>39964927.6</v>
      </c>
      <c r="W213" s="35">
        <v>577911.84</v>
      </c>
      <c r="X213" s="36">
        <v>0.01446047508916293</v>
      </c>
      <c r="Y213" s="35">
        <v>100000</v>
      </c>
      <c r="Z213" s="17" t="s">
        <v>122</v>
      </c>
      <c r="AA213" s="35">
        <v>100000</v>
      </c>
      <c r="AB213" s="35">
        <v>567456</v>
      </c>
      <c r="AC213" s="35">
        <v>15577911</v>
      </c>
      <c r="AD213" s="35">
        <v>23141649</v>
      </c>
      <c r="AE213" s="12" t="s">
        <v>86</v>
      </c>
      <c r="AF213" s="12" t="s">
        <v>87</v>
      </c>
      <c r="AG213" s="18">
        <v>-1</v>
      </c>
      <c r="AH213" s="12" t="s">
        <v>169</v>
      </c>
      <c r="AI213" s="12" t="s">
        <v>89</v>
      </c>
      <c r="AJ213" s="12" t="s">
        <v>89</v>
      </c>
      <c r="AK213" s="12" t="s">
        <v>89</v>
      </c>
      <c r="AL213" s="12" t="s">
        <v>141</v>
      </c>
      <c r="AM213" s="12" t="s">
        <v>91</v>
      </c>
      <c r="AN213" s="17" t="s">
        <v>92</v>
      </c>
    </row>
    <row r="214" spans="1:40">
      <c r="A214" s="12" t="s">
        <v>74</v>
      </c>
      <c r="B214" s="12" t="s">
        <v>75</v>
      </c>
      <c r="C214" s="12" t="s">
        <v>76</v>
      </c>
      <c r="D214" s="12" t="s">
        <v>720</v>
      </c>
      <c r="E214" s="12" t="s">
        <v>102</v>
      </c>
      <c r="F214" s="12" t="s">
        <v>859</v>
      </c>
      <c r="G214" s="12" t="s">
        <v>860</v>
      </c>
      <c r="H214" s="34" t="s">
        <v>861</v>
      </c>
      <c r="I214" s="12" t="s">
        <v>82</v>
      </c>
      <c r="J214" s="12" t="s">
        <v>83</v>
      </c>
      <c r="K214" s="18">
        <v>0</v>
      </c>
      <c r="L214" s="18">
        <v>0</v>
      </c>
      <c r="M214" s="12" t="s">
        <v>84</v>
      </c>
      <c r="N214" s="35">
        <v>408761</v>
      </c>
      <c r="O214" s="35">
        <v>356083</v>
      </c>
      <c r="P214" s="35">
        <v>356083</v>
      </c>
      <c r="Q214" s="35">
        <v>242446.26</v>
      </c>
      <c r="R214" s="18">
        <f>N214-O214</f>
        <v>52678.0</v>
      </c>
      <c r="S214" s="18">
        <f>O214-P214</f>
        <v>0.0</v>
      </c>
      <c r="T214" s="18">
        <f>N214-Q214</f>
        <v>166314.74000000002</v>
      </c>
      <c r="U214" s="36">
        <f>IF(N214&gt;0,Q214/N214,0)</f>
        <v>0.5931247354811247</v>
      </c>
      <c r="V214" s="35">
        <v>10550415.14</v>
      </c>
      <c r="W214" s="35">
        <v>651667.71</v>
      </c>
      <c r="X214" s="36">
        <v>0.06176702066720759</v>
      </c>
      <c r="Y214" s="35">
        <v>408761</v>
      </c>
      <c r="Z214" s="17" t="s">
        <v>85</v>
      </c>
      <c r="AA214" s="35">
        <v>2981000</v>
      </c>
      <c r="AB214" s="35">
        <v>2654845</v>
      </c>
      <c r="AC214" s="35">
        <v>0</v>
      </c>
      <c r="AD214" s="35">
        <v>1000000</v>
      </c>
      <c r="AE214" s="12" t="s">
        <v>86</v>
      </c>
      <c r="AF214" s="12" t="s">
        <v>87</v>
      </c>
      <c r="AG214" s="18">
        <v>-1</v>
      </c>
      <c r="AH214" s="12" t="s">
        <v>169</v>
      </c>
      <c r="AI214" s="12" t="s">
        <v>89</v>
      </c>
      <c r="AJ214" s="12" t="s">
        <v>89</v>
      </c>
      <c r="AK214" s="12" t="s">
        <v>89</v>
      </c>
      <c r="AL214" s="12" t="s">
        <v>141</v>
      </c>
      <c r="AM214" s="12" t="s">
        <v>91</v>
      </c>
      <c r="AN214" s="17" t="s">
        <v>92</v>
      </c>
    </row>
    <row r="215" spans="1:40">
      <c r="A215" s="12" t="s">
        <v>74</v>
      </c>
      <c r="B215" s="12" t="s">
        <v>75</v>
      </c>
      <c r="C215" s="12" t="s">
        <v>76</v>
      </c>
      <c r="D215" s="12" t="s">
        <v>720</v>
      </c>
      <c r="E215" s="12" t="s">
        <v>102</v>
      </c>
      <c r="F215" s="12" t="s">
        <v>862</v>
      </c>
      <c r="G215" s="12" t="s">
        <v>863</v>
      </c>
      <c r="H215" s="34" t="s">
        <v>864</v>
      </c>
      <c r="I215" s="12" t="s">
        <v>82</v>
      </c>
      <c r="J215" s="12" t="s">
        <v>83</v>
      </c>
      <c r="K215" s="18">
        <v>0</v>
      </c>
      <c r="L215" s="18">
        <v>0</v>
      </c>
      <c r="M215" s="12" t="s">
        <v>84</v>
      </c>
      <c r="N215" s="35">
        <v>261704</v>
      </c>
      <c r="O215" s="35">
        <v>261704</v>
      </c>
      <c r="P215" s="35">
        <v>261704</v>
      </c>
      <c r="Q215" s="35">
        <v>134683.19</v>
      </c>
      <c r="R215" s="18">
        <f>N215-O215</f>
        <v>0.0</v>
      </c>
      <c r="S215" s="18">
        <f>O215-P215</f>
        <v>0.0</v>
      </c>
      <c r="T215" s="18">
        <f>N215-Q215</f>
        <v>127020.81000000003</v>
      </c>
      <c r="U215" s="36">
        <f>IF(N215&gt;0,Q215/N215,0)</f>
        <v>0.5146394017668816</v>
      </c>
      <c r="V215" s="35">
        <v>19954662.54</v>
      </c>
      <c r="W215" s="35">
        <v>665540.23</v>
      </c>
      <c r="X215" s="36">
        <v>0.03335261764842654</v>
      </c>
      <c r="Y215" s="35">
        <v>261704</v>
      </c>
      <c r="Z215" s="17" t="s">
        <v>85</v>
      </c>
      <c r="AA215" s="35">
        <v>3500504</v>
      </c>
      <c r="AB215" s="35">
        <v>587541</v>
      </c>
      <c r="AC215" s="35">
        <v>0</v>
      </c>
      <c r="AD215" s="35">
        <v>1000000</v>
      </c>
      <c r="AE215" s="12" t="s">
        <v>86</v>
      </c>
      <c r="AF215" s="12" t="s">
        <v>87</v>
      </c>
      <c r="AG215" s="18">
        <v>-1</v>
      </c>
      <c r="AH215" s="12" t="s">
        <v>169</v>
      </c>
      <c r="AI215" s="12" t="s">
        <v>89</v>
      </c>
      <c r="AJ215" s="12" t="s">
        <v>89</v>
      </c>
      <c r="AK215" s="12" t="s">
        <v>89</v>
      </c>
      <c r="AL215" s="12" t="s">
        <v>141</v>
      </c>
      <c r="AM215" s="12" t="s">
        <v>91</v>
      </c>
      <c r="AN215" s="17" t="s">
        <v>92</v>
      </c>
    </row>
    <row r="216" spans="1:40">
      <c r="A216" s="12" t="s">
        <v>74</v>
      </c>
      <c r="B216" s="12" t="s">
        <v>75</v>
      </c>
      <c r="C216" s="12" t="s">
        <v>76</v>
      </c>
      <c r="D216" s="12" t="s">
        <v>720</v>
      </c>
      <c r="E216" s="12" t="s">
        <v>102</v>
      </c>
      <c r="F216" s="12" t="s">
        <v>865</v>
      </c>
      <c r="G216" s="12" t="s">
        <v>866</v>
      </c>
      <c r="H216" s="34" t="s">
        <v>867</v>
      </c>
      <c r="I216" s="12" t="s">
        <v>82</v>
      </c>
      <c r="J216" s="12" t="s">
        <v>83</v>
      </c>
      <c r="K216" s="18">
        <v>0</v>
      </c>
      <c r="L216" s="18">
        <v>0</v>
      </c>
      <c r="M216" s="12" t="s">
        <v>84</v>
      </c>
      <c r="N216" s="35">
        <v>5089845</v>
      </c>
      <c r="O216" s="35">
        <v>5089845</v>
      </c>
      <c r="P216" s="35">
        <v>5064673</v>
      </c>
      <c r="Q216" s="35">
        <v>1952934.61</v>
      </c>
      <c r="R216" s="18">
        <f>N216-O216</f>
        <v>0.0</v>
      </c>
      <c r="S216" s="18">
        <f>O216-P216</f>
        <v>25172.0</v>
      </c>
      <c r="T216" s="18">
        <f>N216-Q216</f>
        <v>3136910.3899999997</v>
      </c>
      <c r="U216" s="36">
        <f>IF(N216&gt;0,Q216/N216,0)</f>
        <v>0.38369235408936814</v>
      </c>
      <c r="V216" s="35">
        <v>22387874.09</v>
      </c>
      <c r="W216" s="35">
        <v>2466403.48</v>
      </c>
      <c r="X216" s="36">
        <v>0.1101669354618029</v>
      </c>
      <c r="Y216" s="35">
        <v>5089845</v>
      </c>
      <c r="Z216" s="17" t="s">
        <v>85</v>
      </c>
      <c r="AA216" s="35">
        <v>6239845</v>
      </c>
      <c r="AB216" s="35">
        <v>8796121</v>
      </c>
      <c r="AC216" s="35">
        <v>0</v>
      </c>
      <c r="AD216" s="35">
        <v>7055000</v>
      </c>
      <c r="AE216" s="12" t="s">
        <v>86</v>
      </c>
      <c r="AF216" s="12" t="s">
        <v>87</v>
      </c>
      <c r="AG216" s="18">
        <v>-1</v>
      </c>
      <c r="AH216" s="12" t="s">
        <v>145</v>
      </c>
      <c r="AI216" s="12" t="s">
        <v>89</v>
      </c>
      <c r="AJ216" s="12" t="s">
        <v>89</v>
      </c>
      <c r="AK216" s="12" t="s">
        <v>89</v>
      </c>
      <c r="AL216" s="12" t="s">
        <v>141</v>
      </c>
      <c r="AM216" s="12" t="s">
        <v>91</v>
      </c>
      <c r="AN216" s="17" t="s">
        <v>92</v>
      </c>
    </row>
    <row r="217" spans="1:40">
      <c r="A217" s="12" t="s">
        <v>74</v>
      </c>
      <c r="B217" s="12" t="s">
        <v>75</v>
      </c>
      <c r="C217" s="12" t="s">
        <v>76</v>
      </c>
      <c r="D217" s="12" t="s">
        <v>720</v>
      </c>
      <c r="E217" s="12" t="s">
        <v>102</v>
      </c>
      <c r="F217" s="12" t="s">
        <v>868</v>
      </c>
      <c r="G217" s="12" t="s">
        <v>869</v>
      </c>
      <c r="H217" s="34" t="s">
        <v>870</v>
      </c>
      <c r="I217" s="12" t="s">
        <v>82</v>
      </c>
      <c r="J217" s="12" t="s">
        <v>83</v>
      </c>
      <c r="K217" s="18">
        <v>0</v>
      </c>
      <c r="L217" s="18">
        <v>0</v>
      </c>
      <c r="M217" s="12" t="s">
        <v>84</v>
      </c>
      <c r="N217" s="35">
        <v>4863</v>
      </c>
      <c r="O217" s="35">
        <v>4863</v>
      </c>
      <c r="P217" s="35">
        <v>0</v>
      </c>
      <c r="Q217" s="35">
        <v>0</v>
      </c>
      <c r="R217" s="18">
        <f>N217-O217</f>
        <v>0.0</v>
      </c>
      <c r="S217" s="18">
        <f>O217-P217</f>
        <v>4863.0</v>
      </c>
      <c r="T217" s="18">
        <f>N217-Q217</f>
        <v>4863.0</v>
      </c>
      <c r="U217" s="36">
        <f>IF(N217&gt;0,Q217/N217,0)</f>
        <v>0.0</v>
      </c>
      <c r="V217" s="35">
        <v>21811647.94</v>
      </c>
      <c r="W217" s="35">
        <v>593936.46</v>
      </c>
      <c r="X217" s="36">
        <v>0.02723024237479967</v>
      </c>
      <c r="Y217" s="35">
        <v>2013582</v>
      </c>
      <c r="Z217" s="17" t="s">
        <v>85</v>
      </c>
      <c r="AA217" s="35">
        <v>3832600</v>
      </c>
      <c r="AB217" s="35">
        <v>5698456</v>
      </c>
      <c r="AC217" s="35">
        <v>6500000</v>
      </c>
      <c r="AD217" s="35">
        <v>7136543</v>
      </c>
      <c r="AE217" s="12" t="s">
        <v>86</v>
      </c>
      <c r="AF217" s="12" t="s">
        <v>87</v>
      </c>
      <c r="AG217" s="18">
        <v>-1</v>
      </c>
      <c r="AH217" s="12" t="s">
        <v>169</v>
      </c>
      <c r="AI217" s="12" t="s">
        <v>89</v>
      </c>
      <c r="AJ217" s="12" t="s">
        <v>89</v>
      </c>
      <c r="AK217" s="12" t="s">
        <v>89</v>
      </c>
      <c r="AL217" s="12" t="s">
        <v>141</v>
      </c>
      <c r="AM217" s="12" t="s">
        <v>91</v>
      </c>
      <c r="AN217" s="17" t="s">
        <v>92</v>
      </c>
    </row>
    <row r="218" spans="1:40">
      <c r="A218" s="12" t="s">
        <v>74</v>
      </c>
      <c r="B218" s="12" t="s">
        <v>75</v>
      </c>
      <c r="C218" s="12" t="s">
        <v>76</v>
      </c>
      <c r="D218" s="12" t="s">
        <v>720</v>
      </c>
      <c r="E218" s="12" t="s">
        <v>102</v>
      </c>
      <c r="F218" s="12" t="s">
        <v>871</v>
      </c>
      <c r="G218" s="12" t="s">
        <v>872</v>
      </c>
      <c r="H218" s="34" t="s">
        <v>873</v>
      </c>
      <c r="I218" s="12" t="s">
        <v>82</v>
      </c>
      <c r="J218" s="12" t="s">
        <v>272</v>
      </c>
      <c r="K218" s="18">
        <v>270568</v>
      </c>
      <c r="L218" s="18">
        <v>0</v>
      </c>
      <c r="M218" s="12" t="s">
        <v>874</v>
      </c>
      <c r="N218" s="35">
        <v>5931027</v>
      </c>
      <c r="O218" s="35">
        <v>5660459</v>
      </c>
      <c r="P218" s="35">
        <v>5660459</v>
      </c>
      <c r="Q218" s="35">
        <v>1327663.78</v>
      </c>
      <c r="R218" s="18">
        <f>N218-O218</f>
        <v>270568.0</v>
      </c>
      <c r="S218" s="18">
        <f>O218-P218</f>
        <v>0.0</v>
      </c>
      <c r="T218" s="18">
        <f>N218-Q218</f>
        <v>4603363.22</v>
      </c>
      <c r="U218" s="36">
        <f>IF(N218&gt;0,Q218/N218,0)</f>
        <v>0.22385057090449934</v>
      </c>
      <c r="V218" s="35">
        <v>16103043.71</v>
      </c>
      <c r="W218" s="35">
        <v>2096963.45</v>
      </c>
      <c r="X218" s="36">
        <v>0.1302215585925401</v>
      </c>
      <c r="Y218" s="35">
        <v>574676</v>
      </c>
      <c r="Z218" s="17" t="s">
        <v>122</v>
      </c>
      <c r="AA218" s="35">
        <v>2769903</v>
      </c>
      <c r="AB218" s="35">
        <v>8258956</v>
      </c>
      <c r="AC218" s="35">
        <v>6230701</v>
      </c>
      <c r="AD218" s="35">
        <v>366030</v>
      </c>
      <c r="AE218" s="12" t="s">
        <v>86</v>
      </c>
      <c r="AF218" s="12" t="s">
        <v>87</v>
      </c>
      <c r="AG218" s="18">
        <v>0</v>
      </c>
      <c r="AH218" s="12" t="s">
        <v>145</v>
      </c>
      <c r="AI218" s="12" t="s">
        <v>89</v>
      </c>
      <c r="AJ218" s="12" t="s">
        <v>89</v>
      </c>
      <c r="AK218" s="12" t="s">
        <v>89</v>
      </c>
      <c r="AL218" s="12" t="s">
        <v>141</v>
      </c>
      <c r="AM218" s="12" t="s">
        <v>91</v>
      </c>
      <c r="AN218" s="17" t="s">
        <v>92</v>
      </c>
    </row>
    <row r="219" spans="1:40">
      <c r="A219" s="12" t="s">
        <v>74</v>
      </c>
      <c r="B219" s="12" t="s">
        <v>75</v>
      </c>
      <c r="C219" s="12" t="s">
        <v>76</v>
      </c>
      <c r="D219" s="12" t="s">
        <v>720</v>
      </c>
      <c r="E219" s="12" t="s">
        <v>102</v>
      </c>
      <c r="F219" s="12" t="s">
        <v>875</v>
      </c>
      <c r="G219" s="12" t="s">
        <v>876</v>
      </c>
      <c r="H219" s="34" t="s">
        <v>877</v>
      </c>
      <c r="I219" s="12" t="s">
        <v>82</v>
      </c>
      <c r="J219" s="12" t="s">
        <v>83</v>
      </c>
      <c r="K219" s="18">
        <v>0</v>
      </c>
      <c r="L219" s="18">
        <v>0</v>
      </c>
      <c r="M219" s="12" t="s">
        <v>84</v>
      </c>
      <c r="N219" s="35">
        <v>178134</v>
      </c>
      <c r="O219" s="35">
        <v>178134</v>
      </c>
      <c r="P219" s="35">
        <v>178134</v>
      </c>
      <c r="Q219" s="35">
        <v>122423.54</v>
      </c>
      <c r="R219" s="18">
        <f>N219-O219</f>
        <v>0.0</v>
      </c>
      <c r="S219" s="18">
        <f>O219-P219</f>
        <v>0.0</v>
      </c>
      <c r="T219" s="18">
        <f>N219-Q219</f>
        <v>55710.45999999999</v>
      </c>
      <c r="U219" s="36">
        <f>IF(N219&gt;0,Q219/N219,0)</f>
        <v>0.6872553246432461</v>
      </c>
      <c r="V219" s="35">
        <v>12239864.41</v>
      </c>
      <c r="W219" s="35">
        <v>571284.21</v>
      </c>
      <c r="X219" s="36">
        <v>0.04667406360590558</v>
      </c>
      <c r="Y219" s="35">
        <v>178134</v>
      </c>
      <c r="Z219" s="17" t="s">
        <v>85</v>
      </c>
      <c r="AA219" s="35">
        <v>2805112</v>
      </c>
      <c r="AB219" s="35">
        <v>4556857</v>
      </c>
      <c r="AC219" s="35">
        <v>0</v>
      </c>
      <c r="AD219" s="35">
        <v>0</v>
      </c>
      <c r="AE219" s="12" t="s">
        <v>86</v>
      </c>
      <c r="AF219" s="12" t="s">
        <v>87</v>
      </c>
      <c r="AG219" s="18">
        <v>-1</v>
      </c>
      <c r="AH219" s="12" t="s">
        <v>169</v>
      </c>
      <c r="AI219" s="12" t="s">
        <v>89</v>
      </c>
      <c r="AJ219" s="12" t="s">
        <v>89</v>
      </c>
      <c r="AK219" s="12" t="s">
        <v>89</v>
      </c>
      <c r="AL219" s="12" t="s">
        <v>141</v>
      </c>
      <c r="AM219" s="12" t="s">
        <v>91</v>
      </c>
      <c r="AN219" s="17" t="s">
        <v>92</v>
      </c>
    </row>
    <row r="220" spans="1:40">
      <c r="A220" s="12" t="s">
        <v>74</v>
      </c>
      <c r="B220" s="12" t="s">
        <v>75</v>
      </c>
      <c r="C220" s="12" t="s">
        <v>76</v>
      </c>
      <c r="D220" s="12" t="s">
        <v>720</v>
      </c>
      <c r="E220" s="12" t="s">
        <v>102</v>
      </c>
      <c r="F220" s="12" t="s">
        <v>878</v>
      </c>
      <c r="G220" s="12" t="s">
        <v>879</v>
      </c>
      <c r="H220" s="34" t="s">
        <v>880</v>
      </c>
      <c r="I220" s="12" t="s">
        <v>82</v>
      </c>
      <c r="J220" s="12" t="s">
        <v>83</v>
      </c>
      <c r="K220" s="18">
        <v>0</v>
      </c>
      <c r="L220" s="18">
        <v>0</v>
      </c>
      <c r="M220" s="12" t="s">
        <v>84</v>
      </c>
      <c r="N220" s="35">
        <v>220481</v>
      </c>
      <c r="O220" s="35">
        <v>194522</v>
      </c>
      <c r="P220" s="35">
        <v>194522</v>
      </c>
      <c r="Q220" s="35">
        <v>80473.12</v>
      </c>
      <c r="R220" s="18">
        <f>N220-O220</f>
        <v>25959.0</v>
      </c>
      <c r="S220" s="18">
        <f>O220-P220</f>
        <v>0.0</v>
      </c>
      <c r="T220" s="18">
        <f>N220-Q220</f>
        <v>140007.88</v>
      </c>
      <c r="U220" s="36">
        <f>IF(N220&gt;0,Q220/N220,0)</f>
        <v>0.3649889106090774</v>
      </c>
      <c r="V220" s="35">
        <v>13222140.86</v>
      </c>
      <c r="W220" s="35">
        <v>426310.34</v>
      </c>
      <c r="X220" s="36">
        <v>0.03224215688774625</v>
      </c>
      <c r="Y220" s="35">
        <v>265281</v>
      </c>
      <c r="Z220" s="17" t="s">
        <v>85</v>
      </c>
      <c r="AA220" s="35">
        <v>2000000</v>
      </c>
      <c r="AB220" s="35">
        <v>5654259</v>
      </c>
      <c r="AC220" s="35">
        <v>0</v>
      </c>
      <c r="AD220" s="35">
        <v>500000</v>
      </c>
      <c r="AE220" s="12" t="s">
        <v>86</v>
      </c>
      <c r="AF220" s="12" t="s">
        <v>87</v>
      </c>
      <c r="AG220" s="18">
        <v>-1</v>
      </c>
      <c r="AH220" s="12" t="s">
        <v>169</v>
      </c>
      <c r="AI220" s="12" t="s">
        <v>89</v>
      </c>
      <c r="AJ220" s="12" t="s">
        <v>89</v>
      </c>
      <c r="AK220" s="12" t="s">
        <v>89</v>
      </c>
      <c r="AL220" s="12" t="s">
        <v>141</v>
      </c>
      <c r="AM220" s="12" t="s">
        <v>91</v>
      </c>
      <c r="AN220" s="17" t="s">
        <v>92</v>
      </c>
    </row>
    <row r="221" spans="1:40">
      <c r="A221" s="12" t="s">
        <v>74</v>
      </c>
      <c r="B221" s="12" t="s">
        <v>75</v>
      </c>
      <c r="C221" s="12" t="s">
        <v>76</v>
      </c>
      <c r="D221" s="12" t="s">
        <v>720</v>
      </c>
      <c r="E221" s="12" t="s">
        <v>102</v>
      </c>
      <c r="F221" s="12" t="s">
        <v>881</v>
      </c>
      <c r="G221" s="12" t="s">
        <v>882</v>
      </c>
      <c r="H221" s="34" t="s">
        <v>883</v>
      </c>
      <c r="I221" s="12" t="s">
        <v>82</v>
      </c>
      <c r="J221" s="12" t="s">
        <v>149</v>
      </c>
      <c r="K221" s="18">
        <v>0</v>
      </c>
      <c r="L221" s="18">
        <v>0</v>
      </c>
      <c r="M221" s="12" t="s">
        <v>150</v>
      </c>
      <c r="N221" s="35">
        <v>0</v>
      </c>
      <c r="O221" s="35">
        <v>0</v>
      </c>
      <c r="P221" s="35">
        <v>0</v>
      </c>
      <c r="Q221" s="35">
        <v>0</v>
      </c>
      <c r="R221" s="18">
        <f>N221-O221</f>
        <v>0.0</v>
      </c>
      <c r="S221" s="18">
        <f>O221-P221</f>
        <v>0.0</v>
      </c>
      <c r="T221" s="18">
        <f>N221-Q221</f>
        <v>0.0</v>
      </c>
      <c r="U221" s="36">
        <f>IF(N221&gt;0,Q221/N221,0)</f>
        <v>0</v>
      </c>
      <c r="V221" s="35">
        <v>839388</v>
      </c>
      <c r="W221" s="35">
        <v>158140.59</v>
      </c>
      <c r="X221" s="36">
        <v>0.1883998699052166</v>
      </c>
      <c r="Y221" s="17" t="s">
        <v>151</v>
      </c>
      <c r="Z221" s="17" t="s">
        <v>884</v>
      </c>
      <c r="AA221" s="35">
        <v>100000</v>
      </c>
      <c r="AB221" s="35">
        <v>0</v>
      </c>
      <c r="AC221" s="35">
        <v>0</v>
      </c>
      <c r="AD221" s="35">
        <v>0</v>
      </c>
      <c r="AE221" s="12" t="s">
        <v>203</v>
      </c>
      <c r="AF221" s="12" t="s">
        <v>87</v>
      </c>
      <c r="AG221" s="18">
        <v>-1</v>
      </c>
      <c r="AH221" s="12" t="s">
        <v>145</v>
      </c>
      <c r="AI221" s="12" t="s">
        <v>89</v>
      </c>
      <c r="AJ221" s="12" t="s">
        <v>89</v>
      </c>
      <c r="AK221" s="12" t="s">
        <v>89</v>
      </c>
      <c r="AL221" s="12" t="s">
        <v>141</v>
      </c>
      <c r="AM221" s="12" t="s">
        <v>91</v>
      </c>
      <c r="AN221" s="17" t="s">
        <v>92</v>
      </c>
    </row>
    <row r="222" spans="1:40">
      <c r="A222" s="12" t="s">
        <v>74</v>
      </c>
      <c r="B222" s="12" t="s">
        <v>75</v>
      </c>
      <c r="C222" s="12" t="s">
        <v>76</v>
      </c>
      <c r="D222" s="12" t="s">
        <v>720</v>
      </c>
      <c r="E222" s="12" t="s">
        <v>102</v>
      </c>
      <c r="F222" s="12" t="s">
        <v>885</v>
      </c>
      <c r="G222" s="12" t="s">
        <v>886</v>
      </c>
      <c r="H222" s="34" t="s">
        <v>887</v>
      </c>
      <c r="I222" s="12" t="s">
        <v>82</v>
      </c>
      <c r="J222" s="12" t="s">
        <v>149</v>
      </c>
      <c r="K222" s="18">
        <v>0</v>
      </c>
      <c r="L222" s="18">
        <v>0</v>
      </c>
      <c r="M222" s="12" t="s">
        <v>150</v>
      </c>
      <c r="N222" s="35">
        <v>0</v>
      </c>
      <c r="O222" s="35">
        <v>0</v>
      </c>
      <c r="P222" s="35">
        <v>0</v>
      </c>
      <c r="Q222" s="35">
        <v>0</v>
      </c>
      <c r="R222" s="18">
        <f>N222-O222</f>
        <v>0.0</v>
      </c>
      <c r="S222" s="18">
        <f>O222-P222</f>
        <v>0.0</v>
      </c>
      <c r="T222" s="18">
        <f>N222-Q222</f>
        <v>0.0</v>
      </c>
      <c r="U222" s="36">
        <f>IF(N222&gt;0,Q222/N222,0)</f>
        <v>0</v>
      </c>
      <c r="V222" s="35">
        <v>700545</v>
      </c>
      <c r="W222" s="35">
        <v>104920.72</v>
      </c>
      <c r="X222" s="36">
        <v>0.1497701361083157</v>
      </c>
      <c r="Y222" s="17" t="s">
        <v>151</v>
      </c>
      <c r="Z222" s="17" t="s">
        <v>884</v>
      </c>
      <c r="AA222" s="35">
        <v>60000</v>
      </c>
      <c r="AB222" s="35">
        <v>0</v>
      </c>
      <c r="AC222" s="35">
        <v>0</v>
      </c>
      <c r="AD222" s="35">
        <v>0</v>
      </c>
      <c r="AE222" s="12" t="s">
        <v>203</v>
      </c>
      <c r="AF222" s="12" t="s">
        <v>87</v>
      </c>
      <c r="AG222" s="18">
        <v>-1</v>
      </c>
      <c r="AH222" s="12" t="s">
        <v>145</v>
      </c>
      <c r="AI222" s="12" t="s">
        <v>89</v>
      </c>
      <c r="AJ222" s="12" t="s">
        <v>89</v>
      </c>
      <c r="AK222" s="12" t="s">
        <v>89</v>
      </c>
      <c r="AL222" s="12" t="s">
        <v>141</v>
      </c>
      <c r="AM222" s="12" t="s">
        <v>91</v>
      </c>
      <c r="AN222" s="17" t="s">
        <v>92</v>
      </c>
    </row>
    <row r="223" spans="1:40">
      <c r="A223" s="12" t="s">
        <v>74</v>
      </c>
      <c r="B223" s="12" t="s">
        <v>75</v>
      </c>
      <c r="C223" s="12" t="s">
        <v>76</v>
      </c>
      <c r="D223" s="12" t="s">
        <v>720</v>
      </c>
      <c r="E223" s="12" t="s">
        <v>102</v>
      </c>
      <c r="F223" s="12" t="s">
        <v>888</v>
      </c>
      <c r="G223" s="12" t="s">
        <v>889</v>
      </c>
      <c r="H223" s="34" t="s">
        <v>890</v>
      </c>
      <c r="I223" s="12" t="s">
        <v>82</v>
      </c>
      <c r="J223" s="12" t="s">
        <v>83</v>
      </c>
      <c r="K223" s="18">
        <v>0</v>
      </c>
      <c r="L223" s="18">
        <v>0</v>
      </c>
      <c r="M223" s="12" t="s">
        <v>84</v>
      </c>
      <c r="N223" s="35">
        <v>29298</v>
      </c>
      <c r="O223" s="35">
        <v>29298</v>
      </c>
      <c r="P223" s="35">
        <v>0</v>
      </c>
      <c r="Q223" s="35">
        <v>0</v>
      </c>
      <c r="R223" s="18">
        <f>N223-O223</f>
        <v>0.0</v>
      </c>
      <c r="S223" s="18">
        <f>O223-P223</f>
        <v>29298.0</v>
      </c>
      <c r="T223" s="18">
        <f>N223-Q223</f>
        <v>29298.0</v>
      </c>
      <c r="U223" s="36">
        <f>IF(N223&gt;0,Q223/N223,0)</f>
        <v>0.0</v>
      </c>
      <c r="V223" s="35">
        <v>2600018.23</v>
      </c>
      <c r="W223" s="35">
        <v>86774.7</v>
      </c>
      <c r="X223" s="36">
        <v>0.03337465060773824</v>
      </c>
      <c r="Y223" s="35">
        <v>268506</v>
      </c>
      <c r="Z223" s="17" t="s">
        <v>327</v>
      </c>
      <c r="AA223" s="35">
        <v>100000</v>
      </c>
      <c r="AB223" s="35">
        <v>0</v>
      </c>
      <c r="AC223" s="35">
        <v>0</v>
      </c>
      <c r="AD223" s="35">
        <v>2483946</v>
      </c>
      <c r="AE223" s="12" t="s">
        <v>86</v>
      </c>
      <c r="AF223" s="12" t="s">
        <v>87</v>
      </c>
      <c r="AG223" s="18">
        <v>-1</v>
      </c>
      <c r="AH223" s="12" t="s">
        <v>169</v>
      </c>
      <c r="AI223" s="12" t="s">
        <v>89</v>
      </c>
      <c r="AJ223" s="12" t="s">
        <v>89</v>
      </c>
      <c r="AK223" s="12" t="s">
        <v>89</v>
      </c>
      <c r="AL223" s="12" t="s">
        <v>141</v>
      </c>
      <c r="AM223" s="12" t="s">
        <v>91</v>
      </c>
      <c r="AN223" s="17" t="s">
        <v>92</v>
      </c>
    </row>
    <row r="224" spans="1:40">
      <c r="A224" s="12" t="s">
        <v>74</v>
      </c>
      <c r="B224" s="12" t="s">
        <v>75</v>
      </c>
      <c r="C224" s="12" t="s">
        <v>76</v>
      </c>
      <c r="D224" s="12" t="s">
        <v>720</v>
      </c>
      <c r="E224" s="12" t="s">
        <v>102</v>
      </c>
      <c r="F224" s="12" t="s">
        <v>891</v>
      </c>
      <c r="G224" s="12" t="s">
        <v>892</v>
      </c>
      <c r="H224" s="34" t="s">
        <v>893</v>
      </c>
      <c r="I224" s="12" t="s">
        <v>82</v>
      </c>
      <c r="J224" s="12" t="s">
        <v>83</v>
      </c>
      <c r="K224" s="18">
        <v>0</v>
      </c>
      <c r="L224" s="18">
        <v>0</v>
      </c>
      <c r="M224" s="12" t="s">
        <v>84</v>
      </c>
      <c r="N224" s="35">
        <v>80000</v>
      </c>
      <c r="O224" s="35">
        <v>55480</v>
      </c>
      <c r="P224" s="35">
        <v>55480</v>
      </c>
      <c r="Q224" s="35">
        <v>33156.76</v>
      </c>
      <c r="R224" s="18">
        <f>N224-O224</f>
        <v>24520.0</v>
      </c>
      <c r="S224" s="18">
        <f>O224-P224</f>
        <v>0.0</v>
      </c>
      <c r="T224" s="18">
        <f>N224-Q224</f>
        <v>46843.24</v>
      </c>
      <c r="U224" s="36">
        <f>IF(N224&gt;0,Q224/N224,0)</f>
        <v>0.41445950000000004</v>
      </c>
      <c r="V224" s="35">
        <v>1128542.49</v>
      </c>
      <c r="W224" s="35">
        <v>83158.09</v>
      </c>
      <c r="X224" s="36">
        <v>0.07368627299092655</v>
      </c>
      <c r="Y224" s="35">
        <v>80000</v>
      </c>
      <c r="Z224" s="17" t="s">
        <v>85</v>
      </c>
      <c r="AA224" s="35">
        <v>80000</v>
      </c>
      <c r="AB224" s="35">
        <v>0</v>
      </c>
      <c r="AC224" s="35">
        <v>0</v>
      </c>
      <c r="AD224" s="35">
        <v>500000</v>
      </c>
      <c r="AE224" s="12" t="s">
        <v>86</v>
      </c>
      <c r="AF224" s="12" t="s">
        <v>87</v>
      </c>
      <c r="AG224" s="18">
        <v>-1</v>
      </c>
      <c r="AH224" s="12" t="s">
        <v>571</v>
      </c>
      <c r="AI224" s="12" t="s">
        <v>89</v>
      </c>
      <c r="AJ224" s="12" t="s">
        <v>89</v>
      </c>
      <c r="AK224" s="12" t="s">
        <v>89</v>
      </c>
      <c r="AL224" s="12" t="s">
        <v>141</v>
      </c>
      <c r="AM224" s="12" t="s">
        <v>91</v>
      </c>
      <c r="AN224" s="17" t="s">
        <v>92</v>
      </c>
    </row>
    <row r="225" spans="1:40">
      <c r="A225" s="12" t="s">
        <v>74</v>
      </c>
      <c r="B225" s="12" t="s">
        <v>75</v>
      </c>
      <c r="C225" s="12" t="s">
        <v>76</v>
      </c>
      <c r="D225" s="12" t="s">
        <v>720</v>
      </c>
      <c r="E225" s="12" t="s">
        <v>102</v>
      </c>
      <c r="F225" s="12" t="s">
        <v>894</v>
      </c>
      <c r="G225" s="12" t="s">
        <v>895</v>
      </c>
      <c r="H225" s="34" t="s">
        <v>896</v>
      </c>
      <c r="I225" s="12" t="s">
        <v>82</v>
      </c>
      <c r="J225" s="12" t="s">
        <v>149</v>
      </c>
      <c r="K225" s="18">
        <v>0</v>
      </c>
      <c r="L225" s="18">
        <v>0</v>
      </c>
      <c r="M225" s="12" t="s">
        <v>150</v>
      </c>
      <c r="N225" s="35">
        <v>0</v>
      </c>
      <c r="O225" s="35">
        <v>0</v>
      </c>
      <c r="P225" s="35">
        <v>0</v>
      </c>
      <c r="Q225" s="35">
        <v>0</v>
      </c>
      <c r="R225" s="18">
        <f>N225-O225</f>
        <v>0.0</v>
      </c>
      <c r="S225" s="18">
        <f>O225-P225</f>
        <v>0.0</v>
      </c>
      <c r="T225" s="18">
        <f>N225-Q225</f>
        <v>0.0</v>
      </c>
      <c r="U225" s="36">
        <f>IF(N225&gt;0,Q225/N225,0)</f>
        <v>0</v>
      </c>
      <c r="V225" s="35">
        <v>1243367.15</v>
      </c>
      <c r="W225" s="35">
        <v>0</v>
      </c>
      <c r="X225" s="36">
        <v>0</v>
      </c>
      <c r="Y225" s="17" t="s">
        <v>151</v>
      </c>
      <c r="Z225" s="17" t="s">
        <v>85</v>
      </c>
      <c r="AA225" s="35">
        <v>50000</v>
      </c>
      <c r="AB225" s="35">
        <v>0</v>
      </c>
      <c r="AC225" s="35">
        <v>0</v>
      </c>
      <c r="AD225" s="35">
        <v>150000</v>
      </c>
      <c r="AE225" s="12" t="s">
        <v>86</v>
      </c>
      <c r="AF225" s="12" t="s">
        <v>87</v>
      </c>
      <c r="AG225" s="18">
        <v>-1</v>
      </c>
      <c r="AH225" s="12" t="s">
        <v>145</v>
      </c>
      <c r="AI225" s="12" t="s">
        <v>89</v>
      </c>
      <c r="AJ225" s="12" t="s">
        <v>89</v>
      </c>
      <c r="AK225" s="12" t="s">
        <v>89</v>
      </c>
      <c r="AL225" s="12" t="s">
        <v>141</v>
      </c>
      <c r="AM225" s="12" t="s">
        <v>91</v>
      </c>
      <c r="AN225" s="17" t="s">
        <v>92</v>
      </c>
    </row>
    <row r="226" spans="1:40">
      <c r="A226" s="12" t="s">
        <v>74</v>
      </c>
      <c r="B226" s="12" t="s">
        <v>75</v>
      </c>
      <c r="C226" s="12" t="s">
        <v>76</v>
      </c>
      <c r="D226" s="12" t="s">
        <v>720</v>
      </c>
      <c r="E226" s="12" t="s">
        <v>102</v>
      </c>
      <c r="F226" s="12" t="s">
        <v>897</v>
      </c>
      <c r="G226" s="12" t="s">
        <v>898</v>
      </c>
      <c r="H226" s="34" t="s">
        <v>899</v>
      </c>
      <c r="I226" s="12" t="s">
        <v>82</v>
      </c>
      <c r="J226" s="12" t="s">
        <v>83</v>
      </c>
      <c r="K226" s="18">
        <v>0</v>
      </c>
      <c r="L226" s="18">
        <v>0</v>
      </c>
      <c r="M226" s="12" t="s">
        <v>84</v>
      </c>
      <c r="N226" s="35">
        <v>209495</v>
      </c>
      <c r="O226" s="35">
        <v>209495</v>
      </c>
      <c r="P226" s="35">
        <v>171495</v>
      </c>
      <c r="Q226" s="35">
        <v>98043.32000000001</v>
      </c>
      <c r="R226" s="18">
        <f>N226-O226</f>
        <v>0.0</v>
      </c>
      <c r="S226" s="18">
        <f>O226-P226</f>
        <v>38000.0</v>
      </c>
      <c r="T226" s="18">
        <f>N226-Q226</f>
        <v>111451.68</v>
      </c>
      <c r="U226" s="36">
        <f>IF(N226&gt;0,Q226/N226,0)</f>
        <v>0.46799837704957165</v>
      </c>
      <c r="V226" s="35">
        <v>1266457.68</v>
      </c>
      <c r="W226" s="35">
        <v>98043.32000000001</v>
      </c>
      <c r="X226" s="36">
        <v>0.07741539377770602</v>
      </c>
      <c r="Y226" s="35">
        <v>209495</v>
      </c>
      <c r="Z226" s="17" t="s">
        <v>85</v>
      </c>
      <c r="AA226" s="35">
        <v>50000</v>
      </c>
      <c r="AB226" s="35">
        <v>0</v>
      </c>
      <c r="AC226" s="35">
        <v>0</v>
      </c>
      <c r="AD226" s="35">
        <v>500000</v>
      </c>
      <c r="AE226" s="12" t="s">
        <v>86</v>
      </c>
      <c r="AF226" s="12" t="s">
        <v>87</v>
      </c>
      <c r="AG226" s="18">
        <v>-1</v>
      </c>
      <c r="AH226" s="12" t="s">
        <v>169</v>
      </c>
      <c r="AI226" s="12" t="s">
        <v>89</v>
      </c>
      <c r="AJ226" s="12" t="s">
        <v>89</v>
      </c>
      <c r="AK226" s="12" t="s">
        <v>89</v>
      </c>
      <c r="AL226" s="12" t="s">
        <v>141</v>
      </c>
      <c r="AM226" s="12" t="s">
        <v>91</v>
      </c>
      <c r="AN226" s="17" t="s">
        <v>92</v>
      </c>
    </row>
    <row r="227" spans="1:40">
      <c r="A227" s="12" t="s">
        <v>74</v>
      </c>
      <c r="B227" s="12" t="s">
        <v>75</v>
      </c>
      <c r="C227" s="12" t="s">
        <v>76</v>
      </c>
      <c r="D227" s="12" t="s">
        <v>720</v>
      </c>
      <c r="E227" s="12" t="s">
        <v>102</v>
      </c>
      <c r="F227" s="12" t="s">
        <v>900</v>
      </c>
      <c r="G227" s="12" t="s">
        <v>901</v>
      </c>
      <c r="H227" s="34" t="s">
        <v>902</v>
      </c>
      <c r="I227" s="12" t="s">
        <v>82</v>
      </c>
      <c r="J227" s="12" t="s">
        <v>83</v>
      </c>
      <c r="K227" s="18">
        <v>0</v>
      </c>
      <c r="L227" s="18">
        <v>0</v>
      </c>
      <c r="M227" s="12" t="s">
        <v>84</v>
      </c>
      <c r="N227" s="35">
        <v>400000</v>
      </c>
      <c r="O227" s="35">
        <v>0</v>
      </c>
      <c r="P227" s="35">
        <v>0</v>
      </c>
      <c r="Q227" s="35">
        <v>0</v>
      </c>
      <c r="R227" s="18">
        <f>N227-O227</f>
        <v>400000.0</v>
      </c>
      <c r="S227" s="18">
        <f>O227-P227</f>
        <v>0.0</v>
      </c>
      <c r="T227" s="18">
        <f>N227-Q227</f>
        <v>400000.0</v>
      </c>
      <c r="U227" s="36">
        <f>IF(N227&gt;0,Q227/N227,0)</f>
        <v>0.0</v>
      </c>
      <c r="V227" s="35">
        <v>2233744.27</v>
      </c>
      <c r="W227" s="35">
        <v>123034.01</v>
      </c>
      <c r="X227" s="36">
        <v>0.05507972047310501</v>
      </c>
      <c r="Y227" s="35">
        <v>864365</v>
      </c>
      <c r="Z227" s="17" t="s">
        <v>108</v>
      </c>
      <c r="AA227" s="35">
        <v>100000</v>
      </c>
      <c r="AB227" s="35">
        <v>1246345</v>
      </c>
      <c r="AC227" s="35">
        <v>0</v>
      </c>
      <c r="AD227" s="35">
        <v>464365</v>
      </c>
      <c r="AE227" s="12" t="s">
        <v>86</v>
      </c>
      <c r="AF227" s="12" t="s">
        <v>87</v>
      </c>
      <c r="AG227" s="18">
        <v>-1</v>
      </c>
      <c r="AH227" s="12" t="s">
        <v>145</v>
      </c>
      <c r="AI227" s="12" t="s">
        <v>89</v>
      </c>
      <c r="AJ227" s="12" t="s">
        <v>89</v>
      </c>
      <c r="AK227" s="12" t="s">
        <v>89</v>
      </c>
      <c r="AL227" s="12" t="s">
        <v>141</v>
      </c>
      <c r="AM227" s="12" t="s">
        <v>91</v>
      </c>
      <c r="AN227" s="17" t="s">
        <v>92</v>
      </c>
    </row>
    <row r="228" spans="1:40">
      <c r="A228" s="12" t="s">
        <v>74</v>
      </c>
      <c r="B228" s="12" t="s">
        <v>75</v>
      </c>
      <c r="C228" s="12" t="s">
        <v>76</v>
      </c>
      <c r="D228" s="12" t="s">
        <v>720</v>
      </c>
      <c r="E228" s="12" t="s">
        <v>102</v>
      </c>
      <c r="F228" s="12" t="s">
        <v>903</v>
      </c>
      <c r="G228" s="12" t="s">
        <v>904</v>
      </c>
      <c r="H228" s="34" t="s">
        <v>905</v>
      </c>
      <c r="I228" s="12" t="s">
        <v>82</v>
      </c>
      <c r="J228" s="12" t="s">
        <v>83</v>
      </c>
      <c r="K228" s="18">
        <v>0</v>
      </c>
      <c r="L228" s="18">
        <v>0</v>
      </c>
      <c r="M228" s="12" t="s">
        <v>84</v>
      </c>
      <c r="N228" s="35">
        <v>179528</v>
      </c>
      <c r="O228" s="35">
        <v>178381</v>
      </c>
      <c r="P228" s="35">
        <v>148381</v>
      </c>
      <c r="Q228" s="35">
        <v>136766.03</v>
      </c>
      <c r="R228" s="18">
        <f>N228-O228</f>
        <v>1147.0</v>
      </c>
      <c r="S228" s="18">
        <f>O228-P228</f>
        <v>30000.0</v>
      </c>
      <c r="T228" s="18">
        <f>N228-Q228</f>
        <v>42761.97</v>
      </c>
      <c r="U228" s="36">
        <f>IF(N228&gt;0,Q228/N228,0)</f>
        <v>0.7618089100307472</v>
      </c>
      <c r="V228" s="35">
        <v>985880.22</v>
      </c>
      <c r="W228" s="35">
        <v>136766.03</v>
      </c>
      <c r="X228" s="36">
        <v>0.138724793565693</v>
      </c>
      <c r="Y228" s="35">
        <v>181569</v>
      </c>
      <c r="Z228" s="17" t="s">
        <v>85</v>
      </c>
      <c r="AA228" s="35">
        <v>50000</v>
      </c>
      <c r="AB228" s="35">
        <v>0</v>
      </c>
      <c r="AC228" s="35">
        <v>201078</v>
      </c>
      <c r="AD228" s="35">
        <v>201078</v>
      </c>
      <c r="AE228" s="12" t="s">
        <v>86</v>
      </c>
      <c r="AF228" s="12" t="s">
        <v>87</v>
      </c>
      <c r="AG228" s="18">
        <v>-1</v>
      </c>
      <c r="AH228" s="12" t="s">
        <v>169</v>
      </c>
      <c r="AI228" s="12" t="s">
        <v>89</v>
      </c>
      <c r="AJ228" s="12" t="s">
        <v>89</v>
      </c>
      <c r="AK228" s="12" t="s">
        <v>89</v>
      </c>
      <c r="AL228" s="12" t="s">
        <v>141</v>
      </c>
      <c r="AM228" s="12" t="s">
        <v>91</v>
      </c>
      <c r="AN228" s="17" t="s">
        <v>92</v>
      </c>
    </row>
    <row r="229" spans="1:40">
      <c r="A229" s="12" t="s">
        <v>74</v>
      </c>
      <c r="B229" s="12" t="s">
        <v>75</v>
      </c>
      <c r="C229" s="12" t="s">
        <v>76</v>
      </c>
      <c r="D229" s="12" t="s">
        <v>720</v>
      </c>
      <c r="E229" s="12" t="s">
        <v>102</v>
      </c>
      <c r="F229" s="12" t="s">
        <v>906</v>
      </c>
      <c r="G229" s="12" t="s">
        <v>907</v>
      </c>
      <c r="H229" s="34" t="s">
        <v>908</v>
      </c>
      <c r="I229" s="12" t="s">
        <v>82</v>
      </c>
      <c r="J229" s="12" t="s">
        <v>149</v>
      </c>
      <c r="K229" s="18">
        <v>0</v>
      </c>
      <c r="L229" s="18">
        <v>0</v>
      </c>
      <c r="M229" s="12" t="s">
        <v>150</v>
      </c>
      <c r="N229" s="35">
        <v>0</v>
      </c>
      <c r="O229" s="35">
        <v>0</v>
      </c>
      <c r="P229" s="35">
        <v>0</v>
      </c>
      <c r="Q229" s="35">
        <v>0</v>
      </c>
      <c r="R229" s="18">
        <f>N229-O229</f>
        <v>0.0</v>
      </c>
      <c r="S229" s="18">
        <f>O229-P229</f>
        <v>0.0</v>
      </c>
      <c r="T229" s="18">
        <f>N229-Q229</f>
        <v>0.0</v>
      </c>
      <c r="U229" s="36">
        <f>IF(N229&gt;0,Q229/N229,0)</f>
        <v>0</v>
      </c>
      <c r="V229" s="35">
        <v>1940664.19</v>
      </c>
      <c r="W229" s="35">
        <v>121759.21</v>
      </c>
      <c r="X229" s="36">
        <v>0.06274099899787403</v>
      </c>
      <c r="Y229" s="35">
        <v>575449</v>
      </c>
      <c r="Z229" s="17" t="s">
        <v>108</v>
      </c>
      <c r="AA229" s="35">
        <v>100000</v>
      </c>
      <c r="AB229" s="35">
        <v>1243456</v>
      </c>
      <c r="AC229" s="35">
        <v>0</v>
      </c>
      <c r="AD229" s="35">
        <v>575449</v>
      </c>
      <c r="AE229" s="12" t="s">
        <v>86</v>
      </c>
      <c r="AF229" s="12" t="s">
        <v>87</v>
      </c>
      <c r="AG229" s="18">
        <v>-1</v>
      </c>
      <c r="AH229" s="12" t="s">
        <v>145</v>
      </c>
      <c r="AI229" s="12" t="s">
        <v>89</v>
      </c>
      <c r="AJ229" s="12" t="s">
        <v>89</v>
      </c>
      <c r="AK229" s="12" t="s">
        <v>89</v>
      </c>
      <c r="AL229" s="12" t="s">
        <v>141</v>
      </c>
      <c r="AM229" s="12" t="s">
        <v>91</v>
      </c>
      <c r="AN229" s="17" t="s">
        <v>92</v>
      </c>
    </row>
    <row r="230" spans="1:40">
      <c r="A230" s="12" t="s">
        <v>74</v>
      </c>
      <c r="B230" s="12" t="s">
        <v>75</v>
      </c>
      <c r="C230" s="12" t="s">
        <v>76</v>
      </c>
      <c r="D230" s="12" t="s">
        <v>720</v>
      </c>
      <c r="E230" s="12" t="s">
        <v>102</v>
      </c>
      <c r="F230" s="12" t="s">
        <v>909</v>
      </c>
      <c r="G230" s="12" t="s">
        <v>910</v>
      </c>
      <c r="H230" s="34" t="s">
        <v>911</v>
      </c>
      <c r="I230" s="12" t="s">
        <v>82</v>
      </c>
      <c r="J230" s="12" t="s">
        <v>83</v>
      </c>
      <c r="K230" s="18">
        <v>0</v>
      </c>
      <c r="L230" s="18">
        <v>0</v>
      </c>
      <c r="M230" s="12" t="s">
        <v>84</v>
      </c>
      <c r="N230" s="35">
        <v>33556</v>
      </c>
      <c r="O230" s="35">
        <v>33489.5</v>
      </c>
      <c r="P230" s="35">
        <v>33489.5</v>
      </c>
      <c r="Q230" s="35">
        <v>28428.44</v>
      </c>
      <c r="R230" s="18">
        <f>N230-O230</f>
        <v>66.5</v>
      </c>
      <c r="S230" s="18">
        <f>O230-P230</f>
        <v>0.0</v>
      </c>
      <c r="T230" s="18">
        <f>N230-Q230</f>
        <v>5127.559999999998</v>
      </c>
      <c r="U230" s="36">
        <f>IF(N230&gt;0,Q230/N230,0)</f>
        <v>0.847193944451067</v>
      </c>
      <c r="V230" s="35">
        <v>963183.1</v>
      </c>
      <c r="W230" s="35">
        <v>108699.08</v>
      </c>
      <c r="X230" s="36">
        <v>0.1128540149842745</v>
      </c>
      <c r="Y230" s="35">
        <v>33556</v>
      </c>
      <c r="Z230" s="17" t="s">
        <v>85</v>
      </c>
      <c r="AA230" s="35">
        <v>100000</v>
      </c>
      <c r="AB230" s="35">
        <v>0</v>
      </c>
      <c r="AC230" s="35">
        <v>0</v>
      </c>
      <c r="AD230" s="35">
        <v>849356</v>
      </c>
      <c r="AE230" s="12" t="s">
        <v>86</v>
      </c>
      <c r="AF230" s="12" t="s">
        <v>87</v>
      </c>
      <c r="AG230" s="18">
        <v>-1</v>
      </c>
      <c r="AH230" s="12" t="s">
        <v>169</v>
      </c>
      <c r="AI230" s="12" t="s">
        <v>89</v>
      </c>
      <c r="AJ230" s="12" t="s">
        <v>89</v>
      </c>
      <c r="AK230" s="12" t="s">
        <v>89</v>
      </c>
      <c r="AL230" s="12" t="s">
        <v>141</v>
      </c>
      <c r="AM230" s="12" t="s">
        <v>91</v>
      </c>
      <c r="AN230" s="17" t="s">
        <v>92</v>
      </c>
    </row>
    <row r="231" spans="1:40">
      <c r="A231" s="12" t="s">
        <v>74</v>
      </c>
      <c r="B231" s="12" t="s">
        <v>75</v>
      </c>
      <c r="C231" s="12" t="s">
        <v>76</v>
      </c>
      <c r="D231" s="12" t="s">
        <v>720</v>
      </c>
      <c r="E231" s="12" t="s">
        <v>102</v>
      </c>
      <c r="F231" s="12" t="s">
        <v>912</v>
      </c>
      <c r="G231" s="12" t="s">
        <v>913</v>
      </c>
      <c r="H231" s="34" t="s">
        <v>914</v>
      </c>
      <c r="I231" s="12" t="s">
        <v>82</v>
      </c>
      <c r="J231" s="12" t="s">
        <v>149</v>
      </c>
      <c r="K231" s="18">
        <v>0</v>
      </c>
      <c r="L231" s="18">
        <v>0</v>
      </c>
      <c r="M231" s="12" t="s">
        <v>150</v>
      </c>
      <c r="N231" s="35">
        <v>0</v>
      </c>
      <c r="O231" s="35">
        <v>0</v>
      </c>
      <c r="P231" s="35">
        <v>0</v>
      </c>
      <c r="Q231" s="35">
        <v>0</v>
      </c>
      <c r="R231" s="18">
        <f>N231-O231</f>
        <v>0.0</v>
      </c>
      <c r="S231" s="18">
        <f>O231-P231</f>
        <v>0.0</v>
      </c>
      <c r="T231" s="18">
        <f>N231-Q231</f>
        <v>0.0</v>
      </c>
      <c r="U231" s="36">
        <f>IF(N231&gt;0,Q231/N231,0)</f>
        <v>0</v>
      </c>
      <c r="V231" s="35">
        <v>1898018.07</v>
      </c>
      <c r="W231" s="35">
        <v>112566.27</v>
      </c>
      <c r="X231" s="36">
        <v>0.05930726992499075</v>
      </c>
      <c r="Y231" s="17" t="s">
        <v>151</v>
      </c>
      <c r="Z231" s="17" t="s">
        <v>122</v>
      </c>
      <c r="AA231" s="35">
        <v>100000</v>
      </c>
      <c r="AB231" s="35">
        <v>1254345</v>
      </c>
      <c r="AC231" s="35">
        <v>0</v>
      </c>
      <c r="AD231" s="35">
        <v>1672886</v>
      </c>
      <c r="AE231" s="12" t="s">
        <v>86</v>
      </c>
      <c r="AF231" s="12" t="s">
        <v>87</v>
      </c>
      <c r="AG231" s="18">
        <v>-1</v>
      </c>
      <c r="AH231" s="12" t="s">
        <v>145</v>
      </c>
      <c r="AI231" s="12" t="s">
        <v>89</v>
      </c>
      <c r="AJ231" s="12" t="s">
        <v>89</v>
      </c>
      <c r="AK231" s="12" t="s">
        <v>89</v>
      </c>
      <c r="AL231" s="12" t="s">
        <v>141</v>
      </c>
      <c r="AM231" s="12" t="s">
        <v>91</v>
      </c>
      <c r="AN231" s="17" t="s">
        <v>92</v>
      </c>
    </row>
    <row r="232" spans="1:40">
      <c r="A232" s="12" t="s">
        <v>74</v>
      </c>
      <c r="B232" s="12" t="s">
        <v>75</v>
      </c>
      <c r="C232" s="12" t="s">
        <v>76</v>
      </c>
      <c r="D232" s="12" t="s">
        <v>720</v>
      </c>
      <c r="E232" s="12" t="s">
        <v>102</v>
      </c>
      <c r="F232" s="12" t="s">
        <v>915</v>
      </c>
      <c r="G232" s="12" t="s">
        <v>916</v>
      </c>
      <c r="H232" s="34" t="s">
        <v>917</v>
      </c>
      <c r="I232" s="12" t="s">
        <v>82</v>
      </c>
      <c r="J232" s="12" t="s">
        <v>149</v>
      </c>
      <c r="K232" s="18">
        <v>0</v>
      </c>
      <c r="L232" s="18">
        <v>0</v>
      </c>
      <c r="M232" s="12" t="s">
        <v>150</v>
      </c>
      <c r="N232" s="35">
        <v>0</v>
      </c>
      <c r="O232" s="35">
        <v>0</v>
      </c>
      <c r="P232" s="35">
        <v>0</v>
      </c>
      <c r="Q232" s="35">
        <v>0</v>
      </c>
      <c r="R232" s="18">
        <f>N232-O232</f>
        <v>0.0</v>
      </c>
      <c r="S232" s="18">
        <f>O232-P232</f>
        <v>0.0</v>
      </c>
      <c r="T232" s="18">
        <f>N232-Q232</f>
        <v>0.0</v>
      </c>
      <c r="U232" s="36">
        <f>IF(N232&gt;0,Q232/N232,0)</f>
        <v>0</v>
      </c>
      <c r="V232" s="35">
        <v>1127897</v>
      </c>
      <c r="W232" s="35">
        <v>0</v>
      </c>
      <c r="X232" s="36">
        <v>0</v>
      </c>
      <c r="Y232" s="35">
        <v>50000</v>
      </c>
      <c r="Z232" s="17" t="s">
        <v>85</v>
      </c>
      <c r="AA232" s="35">
        <v>50000</v>
      </c>
      <c r="AB232" s="35">
        <v>0</v>
      </c>
      <c r="AC232" s="35">
        <v>0</v>
      </c>
      <c r="AD232" s="35">
        <v>1077897</v>
      </c>
      <c r="AE232" s="12" t="s">
        <v>86</v>
      </c>
      <c r="AF232" s="12" t="s">
        <v>87</v>
      </c>
      <c r="AG232" s="18">
        <v>-1</v>
      </c>
      <c r="AH232" s="12" t="s">
        <v>145</v>
      </c>
      <c r="AI232" s="12" t="s">
        <v>89</v>
      </c>
      <c r="AJ232" s="12" t="s">
        <v>89</v>
      </c>
      <c r="AK232" s="12" t="s">
        <v>89</v>
      </c>
      <c r="AL232" s="12" t="s">
        <v>141</v>
      </c>
      <c r="AM232" s="12" t="s">
        <v>91</v>
      </c>
      <c r="AN232" s="17" t="s">
        <v>92</v>
      </c>
    </row>
    <row r="233" spans="1:40">
      <c r="A233" s="12" t="s">
        <v>74</v>
      </c>
      <c r="B233" s="12" t="s">
        <v>75</v>
      </c>
      <c r="C233" s="12" t="s">
        <v>76</v>
      </c>
      <c r="D233" s="12" t="s">
        <v>720</v>
      </c>
      <c r="E233" s="12" t="s">
        <v>102</v>
      </c>
      <c r="F233" s="12" t="s">
        <v>918</v>
      </c>
      <c r="G233" s="12" t="s">
        <v>919</v>
      </c>
      <c r="H233" s="34" t="s">
        <v>920</v>
      </c>
      <c r="I233" s="12" t="s">
        <v>82</v>
      </c>
      <c r="J233" s="12" t="s">
        <v>106</v>
      </c>
      <c r="K233" s="18">
        <v>0</v>
      </c>
      <c r="L233" s="18">
        <v>0</v>
      </c>
      <c r="M233" s="12" t="s">
        <v>121</v>
      </c>
      <c r="N233" s="35">
        <v>106670</v>
      </c>
      <c r="O233" s="35">
        <v>106670</v>
      </c>
      <c r="P233" s="35">
        <v>106670</v>
      </c>
      <c r="Q233" s="35">
        <v>96622.29000000001</v>
      </c>
      <c r="R233" s="18">
        <f>N233-O233</f>
        <v>0.0</v>
      </c>
      <c r="S233" s="18">
        <f>O233-P233</f>
        <v>0.0</v>
      </c>
      <c r="T233" s="18">
        <f>N233-Q233</f>
        <v>10047.709999999992</v>
      </c>
      <c r="U233" s="36">
        <f>IF(N233&gt;0,Q233/N233,0)</f>
        <v>0.9058056623230525</v>
      </c>
      <c r="V233" s="35">
        <v>701648.9399999999</v>
      </c>
      <c r="W233" s="35">
        <v>152469.77</v>
      </c>
      <c r="X233" s="36">
        <v>0.2173020741683156</v>
      </c>
      <c r="Y233" s="35">
        <v>106671</v>
      </c>
      <c r="Z233" s="17" t="s">
        <v>85</v>
      </c>
      <c r="AA233" s="35">
        <v>50000</v>
      </c>
      <c r="AB233" s="35">
        <v>248751</v>
      </c>
      <c r="AC233" s="35">
        <v>290379</v>
      </c>
      <c r="AD233" s="35">
        <v>0</v>
      </c>
      <c r="AE233" s="12" t="s">
        <v>86</v>
      </c>
      <c r="AF233" s="12" t="s">
        <v>87</v>
      </c>
      <c r="AG233" s="18">
        <v>-1</v>
      </c>
      <c r="AH233" s="12" t="s">
        <v>169</v>
      </c>
      <c r="AI233" s="12" t="s">
        <v>89</v>
      </c>
      <c r="AJ233" s="12" t="s">
        <v>89</v>
      </c>
      <c r="AK233" s="12" t="s">
        <v>89</v>
      </c>
      <c r="AL233" s="12" t="s">
        <v>141</v>
      </c>
      <c r="AM233" s="12" t="s">
        <v>91</v>
      </c>
      <c r="AN233" s="17" t="s">
        <v>92</v>
      </c>
    </row>
    <row r="234" spans="1:40">
      <c r="A234" s="12" t="s">
        <v>74</v>
      </c>
      <c r="B234" s="12" t="s">
        <v>75</v>
      </c>
      <c r="C234" s="12" t="s">
        <v>76</v>
      </c>
      <c r="D234" s="12" t="s">
        <v>720</v>
      </c>
      <c r="E234" s="12" t="s">
        <v>102</v>
      </c>
      <c r="F234" s="12" t="s">
        <v>921</v>
      </c>
      <c r="G234" s="12" t="s">
        <v>922</v>
      </c>
      <c r="H234" s="34" t="s">
        <v>923</v>
      </c>
      <c r="I234" s="12" t="s">
        <v>82</v>
      </c>
      <c r="J234" s="12" t="s">
        <v>83</v>
      </c>
      <c r="K234" s="18">
        <v>0</v>
      </c>
      <c r="L234" s="18">
        <v>0</v>
      </c>
      <c r="M234" s="12" t="s">
        <v>84</v>
      </c>
      <c r="N234" s="35">
        <v>306148</v>
      </c>
      <c r="O234" s="35">
        <v>306148</v>
      </c>
      <c r="P234" s="35">
        <v>306148</v>
      </c>
      <c r="Q234" s="35">
        <v>268544.1</v>
      </c>
      <c r="R234" s="18">
        <f>N234-O234</f>
        <v>0.0</v>
      </c>
      <c r="S234" s="18">
        <f>O234-P234</f>
        <v>0.0</v>
      </c>
      <c r="T234" s="18">
        <f>N234-Q234</f>
        <v>37603.90000000002</v>
      </c>
      <c r="U234" s="36">
        <f>IF(N234&gt;0,Q234/N234,0)</f>
        <v>0.877170845473431</v>
      </c>
      <c r="V234" s="35">
        <v>2289090.41</v>
      </c>
      <c r="W234" s="35">
        <v>268544.1</v>
      </c>
      <c r="X234" s="36">
        <v>0.1173147634653714</v>
      </c>
      <c r="Y234" s="35">
        <v>306148</v>
      </c>
      <c r="Z234" s="17" t="s">
        <v>85</v>
      </c>
      <c r="AA234" s="35">
        <v>50000</v>
      </c>
      <c r="AB234" s="35">
        <v>0</v>
      </c>
      <c r="AC234" s="35">
        <v>0</v>
      </c>
      <c r="AD234" s="35">
        <v>1982942</v>
      </c>
      <c r="AE234" s="12" t="s">
        <v>86</v>
      </c>
      <c r="AF234" s="12" t="s">
        <v>87</v>
      </c>
      <c r="AG234" s="18">
        <v>-1</v>
      </c>
      <c r="AH234" s="12" t="s">
        <v>169</v>
      </c>
      <c r="AI234" s="12" t="s">
        <v>89</v>
      </c>
      <c r="AJ234" s="12" t="s">
        <v>89</v>
      </c>
      <c r="AK234" s="12" t="s">
        <v>89</v>
      </c>
      <c r="AL234" s="12" t="s">
        <v>141</v>
      </c>
      <c r="AM234" s="12" t="s">
        <v>91</v>
      </c>
      <c r="AN234" s="17" t="s">
        <v>92</v>
      </c>
    </row>
    <row r="235" spans="1:40">
      <c r="A235" s="12" t="s">
        <v>74</v>
      </c>
      <c r="B235" s="12" t="s">
        <v>75</v>
      </c>
      <c r="C235" s="12" t="s">
        <v>76</v>
      </c>
      <c r="D235" s="12" t="s">
        <v>720</v>
      </c>
      <c r="E235" s="12" t="s">
        <v>102</v>
      </c>
      <c r="F235" s="12" t="s">
        <v>924</v>
      </c>
      <c r="G235" s="12" t="s">
        <v>925</v>
      </c>
      <c r="H235" s="34" t="s">
        <v>926</v>
      </c>
      <c r="I235" s="12" t="s">
        <v>82</v>
      </c>
      <c r="J235" s="12" t="s">
        <v>83</v>
      </c>
      <c r="K235" s="18">
        <v>0</v>
      </c>
      <c r="L235" s="18">
        <v>0</v>
      </c>
      <c r="M235" s="12" t="s">
        <v>84</v>
      </c>
      <c r="N235" s="35">
        <v>159574</v>
      </c>
      <c r="O235" s="35">
        <v>125168.92</v>
      </c>
      <c r="P235" s="35">
        <v>125168.92</v>
      </c>
      <c r="Q235" s="35">
        <v>80461.59</v>
      </c>
      <c r="R235" s="18">
        <f>N235-O235</f>
        <v>34405.08</v>
      </c>
      <c r="S235" s="18">
        <f>O235-P235</f>
        <v>0.0</v>
      </c>
      <c r="T235" s="18">
        <f>N235-Q235</f>
        <v>79112.41</v>
      </c>
      <c r="U235" s="36">
        <f>IF(N235&gt;0,Q235/N235,0)</f>
        <v>0.5042274430671663</v>
      </c>
      <c r="V235" s="35">
        <v>1553703.29</v>
      </c>
      <c r="W235" s="35">
        <v>133529.67</v>
      </c>
      <c r="X235" s="36">
        <v>0.0859428379018236</v>
      </c>
      <c r="Y235" s="35">
        <v>159574</v>
      </c>
      <c r="Z235" s="17" t="s">
        <v>85</v>
      </c>
      <c r="AA235" s="35">
        <v>50000</v>
      </c>
      <c r="AB235" s="35">
        <v>245742</v>
      </c>
      <c r="AC235" s="35">
        <v>1095319</v>
      </c>
      <c r="AD235" s="35">
        <v>0</v>
      </c>
      <c r="AE235" s="12" t="s">
        <v>86</v>
      </c>
      <c r="AF235" s="12" t="s">
        <v>87</v>
      </c>
      <c r="AG235" s="18">
        <v>-1</v>
      </c>
      <c r="AH235" s="12" t="s">
        <v>169</v>
      </c>
      <c r="AI235" s="12" t="s">
        <v>89</v>
      </c>
      <c r="AJ235" s="12" t="s">
        <v>89</v>
      </c>
      <c r="AK235" s="12" t="s">
        <v>89</v>
      </c>
      <c r="AL235" s="12" t="s">
        <v>141</v>
      </c>
      <c r="AM235" s="12" t="s">
        <v>91</v>
      </c>
      <c r="AN235" s="17" t="s">
        <v>92</v>
      </c>
    </row>
    <row r="236" spans="1:40">
      <c r="A236" s="12" t="s">
        <v>74</v>
      </c>
      <c r="B236" s="12" t="s">
        <v>75</v>
      </c>
      <c r="C236" s="12" t="s">
        <v>76</v>
      </c>
      <c r="D236" s="12" t="s">
        <v>720</v>
      </c>
      <c r="E236" s="12" t="s">
        <v>102</v>
      </c>
      <c r="F236" s="12" t="s">
        <v>927</v>
      </c>
      <c r="G236" s="12" t="s">
        <v>928</v>
      </c>
      <c r="H236" s="34" t="s">
        <v>929</v>
      </c>
      <c r="I236" s="12" t="s">
        <v>82</v>
      </c>
      <c r="J236" s="12" t="s">
        <v>106</v>
      </c>
      <c r="K236" s="18">
        <v>0</v>
      </c>
      <c r="L236" s="18">
        <v>0</v>
      </c>
      <c r="M236" s="12" t="s">
        <v>121</v>
      </c>
      <c r="N236" s="35">
        <v>50467</v>
      </c>
      <c r="O236" s="35">
        <v>50466.81</v>
      </c>
      <c r="P236" s="35">
        <v>50466.81</v>
      </c>
      <c r="Q236" s="35">
        <v>48902.8</v>
      </c>
      <c r="R236" s="18">
        <f>N236-O236</f>
        <v>0.1900000000023283</v>
      </c>
      <c r="S236" s="18">
        <f>O236-P236</f>
        <v>0.0</v>
      </c>
      <c r="T236" s="18">
        <f>N236-Q236</f>
        <v>1564.199999999997</v>
      </c>
      <c r="U236" s="36">
        <f>IF(N236&gt;0,Q236/N236,0)</f>
        <v>0.9690054887352132</v>
      </c>
      <c r="V236" s="35">
        <v>2430090.05</v>
      </c>
      <c r="W236" s="35">
        <v>249797.99</v>
      </c>
      <c r="X236" s="36">
        <v>0.1027937174591534</v>
      </c>
      <c r="Y236" s="35">
        <v>50467</v>
      </c>
      <c r="Z236" s="17" t="s">
        <v>85</v>
      </c>
      <c r="AA236" s="35">
        <v>100000</v>
      </c>
      <c r="AB236" s="35">
        <v>0</v>
      </c>
      <c r="AC236" s="35">
        <v>0</v>
      </c>
      <c r="AD236" s="35">
        <v>1272222</v>
      </c>
      <c r="AE236" s="12" t="s">
        <v>86</v>
      </c>
      <c r="AF236" s="12" t="s">
        <v>87</v>
      </c>
      <c r="AG236" s="18">
        <v>-1</v>
      </c>
      <c r="AH236" s="12" t="s">
        <v>169</v>
      </c>
      <c r="AI236" s="12" t="s">
        <v>89</v>
      </c>
      <c r="AJ236" s="12" t="s">
        <v>89</v>
      </c>
      <c r="AK236" s="12" t="s">
        <v>89</v>
      </c>
      <c r="AL236" s="12" t="s">
        <v>141</v>
      </c>
      <c r="AM236" s="12" t="s">
        <v>91</v>
      </c>
      <c r="AN236" s="17" t="s">
        <v>92</v>
      </c>
    </row>
    <row r="237" spans="1:40">
      <c r="A237" s="12" t="s">
        <v>74</v>
      </c>
      <c r="B237" s="12" t="s">
        <v>75</v>
      </c>
      <c r="C237" s="12" t="s">
        <v>76</v>
      </c>
      <c r="D237" s="12" t="s">
        <v>720</v>
      </c>
      <c r="E237" s="12" t="s">
        <v>102</v>
      </c>
      <c r="F237" s="12" t="s">
        <v>930</v>
      </c>
      <c r="G237" s="12" t="s">
        <v>931</v>
      </c>
      <c r="H237" s="34" t="s">
        <v>932</v>
      </c>
      <c r="I237" s="12" t="s">
        <v>82</v>
      </c>
      <c r="J237" s="12" t="s">
        <v>149</v>
      </c>
      <c r="K237" s="18">
        <v>0</v>
      </c>
      <c r="L237" s="18">
        <v>0</v>
      </c>
      <c r="M237" s="12" t="s">
        <v>150</v>
      </c>
      <c r="N237" s="35">
        <v>0</v>
      </c>
      <c r="O237" s="35">
        <v>0</v>
      </c>
      <c r="P237" s="35">
        <v>0</v>
      </c>
      <c r="Q237" s="35">
        <v>0</v>
      </c>
      <c r="R237" s="18">
        <f>N237-O237</f>
        <v>0.0</v>
      </c>
      <c r="S237" s="18">
        <f>O237-P237</f>
        <v>0.0</v>
      </c>
      <c r="T237" s="18">
        <f>N237-Q237</f>
        <v>0.0</v>
      </c>
      <c r="U237" s="36">
        <f>IF(N237&gt;0,Q237/N237,0)</f>
        <v>0</v>
      </c>
      <c r="V237" s="35">
        <v>194380622.13</v>
      </c>
      <c r="W237" s="35">
        <v>307268.3</v>
      </c>
      <c r="X237" s="36">
        <v>0.001580755821403338</v>
      </c>
      <c r="Y237" s="17" t="s">
        <v>151</v>
      </c>
      <c r="Z237" s="17" t="s">
        <v>933</v>
      </c>
      <c r="AA237" s="35">
        <v>1000000</v>
      </c>
      <c r="AB237" s="35">
        <v>0</v>
      </c>
      <c r="AC237" s="35">
        <v>0</v>
      </c>
      <c r="AD237" s="35">
        <v>0</v>
      </c>
      <c r="AE237" s="12" t="s">
        <v>313</v>
      </c>
      <c r="AF237" s="12" t="s">
        <v>934</v>
      </c>
      <c r="AG237" s="18">
        <v>-1</v>
      </c>
      <c r="AH237" s="12" t="s">
        <v>145</v>
      </c>
      <c r="AI237" s="12" t="s">
        <v>89</v>
      </c>
      <c r="AJ237" s="12" t="s">
        <v>89</v>
      </c>
      <c r="AK237" s="12" t="s">
        <v>89</v>
      </c>
      <c r="AL237" s="12" t="s">
        <v>141</v>
      </c>
      <c r="AM237" s="12" t="s">
        <v>935</v>
      </c>
      <c r="AN237" s="17" t="s">
        <v>92</v>
      </c>
    </row>
    <row r="238" spans="1:40">
      <c r="A238" s="12" t="s">
        <v>74</v>
      </c>
      <c r="B238" s="12" t="s">
        <v>75</v>
      </c>
      <c r="C238" s="12" t="s">
        <v>76</v>
      </c>
      <c r="D238" s="12" t="s">
        <v>720</v>
      </c>
      <c r="E238" s="12" t="s">
        <v>102</v>
      </c>
      <c r="F238" s="12" t="s">
        <v>936</v>
      </c>
      <c r="G238" s="12" t="s">
        <v>937</v>
      </c>
      <c r="H238" s="34" t="s">
        <v>938</v>
      </c>
      <c r="I238" s="12" t="s">
        <v>162</v>
      </c>
      <c r="J238" s="12" t="s">
        <v>83</v>
      </c>
      <c r="K238" s="18">
        <v>0</v>
      </c>
      <c r="L238" s="18">
        <v>0</v>
      </c>
      <c r="M238" s="12" t="s">
        <v>84</v>
      </c>
      <c r="N238" s="35">
        <v>2394005</v>
      </c>
      <c r="O238" s="35">
        <v>0</v>
      </c>
      <c r="P238" s="35">
        <v>0</v>
      </c>
      <c r="Q238" s="35">
        <v>0</v>
      </c>
      <c r="R238" s="18">
        <f>N238-O238</f>
        <v>2394005.0</v>
      </c>
      <c r="S238" s="18">
        <f>O238-P238</f>
        <v>0.0</v>
      </c>
      <c r="T238" s="18">
        <f>N238-Q238</f>
        <v>2394005.0</v>
      </c>
      <c r="U238" s="36">
        <f>IF(N238&gt;0,Q238/N238,0)</f>
        <v>0.0</v>
      </c>
      <c r="V238" s="35">
        <v>3749453.41</v>
      </c>
      <c r="W238" s="35">
        <v>40000</v>
      </c>
      <c r="X238" s="36">
        <v>0.01066822163820406</v>
      </c>
      <c r="Y238" s="35">
        <v>2414005</v>
      </c>
      <c r="Z238" s="17" t="s">
        <v>108</v>
      </c>
      <c r="AA238" s="12" t="s">
        <v>99</v>
      </c>
      <c r="AB238" s="12" t="s">
        <v>99</v>
      </c>
      <c r="AC238" s="12" t="s">
        <v>99</v>
      </c>
      <c r="AD238" s="12" t="s">
        <v>99</v>
      </c>
      <c r="AE238" s="12" t="s">
        <v>86</v>
      </c>
      <c r="AF238" s="12" t="s">
        <v>87</v>
      </c>
      <c r="AG238" s="18">
        <v>0</v>
      </c>
      <c r="AH238" s="12" t="s">
        <v>145</v>
      </c>
      <c r="AI238" s="12" t="s">
        <v>89</v>
      </c>
      <c r="AJ238" s="12" t="s">
        <v>89</v>
      </c>
      <c r="AK238" s="12" t="s">
        <v>89</v>
      </c>
      <c r="AL238" s="12" t="s">
        <v>127</v>
      </c>
      <c r="AM238" s="12" t="s">
        <v>164</v>
      </c>
      <c r="AN238" s="17" t="s">
        <v>92</v>
      </c>
    </row>
    <row r="239" spans="1:40">
      <c r="A239" s="12" t="s">
        <v>74</v>
      </c>
      <c r="B239" s="12" t="s">
        <v>75</v>
      </c>
      <c r="C239" s="12" t="s">
        <v>76</v>
      </c>
      <c r="D239" s="12" t="s">
        <v>720</v>
      </c>
      <c r="E239" s="12" t="s">
        <v>221</v>
      </c>
      <c r="F239" s="12" t="s">
        <v>939</v>
      </c>
      <c r="G239" s="12" t="s">
        <v>940</v>
      </c>
      <c r="H239" s="34" t="s">
        <v>941</v>
      </c>
      <c r="I239" s="12" t="s">
        <v>82</v>
      </c>
      <c r="J239" s="12" t="s">
        <v>83</v>
      </c>
      <c r="K239" s="18">
        <v>0</v>
      </c>
      <c r="L239" s="18">
        <v>0</v>
      </c>
      <c r="M239" s="12" t="s">
        <v>84</v>
      </c>
      <c r="N239" s="35">
        <v>350198</v>
      </c>
      <c r="O239" s="35">
        <v>287570</v>
      </c>
      <c r="P239" s="35">
        <v>287570</v>
      </c>
      <c r="Q239" s="35">
        <v>252136.73</v>
      </c>
      <c r="R239" s="18">
        <f>N239-O239</f>
        <v>62628.0</v>
      </c>
      <c r="S239" s="18">
        <f>O239-P239</f>
        <v>0.0</v>
      </c>
      <c r="T239" s="18">
        <f>N239-Q239</f>
        <v>98061.26999999999</v>
      </c>
      <c r="U239" s="36">
        <f>IF(N239&gt;0,Q239/N239,0)</f>
        <v>0.7199833522749988</v>
      </c>
      <c r="V239" s="35">
        <v>19875746</v>
      </c>
      <c r="W239" s="35">
        <v>1626590.42</v>
      </c>
      <c r="X239" s="36">
        <v>0.08183795566717345</v>
      </c>
      <c r="Y239" s="35">
        <v>350198</v>
      </c>
      <c r="Z239" s="17" t="s">
        <v>122</v>
      </c>
      <c r="AA239" s="35">
        <v>100000</v>
      </c>
      <c r="AB239" s="35">
        <v>0</v>
      </c>
      <c r="AC239" s="35">
        <v>0</v>
      </c>
      <c r="AD239" s="35">
        <v>0</v>
      </c>
      <c r="AE239" s="12" t="s">
        <v>86</v>
      </c>
      <c r="AF239" s="12" t="s">
        <v>87</v>
      </c>
      <c r="AG239" s="18">
        <v>-1</v>
      </c>
      <c r="AH239" s="12" t="s">
        <v>169</v>
      </c>
      <c r="AI239" s="12" t="s">
        <v>89</v>
      </c>
      <c r="AJ239" s="12" t="s">
        <v>89</v>
      </c>
      <c r="AK239" s="12" t="s">
        <v>89</v>
      </c>
      <c r="AL239" s="12" t="s">
        <v>141</v>
      </c>
      <c r="AM239" s="12" t="s">
        <v>942</v>
      </c>
      <c r="AN239" s="17" t="s">
        <v>92</v>
      </c>
    </row>
    <row r="240" spans="1:40">
      <c r="A240" s="12" t="s">
        <v>74</v>
      </c>
      <c r="B240" s="12" t="s">
        <v>75</v>
      </c>
      <c r="C240" s="12" t="s">
        <v>76</v>
      </c>
      <c r="D240" s="12" t="s">
        <v>720</v>
      </c>
      <c r="E240" s="12" t="s">
        <v>221</v>
      </c>
      <c r="F240" s="12" t="s">
        <v>943</v>
      </c>
      <c r="G240" s="12" t="s">
        <v>944</v>
      </c>
      <c r="H240" s="34" t="s">
        <v>945</v>
      </c>
      <c r="I240" s="12" t="s">
        <v>82</v>
      </c>
      <c r="J240" s="12" t="s">
        <v>149</v>
      </c>
      <c r="K240" s="18">
        <v>0</v>
      </c>
      <c r="L240" s="18">
        <v>0</v>
      </c>
      <c r="M240" s="12" t="s">
        <v>150</v>
      </c>
      <c r="N240" s="35">
        <v>0</v>
      </c>
      <c r="O240" s="35">
        <v>0</v>
      </c>
      <c r="P240" s="35">
        <v>0</v>
      </c>
      <c r="Q240" s="35">
        <v>0</v>
      </c>
      <c r="R240" s="18">
        <f>N240-O240</f>
        <v>0.0</v>
      </c>
      <c r="S240" s="18">
        <f>O240-P240</f>
        <v>0.0</v>
      </c>
      <c r="T240" s="18">
        <f>N240-Q240</f>
        <v>0.0</v>
      </c>
      <c r="U240" s="36">
        <f>IF(N240&gt;0,Q240/N240,0)</f>
        <v>0</v>
      </c>
      <c r="V240" s="35">
        <v>758645</v>
      </c>
      <c r="W240" s="35">
        <v>190709.66</v>
      </c>
      <c r="X240" s="36">
        <v>0.2513819507147612</v>
      </c>
      <c r="Y240" s="17" t="s">
        <v>151</v>
      </c>
      <c r="Z240" s="17" t="s">
        <v>946</v>
      </c>
      <c r="AA240" s="35">
        <v>100000</v>
      </c>
      <c r="AB240" s="35">
        <v>0</v>
      </c>
      <c r="AC240" s="35">
        <v>0</v>
      </c>
      <c r="AD240" s="35">
        <v>0</v>
      </c>
      <c r="AE240" s="12" t="s">
        <v>203</v>
      </c>
      <c r="AF240" s="12" t="s">
        <v>87</v>
      </c>
      <c r="AG240" s="18">
        <v>-1</v>
      </c>
      <c r="AH240" s="12" t="s">
        <v>145</v>
      </c>
      <c r="AI240" s="12" t="s">
        <v>89</v>
      </c>
      <c r="AJ240" s="12" t="s">
        <v>89</v>
      </c>
      <c r="AK240" s="12" t="s">
        <v>89</v>
      </c>
      <c r="AL240" s="12" t="s">
        <v>141</v>
      </c>
      <c r="AM240" s="12" t="s">
        <v>91</v>
      </c>
      <c r="AN240" s="17" t="s">
        <v>92</v>
      </c>
    </row>
    <row r="241" spans="1:40">
      <c r="A241" s="12" t="s">
        <v>74</v>
      </c>
      <c r="B241" s="12" t="s">
        <v>75</v>
      </c>
      <c r="C241" s="12" t="s">
        <v>76</v>
      </c>
      <c r="D241" s="12" t="s">
        <v>720</v>
      </c>
      <c r="E241" s="12" t="s">
        <v>221</v>
      </c>
      <c r="F241" s="12" t="s">
        <v>947</v>
      </c>
      <c r="G241" s="12" t="s">
        <v>948</v>
      </c>
      <c r="H241" s="34" t="s">
        <v>949</v>
      </c>
      <c r="I241" s="12" t="s">
        <v>82</v>
      </c>
      <c r="J241" s="12" t="s">
        <v>149</v>
      </c>
      <c r="K241" s="18">
        <v>0</v>
      </c>
      <c r="L241" s="18">
        <v>0</v>
      </c>
      <c r="M241" s="12" t="s">
        <v>150</v>
      </c>
      <c r="N241" s="35">
        <v>0</v>
      </c>
      <c r="O241" s="35">
        <v>0</v>
      </c>
      <c r="P241" s="35">
        <v>0</v>
      </c>
      <c r="Q241" s="35">
        <v>0</v>
      </c>
      <c r="R241" s="18">
        <f>N241-O241</f>
        <v>0.0</v>
      </c>
      <c r="S241" s="18">
        <f>O241-P241</f>
        <v>0.0</v>
      </c>
      <c r="T241" s="18">
        <f>N241-Q241</f>
        <v>0.0</v>
      </c>
      <c r="U241" s="36">
        <f>IF(N241&gt;0,Q241/N241,0)</f>
        <v>0</v>
      </c>
      <c r="V241" s="35">
        <v>715146931</v>
      </c>
      <c r="W241" s="35">
        <v>0</v>
      </c>
      <c r="X241" s="36">
        <v>0</v>
      </c>
      <c r="Y241" s="17" t="s">
        <v>151</v>
      </c>
      <c r="Z241" s="17" t="s">
        <v>950</v>
      </c>
      <c r="AA241" s="12" t="s">
        <v>99</v>
      </c>
      <c r="AB241" s="12" t="s">
        <v>99</v>
      </c>
      <c r="AC241" s="12" t="s">
        <v>99</v>
      </c>
      <c r="AD241" s="12" t="s">
        <v>99</v>
      </c>
      <c r="AE241" s="12" t="s">
        <v>951</v>
      </c>
      <c r="AF241" s="12" t="s">
        <v>87</v>
      </c>
      <c r="AG241" s="18">
        <v>-1</v>
      </c>
      <c r="AH241" s="12" t="s">
        <v>145</v>
      </c>
      <c r="AI241" s="12" t="s">
        <v>89</v>
      </c>
      <c r="AJ241" s="12" t="s">
        <v>89</v>
      </c>
      <c r="AK241" s="12" t="s">
        <v>89</v>
      </c>
      <c r="AL241" s="12" t="s">
        <v>141</v>
      </c>
      <c r="AM241" s="12" t="s">
        <v>91</v>
      </c>
      <c r="AN241" s="17" t="s">
        <v>87</v>
      </c>
    </row>
    <row r="242" spans="1:40">
      <c r="A242" s="12" t="s">
        <v>74</v>
      </c>
      <c r="B242" s="12" t="s">
        <v>75</v>
      </c>
      <c r="C242" s="12" t="s">
        <v>76</v>
      </c>
      <c r="D242" s="12" t="s">
        <v>720</v>
      </c>
      <c r="E242" s="12" t="s">
        <v>221</v>
      </c>
      <c r="F242" s="12" t="s">
        <v>952</v>
      </c>
      <c r="G242" s="12" t="s">
        <v>953</v>
      </c>
      <c r="H242" s="34" t="s">
        <v>954</v>
      </c>
      <c r="I242" s="12" t="s">
        <v>82</v>
      </c>
      <c r="J242" s="12" t="s">
        <v>149</v>
      </c>
      <c r="K242" s="18">
        <v>0</v>
      </c>
      <c r="L242" s="18">
        <v>0</v>
      </c>
      <c r="M242" s="12" t="s">
        <v>150</v>
      </c>
      <c r="N242" s="35">
        <v>0</v>
      </c>
      <c r="O242" s="35">
        <v>0</v>
      </c>
      <c r="P242" s="35">
        <v>0</v>
      </c>
      <c r="Q242" s="35">
        <v>0</v>
      </c>
      <c r="R242" s="18">
        <f>N242-O242</f>
        <v>0.0</v>
      </c>
      <c r="S242" s="18">
        <f>O242-P242</f>
        <v>0.0</v>
      </c>
      <c r="T242" s="18">
        <f>N242-Q242</f>
        <v>0.0</v>
      </c>
      <c r="U242" s="36">
        <f>IF(N242&gt;0,Q242/N242,0)</f>
        <v>0</v>
      </c>
      <c r="V242" s="35">
        <v>43908103.02</v>
      </c>
      <c r="W242" s="35">
        <v>1665438.62</v>
      </c>
      <c r="X242" s="36">
        <v>0.037930097304395</v>
      </c>
      <c r="Y242" s="17" t="s">
        <v>151</v>
      </c>
      <c r="Z242" s="17" t="s">
        <v>333</v>
      </c>
      <c r="AA242" s="35">
        <v>7946662</v>
      </c>
      <c r="AB242" s="35">
        <v>0</v>
      </c>
      <c r="AC242" s="35">
        <v>0</v>
      </c>
      <c r="AD242" s="35">
        <v>0</v>
      </c>
      <c r="AE242" s="12" t="s">
        <v>203</v>
      </c>
      <c r="AF242" s="12" t="s">
        <v>87</v>
      </c>
      <c r="AG242" s="18">
        <v>-1</v>
      </c>
      <c r="AH242" s="12" t="s">
        <v>593</v>
      </c>
      <c r="AI242" s="12" t="s">
        <v>89</v>
      </c>
      <c r="AJ242" s="12" t="s">
        <v>89</v>
      </c>
      <c r="AK242" s="12" t="s">
        <v>89</v>
      </c>
      <c r="AL242" s="12" t="s">
        <v>141</v>
      </c>
      <c r="AM242" s="12" t="s">
        <v>91</v>
      </c>
      <c r="AN242" s="17" t="s">
        <v>92</v>
      </c>
    </row>
    <row r="243" spans="1:40">
      <c r="A243" s="12" t="s">
        <v>74</v>
      </c>
      <c r="B243" s="12" t="s">
        <v>75</v>
      </c>
      <c r="C243" s="12" t="s">
        <v>76</v>
      </c>
      <c r="D243" s="12" t="s">
        <v>720</v>
      </c>
      <c r="E243" s="12" t="s">
        <v>221</v>
      </c>
      <c r="F243" s="12" t="s">
        <v>955</v>
      </c>
      <c r="G243" s="12" t="s">
        <v>956</v>
      </c>
      <c r="H243" s="34" t="s">
        <v>957</v>
      </c>
      <c r="I243" s="12" t="s">
        <v>82</v>
      </c>
      <c r="J243" s="12" t="s">
        <v>149</v>
      </c>
      <c r="K243" s="18">
        <v>0</v>
      </c>
      <c r="L243" s="18">
        <v>0</v>
      </c>
      <c r="M243" s="12" t="s">
        <v>150</v>
      </c>
      <c r="N243" s="35">
        <v>0</v>
      </c>
      <c r="O243" s="35">
        <v>0</v>
      </c>
      <c r="P243" s="35">
        <v>0</v>
      </c>
      <c r="Q243" s="35">
        <v>0</v>
      </c>
      <c r="R243" s="18">
        <f>N243-O243</f>
        <v>0.0</v>
      </c>
      <c r="S243" s="18">
        <f>O243-P243</f>
        <v>0.0</v>
      </c>
      <c r="T243" s="18">
        <f>N243-Q243</f>
        <v>0.0</v>
      </c>
      <c r="U243" s="36">
        <f>IF(N243&gt;0,Q243/N243,0)</f>
        <v>0</v>
      </c>
      <c r="V243" s="35">
        <v>79820259.15000001</v>
      </c>
      <c r="W243" s="35">
        <v>3285271.78</v>
      </c>
      <c r="X243" s="36">
        <v>0.04115837025567963</v>
      </c>
      <c r="Y243" s="35">
        <v>196824</v>
      </c>
      <c r="Z243" s="17" t="s">
        <v>958</v>
      </c>
      <c r="AA243" s="35">
        <v>2800000</v>
      </c>
      <c r="AB243" s="35">
        <v>0</v>
      </c>
      <c r="AC243" s="35">
        <v>0</v>
      </c>
      <c r="AD243" s="35">
        <v>0</v>
      </c>
      <c r="AE243" s="12" t="s">
        <v>313</v>
      </c>
      <c r="AF243" s="12" t="s">
        <v>934</v>
      </c>
      <c r="AG243" s="18">
        <v>-1</v>
      </c>
      <c r="AH243" s="12" t="s">
        <v>501</v>
      </c>
      <c r="AI243" s="12" t="s">
        <v>89</v>
      </c>
      <c r="AJ243" s="12" t="s">
        <v>89</v>
      </c>
      <c r="AK243" s="12" t="s">
        <v>89</v>
      </c>
      <c r="AL243" s="12" t="s">
        <v>141</v>
      </c>
      <c r="AM243" s="12" t="s">
        <v>91</v>
      </c>
      <c r="AN243" s="17" t="s">
        <v>92</v>
      </c>
    </row>
    <row r="244" spans="1:40">
      <c r="A244" s="12" t="s">
        <v>74</v>
      </c>
      <c r="B244" s="12" t="s">
        <v>75</v>
      </c>
      <c r="C244" s="12" t="s">
        <v>76</v>
      </c>
      <c r="D244" s="12" t="s">
        <v>720</v>
      </c>
      <c r="E244" s="12" t="s">
        <v>221</v>
      </c>
      <c r="F244" s="12" t="s">
        <v>959</v>
      </c>
      <c r="G244" s="12" t="s">
        <v>960</v>
      </c>
      <c r="H244" s="34" t="s">
        <v>961</v>
      </c>
      <c r="I244" s="12" t="s">
        <v>82</v>
      </c>
      <c r="J244" s="12" t="s">
        <v>83</v>
      </c>
      <c r="K244" s="18">
        <v>0</v>
      </c>
      <c r="L244" s="18">
        <v>0</v>
      </c>
      <c r="M244" s="12" t="s">
        <v>84</v>
      </c>
      <c r="N244" s="35">
        <v>100000</v>
      </c>
      <c r="O244" s="35">
        <v>20000</v>
      </c>
      <c r="P244" s="35">
        <v>20000</v>
      </c>
      <c r="Q244" s="35">
        <v>13772.3</v>
      </c>
      <c r="R244" s="18">
        <f>N244-O244</f>
        <v>80000.0</v>
      </c>
      <c r="S244" s="18">
        <f>O244-P244</f>
        <v>0.0</v>
      </c>
      <c r="T244" s="18">
        <f>N244-Q244</f>
        <v>86227.7</v>
      </c>
      <c r="U244" s="36">
        <f>IF(N244&gt;0,Q244/N244,0)</f>
        <v>0.13772299999999998</v>
      </c>
      <c r="V244" s="35">
        <v>12321268.54</v>
      </c>
      <c r="W244" s="35">
        <v>320249.23</v>
      </c>
      <c r="X244" s="36">
        <v>0.02599157943521293</v>
      </c>
      <c r="Y244" s="35">
        <v>100000</v>
      </c>
      <c r="Z244" s="17" t="s">
        <v>85</v>
      </c>
      <c r="AA244" s="35">
        <v>100000</v>
      </c>
      <c r="AB244" s="35">
        <v>452541</v>
      </c>
      <c r="AC244" s="35">
        <v>0</v>
      </c>
      <c r="AD244" s="35">
        <v>1000000</v>
      </c>
      <c r="AE244" s="12" t="s">
        <v>86</v>
      </c>
      <c r="AF244" s="12" t="s">
        <v>87</v>
      </c>
      <c r="AG244" s="18">
        <v>-1</v>
      </c>
      <c r="AH244" s="12" t="s">
        <v>169</v>
      </c>
      <c r="AI244" s="12" t="s">
        <v>89</v>
      </c>
      <c r="AJ244" s="12" t="s">
        <v>89</v>
      </c>
      <c r="AK244" s="12" t="s">
        <v>89</v>
      </c>
      <c r="AL244" s="12" t="s">
        <v>141</v>
      </c>
      <c r="AM244" s="12" t="s">
        <v>91</v>
      </c>
      <c r="AN244" s="17" t="s">
        <v>92</v>
      </c>
    </row>
    <row r="245" spans="1:40">
      <c r="A245" s="12" t="s">
        <v>74</v>
      </c>
      <c r="B245" s="12" t="s">
        <v>75</v>
      </c>
      <c r="C245" s="12" t="s">
        <v>76</v>
      </c>
      <c r="D245" s="12" t="s">
        <v>720</v>
      </c>
      <c r="E245" s="12" t="s">
        <v>221</v>
      </c>
      <c r="F245" s="12" t="s">
        <v>962</v>
      </c>
      <c r="G245" s="12" t="s">
        <v>963</v>
      </c>
      <c r="H245" s="34" t="s">
        <v>964</v>
      </c>
      <c r="I245" s="12" t="s">
        <v>82</v>
      </c>
      <c r="J245" s="12" t="s">
        <v>83</v>
      </c>
      <c r="K245" s="18">
        <v>0</v>
      </c>
      <c r="L245" s="18">
        <v>0</v>
      </c>
      <c r="M245" s="12" t="s">
        <v>84</v>
      </c>
      <c r="N245" s="35">
        <v>391951</v>
      </c>
      <c r="O245" s="35">
        <v>130000</v>
      </c>
      <c r="P245" s="35">
        <v>0</v>
      </c>
      <c r="Q245" s="35">
        <v>0</v>
      </c>
      <c r="R245" s="18">
        <f>N245-O245</f>
        <v>261951.0</v>
      </c>
      <c r="S245" s="18">
        <f>O245-P245</f>
        <v>130000.0</v>
      </c>
      <c r="T245" s="18">
        <f>N245-Q245</f>
        <v>391951.0</v>
      </c>
      <c r="U245" s="36">
        <f>IF(N245&gt;0,Q245/N245,0)</f>
        <v>0.0</v>
      </c>
      <c r="V245" s="35">
        <v>28042506.64</v>
      </c>
      <c r="W245" s="35">
        <v>71752.8</v>
      </c>
      <c r="X245" s="36">
        <v>0.002558715628425719</v>
      </c>
      <c r="Y245" s="35">
        <v>391951</v>
      </c>
      <c r="Z245" s="17" t="s">
        <v>85</v>
      </c>
      <c r="AA245" s="35">
        <v>850000</v>
      </c>
      <c r="AB245" s="35">
        <v>454257</v>
      </c>
      <c r="AC245" s="35">
        <v>0</v>
      </c>
      <c r="AD245" s="35">
        <v>1000000</v>
      </c>
      <c r="AE245" s="12" t="s">
        <v>86</v>
      </c>
      <c r="AF245" s="12" t="s">
        <v>87</v>
      </c>
      <c r="AG245" s="18">
        <v>-1</v>
      </c>
      <c r="AH245" s="12" t="s">
        <v>169</v>
      </c>
      <c r="AI245" s="12" t="s">
        <v>89</v>
      </c>
      <c r="AJ245" s="12" t="s">
        <v>89</v>
      </c>
      <c r="AK245" s="12" t="s">
        <v>89</v>
      </c>
      <c r="AL245" s="12" t="s">
        <v>141</v>
      </c>
      <c r="AM245" s="12" t="s">
        <v>91</v>
      </c>
      <c r="AN245" s="17" t="s">
        <v>92</v>
      </c>
    </row>
    <row r="246" spans="1:40">
      <c r="A246" s="12" t="s">
        <v>74</v>
      </c>
      <c r="B246" s="12" t="s">
        <v>75</v>
      </c>
      <c r="C246" s="12" t="s">
        <v>76</v>
      </c>
      <c r="D246" s="12" t="s">
        <v>720</v>
      </c>
      <c r="E246" s="12" t="s">
        <v>221</v>
      </c>
      <c r="F246" s="12" t="s">
        <v>965</v>
      </c>
      <c r="G246" s="12" t="s">
        <v>966</v>
      </c>
      <c r="H246" s="34" t="s">
        <v>967</v>
      </c>
      <c r="I246" s="12" t="s">
        <v>82</v>
      </c>
      <c r="J246" s="12" t="s">
        <v>149</v>
      </c>
      <c r="K246" s="18">
        <v>0</v>
      </c>
      <c r="L246" s="18">
        <v>0</v>
      </c>
      <c r="M246" s="12" t="s">
        <v>150</v>
      </c>
      <c r="N246" s="35">
        <v>0</v>
      </c>
      <c r="O246" s="35">
        <v>0</v>
      </c>
      <c r="P246" s="35">
        <v>0</v>
      </c>
      <c r="Q246" s="35">
        <v>0</v>
      </c>
      <c r="R246" s="18">
        <f>N246-O246</f>
        <v>0.0</v>
      </c>
      <c r="S246" s="18">
        <f>O246-P246</f>
        <v>0.0</v>
      </c>
      <c r="T246" s="18">
        <f>N246-Q246</f>
        <v>0.0</v>
      </c>
      <c r="U246" s="36">
        <f>IF(N246&gt;0,Q246/N246,0)</f>
        <v>0</v>
      </c>
      <c r="V246" s="35">
        <v>21013573.73</v>
      </c>
      <c r="W246" s="35">
        <v>400441.36</v>
      </c>
      <c r="X246" s="36">
        <v>0.01905631879399506</v>
      </c>
      <c r="Y246" s="17" t="s">
        <v>151</v>
      </c>
      <c r="Z246" s="17" t="s">
        <v>463</v>
      </c>
      <c r="AA246" s="35">
        <v>800000</v>
      </c>
      <c r="AB246" s="35">
        <v>0</v>
      </c>
      <c r="AC246" s="35">
        <v>0</v>
      </c>
      <c r="AD246" s="35">
        <v>0</v>
      </c>
      <c r="AE246" s="12" t="s">
        <v>203</v>
      </c>
      <c r="AF246" s="12" t="s">
        <v>87</v>
      </c>
      <c r="AG246" s="18">
        <v>-1</v>
      </c>
      <c r="AH246" s="12" t="s">
        <v>145</v>
      </c>
      <c r="AI246" s="12" t="s">
        <v>89</v>
      </c>
      <c r="AJ246" s="12" t="s">
        <v>89</v>
      </c>
      <c r="AK246" s="12" t="s">
        <v>89</v>
      </c>
      <c r="AL246" s="12" t="s">
        <v>141</v>
      </c>
      <c r="AM246" s="12" t="s">
        <v>91</v>
      </c>
      <c r="AN246" s="17" t="s">
        <v>92</v>
      </c>
    </row>
    <row r="247" spans="1:40">
      <c r="A247" s="12" t="s">
        <v>74</v>
      </c>
      <c r="B247" s="12" t="s">
        <v>75</v>
      </c>
      <c r="C247" s="12" t="s">
        <v>76</v>
      </c>
      <c r="D247" s="12" t="s">
        <v>720</v>
      </c>
      <c r="E247" s="12" t="s">
        <v>221</v>
      </c>
      <c r="F247" s="12" t="s">
        <v>968</v>
      </c>
      <c r="G247" s="12" t="s">
        <v>969</v>
      </c>
      <c r="H247" s="34" t="s">
        <v>970</v>
      </c>
      <c r="I247" s="12" t="s">
        <v>82</v>
      </c>
      <c r="J247" s="12" t="s">
        <v>83</v>
      </c>
      <c r="K247" s="18">
        <v>0</v>
      </c>
      <c r="L247" s="18">
        <v>0</v>
      </c>
      <c r="M247" s="12" t="s">
        <v>84</v>
      </c>
      <c r="N247" s="35">
        <v>171047</v>
      </c>
      <c r="O247" s="35">
        <v>170547</v>
      </c>
      <c r="P247" s="35">
        <v>170547</v>
      </c>
      <c r="Q247" s="35">
        <v>142342.18</v>
      </c>
      <c r="R247" s="18">
        <f>N247-O247</f>
        <v>500.0</v>
      </c>
      <c r="S247" s="18">
        <f>O247-P247</f>
        <v>0.0</v>
      </c>
      <c r="T247" s="18">
        <f>N247-Q247</f>
        <v>28704.820000000007</v>
      </c>
      <c r="U247" s="36">
        <f>IF(N247&gt;0,Q247/N247,0)</f>
        <v>0.8321816810584225</v>
      </c>
      <c r="V247" s="35">
        <v>53211356.43</v>
      </c>
      <c r="W247" s="35">
        <v>845459.6899999999</v>
      </c>
      <c r="X247" s="36">
        <v>0.01588870772561886</v>
      </c>
      <c r="Y247" s="35">
        <v>171047</v>
      </c>
      <c r="Z247" s="17" t="s">
        <v>85</v>
      </c>
      <c r="AA247" s="35">
        <v>800000</v>
      </c>
      <c r="AB247" s="35">
        <v>7856258</v>
      </c>
      <c r="AC247" s="35">
        <v>0</v>
      </c>
      <c r="AD247" s="35">
        <v>3000000</v>
      </c>
      <c r="AE247" s="12" t="s">
        <v>86</v>
      </c>
      <c r="AF247" s="12" t="s">
        <v>87</v>
      </c>
      <c r="AG247" s="18">
        <v>-1</v>
      </c>
      <c r="AH247" s="12" t="s">
        <v>169</v>
      </c>
      <c r="AI247" s="12" t="s">
        <v>89</v>
      </c>
      <c r="AJ247" s="12" t="s">
        <v>89</v>
      </c>
      <c r="AK247" s="12" t="s">
        <v>89</v>
      </c>
      <c r="AL247" s="12" t="s">
        <v>141</v>
      </c>
      <c r="AM247" s="12" t="s">
        <v>91</v>
      </c>
      <c r="AN247" s="17" t="s">
        <v>92</v>
      </c>
    </row>
    <row r="248" spans="1:40">
      <c r="A248" s="12" t="s">
        <v>74</v>
      </c>
      <c r="B248" s="12" t="s">
        <v>75</v>
      </c>
      <c r="C248" s="12" t="s">
        <v>76</v>
      </c>
      <c r="D248" s="12" t="s">
        <v>720</v>
      </c>
      <c r="E248" s="12" t="s">
        <v>221</v>
      </c>
      <c r="F248" s="12" t="s">
        <v>971</v>
      </c>
      <c r="G248" s="12" t="s">
        <v>972</v>
      </c>
      <c r="H248" s="34" t="s">
        <v>973</v>
      </c>
      <c r="I248" s="12" t="s">
        <v>82</v>
      </c>
      <c r="J248" s="12" t="s">
        <v>83</v>
      </c>
      <c r="K248" s="18">
        <v>0</v>
      </c>
      <c r="L248" s="18">
        <v>0</v>
      </c>
      <c r="M248" s="12" t="s">
        <v>84</v>
      </c>
      <c r="N248" s="35">
        <v>840279</v>
      </c>
      <c r="O248" s="35">
        <v>668334</v>
      </c>
      <c r="P248" s="35">
        <v>668334</v>
      </c>
      <c r="Q248" s="35">
        <v>535432.86</v>
      </c>
      <c r="R248" s="18">
        <f>N248-O248</f>
        <v>171945.0</v>
      </c>
      <c r="S248" s="18">
        <f>O248-P248</f>
        <v>0.0</v>
      </c>
      <c r="T248" s="18">
        <f>N248-Q248</f>
        <v>304846.14</v>
      </c>
      <c r="U248" s="36">
        <f>IF(N248&gt;0,Q248/N248,0)</f>
        <v>0.6372084272009654</v>
      </c>
      <c r="V248" s="35">
        <v>139319662.46</v>
      </c>
      <c r="W248" s="35">
        <v>1071342.36</v>
      </c>
      <c r="X248" s="36">
        <v>0.007689814496267478</v>
      </c>
      <c r="Y248" s="35">
        <v>840279</v>
      </c>
      <c r="Z248" s="17" t="s">
        <v>85</v>
      </c>
      <c r="AA248" s="35">
        <v>800000</v>
      </c>
      <c r="AB248" s="35">
        <v>5485623</v>
      </c>
      <c r="AC248" s="35">
        <v>0</v>
      </c>
      <c r="AD248" s="35">
        <v>1000000</v>
      </c>
      <c r="AE248" s="12" t="s">
        <v>86</v>
      </c>
      <c r="AF248" s="12" t="s">
        <v>87</v>
      </c>
      <c r="AG248" s="18">
        <v>-1</v>
      </c>
      <c r="AH248" s="12" t="s">
        <v>169</v>
      </c>
      <c r="AI248" s="12" t="s">
        <v>89</v>
      </c>
      <c r="AJ248" s="12" t="s">
        <v>89</v>
      </c>
      <c r="AK248" s="12" t="s">
        <v>89</v>
      </c>
      <c r="AL248" s="12" t="s">
        <v>141</v>
      </c>
      <c r="AM248" s="12" t="s">
        <v>91</v>
      </c>
      <c r="AN248" s="17" t="s">
        <v>92</v>
      </c>
    </row>
    <row r="249" spans="1:40">
      <c r="A249" s="12" t="s">
        <v>74</v>
      </c>
      <c r="B249" s="12" t="s">
        <v>75</v>
      </c>
      <c r="C249" s="12" t="s">
        <v>76</v>
      </c>
      <c r="D249" s="12" t="s">
        <v>720</v>
      </c>
      <c r="E249" s="12" t="s">
        <v>221</v>
      </c>
      <c r="F249" s="12" t="s">
        <v>974</v>
      </c>
      <c r="G249" s="12" t="s">
        <v>975</v>
      </c>
      <c r="H249" s="34" t="s">
        <v>976</v>
      </c>
      <c r="I249" s="12" t="s">
        <v>82</v>
      </c>
      <c r="J249" s="12" t="s">
        <v>83</v>
      </c>
      <c r="K249" s="18">
        <v>0</v>
      </c>
      <c r="L249" s="18">
        <v>0</v>
      </c>
      <c r="M249" s="12" t="s">
        <v>84</v>
      </c>
      <c r="N249" s="35">
        <v>674368</v>
      </c>
      <c r="O249" s="35">
        <v>173868</v>
      </c>
      <c r="P249" s="35">
        <v>173868</v>
      </c>
      <c r="Q249" s="35">
        <v>97687.86</v>
      </c>
      <c r="R249" s="18">
        <f>N249-O249</f>
        <v>500500.0</v>
      </c>
      <c r="S249" s="18">
        <f>O249-P249</f>
        <v>0.0</v>
      </c>
      <c r="T249" s="18">
        <f>N249-Q249</f>
        <v>576680.14</v>
      </c>
      <c r="U249" s="36">
        <f>IF(N249&gt;0,Q249/N249,0)</f>
        <v>0.14485838592578532</v>
      </c>
      <c r="V249" s="35">
        <v>28894502.24</v>
      </c>
      <c r="W249" s="35">
        <v>844123.25</v>
      </c>
      <c r="X249" s="36">
        <v>0.02921397444360336</v>
      </c>
      <c r="Y249" s="35">
        <v>674368</v>
      </c>
      <c r="Z249" s="17" t="s">
        <v>85</v>
      </c>
      <c r="AA249" s="35">
        <v>800000</v>
      </c>
      <c r="AB249" s="35">
        <v>8574875</v>
      </c>
      <c r="AC249" s="35">
        <v>0</v>
      </c>
      <c r="AD249" s="35">
        <v>1000000</v>
      </c>
      <c r="AE249" s="12" t="s">
        <v>86</v>
      </c>
      <c r="AF249" s="12" t="s">
        <v>87</v>
      </c>
      <c r="AG249" s="18">
        <v>-1</v>
      </c>
      <c r="AH249" s="12" t="s">
        <v>501</v>
      </c>
      <c r="AI249" s="12" t="s">
        <v>89</v>
      </c>
      <c r="AJ249" s="12" t="s">
        <v>89</v>
      </c>
      <c r="AK249" s="12" t="s">
        <v>89</v>
      </c>
      <c r="AL249" s="12" t="s">
        <v>141</v>
      </c>
      <c r="AM249" s="12" t="s">
        <v>91</v>
      </c>
      <c r="AN249" s="17" t="s">
        <v>92</v>
      </c>
    </row>
    <row r="250" spans="1:40">
      <c r="A250" s="12" t="s">
        <v>74</v>
      </c>
      <c r="B250" s="12" t="s">
        <v>75</v>
      </c>
      <c r="C250" s="12" t="s">
        <v>76</v>
      </c>
      <c r="D250" s="12" t="s">
        <v>720</v>
      </c>
      <c r="E250" s="12" t="s">
        <v>221</v>
      </c>
      <c r="F250" s="12" t="s">
        <v>977</v>
      </c>
      <c r="G250" s="12" t="s">
        <v>978</v>
      </c>
      <c r="H250" s="34" t="s">
        <v>979</v>
      </c>
      <c r="I250" s="12" t="s">
        <v>82</v>
      </c>
      <c r="J250" s="12" t="s">
        <v>83</v>
      </c>
      <c r="K250" s="18">
        <v>0</v>
      </c>
      <c r="L250" s="18">
        <v>0</v>
      </c>
      <c r="M250" s="12" t="s">
        <v>84</v>
      </c>
      <c r="N250" s="35">
        <v>520686</v>
      </c>
      <c r="O250" s="35">
        <v>519936</v>
      </c>
      <c r="P250" s="35">
        <v>519936</v>
      </c>
      <c r="Q250" s="35">
        <v>468290.9500000001</v>
      </c>
      <c r="R250" s="18">
        <f>N250-O250</f>
        <v>750.0</v>
      </c>
      <c r="S250" s="18">
        <f>O250-P250</f>
        <v>0.0</v>
      </c>
      <c r="T250" s="18">
        <f>N250-Q250</f>
        <v>52395.04999999993</v>
      </c>
      <c r="U250" s="36">
        <f>IF(N250&gt;0,Q250/N250,0)</f>
        <v>0.899373038645172</v>
      </c>
      <c r="V250" s="35">
        <v>94830405.54000001</v>
      </c>
      <c r="W250" s="35">
        <v>1188044.48</v>
      </c>
      <c r="X250" s="36">
        <v>0.01252809658711072</v>
      </c>
      <c r="Y250" s="35">
        <v>520686</v>
      </c>
      <c r="Z250" s="17" t="s">
        <v>85</v>
      </c>
      <c r="AA250" s="35">
        <v>800000</v>
      </c>
      <c r="AB250" s="35">
        <v>5500000</v>
      </c>
      <c r="AC250" s="35">
        <v>0</v>
      </c>
      <c r="AD250" s="35">
        <v>1000000</v>
      </c>
      <c r="AE250" s="12" t="s">
        <v>86</v>
      </c>
      <c r="AF250" s="12" t="s">
        <v>87</v>
      </c>
      <c r="AG250" s="18">
        <v>-1</v>
      </c>
      <c r="AH250" s="12" t="s">
        <v>169</v>
      </c>
      <c r="AI250" s="12" t="s">
        <v>89</v>
      </c>
      <c r="AJ250" s="12" t="s">
        <v>89</v>
      </c>
      <c r="AK250" s="12" t="s">
        <v>89</v>
      </c>
      <c r="AL250" s="12" t="s">
        <v>141</v>
      </c>
      <c r="AM250" s="12" t="s">
        <v>91</v>
      </c>
      <c r="AN250" s="17" t="s">
        <v>92</v>
      </c>
    </row>
    <row r="251" spans="1:40">
      <c r="A251" s="12" t="s">
        <v>74</v>
      </c>
      <c r="B251" s="12" t="s">
        <v>75</v>
      </c>
      <c r="C251" s="12" t="s">
        <v>76</v>
      </c>
      <c r="D251" s="12" t="s">
        <v>720</v>
      </c>
      <c r="E251" s="12" t="s">
        <v>221</v>
      </c>
      <c r="F251" s="12" t="s">
        <v>980</v>
      </c>
      <c r="G251" s="12" t="s">
        <v>981</v>
      </c>
      <c r="H251" s="34" t="s">
        <v>982</v>
      </c>
      <c r="I251" s="12" t="s">
        <v>82</v>
      </c>
      <c r="J251" s="12" t="s">
        <v>83</v>
      </c>
      <c r="K251" s="18">
        <v>0</v>
      </c>
      <c r="L251" s="18">
        <v>0</v>
      </c>
      <c r="M251" s="12" t="s">
        <v>84</v>
      </c>
      <c r="N251" s="35">
        <v>321536</v>
      </c>
      <c r="O251" s="35">
        <v>319536</v>
      </c>
      <c r="P251" s="35">
        <v>319536</v>
      </c>
      <c r="Q251" s="35">
        <v>219666.12</v>
      </c>
      <c r="R251" s="18">
        <f>N251-O251</f>
        <v>2000.0</v>
      </c>
      <c r="S251" s="18">
        <f>O251-P251</f>
        <v>0.0</v>
      </c>
      <c r="T251" s="18">
        <f>N251-Q251</f>
        <v>101869.88</v>
      </c>
      <c r="U251" s="36">
        <f>IF(N251&gt;0,Q251/N251,0)</f>
        <v>0.6831773736066878</v>
      </c>
      <c r="V251" s="35">
        <v>288513857.24</v>
      </c>
      <c r="W251" s="35">
        <v>1631468.99</v>
      </c>
      <c r="X251" s="36">
        <v>0.005654733556325732</v>
      </c>
      <c r="Y251" s="35">
        <v>321536</v>
      </c>
      <c r="Z251" s="17" t="s">
        <v>85</v>
      </c>
      <c r="AA251" s="35">
        <v>157636</v>
      </c>
      <c r="AB251" s="35">
        <v>12958615</v>
      </c>
      <c r="AC251" s="35">
        <v>0</v>
      </c>
      <c r="AD251" s="35">
        <v>6000000</v>
      </c>
      <c r="AE251" s="12" t="s">
        <v>86</v>
      </c>
      <c r="AF251" s="12" t="s">
        <v>87</v>
      </c>
      <c r="AG251" s="18">
        <v>-1</v>
      </c>
      <c r="AH251" s="12" t="s">
        <v>169</v>
      </c>
      <c r="AI251" s="12" t="s">
        <v>89</v>
      </c>
      <c r="AJ251" s="12" t="s">
        <v>89</v>
      </c>
      <c r="AK251" s="12" t="s">
        <v>89</v>
      </c>
      <c r="AL251" s="12" t="s">
        <v>141</v>
      </c>
      <c r="AM251" s="12" t="s">
        <v>91</v>
      </c>
      <c r="AN251" s="17" t="s">
        <v>92</v>
      </c>
    </row>
    <row r="252" spans="1:40">
      <c r="A252" s="12" t="s">
        <v>74</v>
      </c>
      <c r="B252" s="12" t="s">
        <v>75</v>
      </c>
      <c r="C252" s="12" t="s">
        <v>76</v>
      </c>
      <c r="D252" s="12" t="s">
        <v>720</v>
      </c>
      <c r="E252" s="12" t="s">
        <v>221</v>
      </c>
      <c r="F252" s="12" t="s">
        <v>983</v>
      </c>
      <c r="G252" s="12" t="s">
        <v>984</v>
      </c>
      <c r="H252" s="34" t="s">
        <v>985</v>
      </c>
      <c r="I252" s="12" t="s">
        <v>82</v>
      </c>
      <c r="J252" s="12" t="s">
        <v>106</v>
      </c>
      <c r="K252" s="18">
        <v>0</v>
      </c>
      <c r="L252" s="18">
        <v>0</v>
      </c>
      <c r="M252" s="12" t="s">
        <v>121</v>
      </c>
      <c r="N252" s="35">
        <v>230847</v>
      </c>
      <c r="O252" s="35">
        <v>230597</v>
      </c>
      <c r="P252" s="35">
        <v>230597</v>
      </c>
      <c r="Q252" s="35">
        <v>208045.33</v>
      </c>
      <c r="R252" s="18">
        <f>N252-O252</f>
        <v>250.0</v>
      </c>
      <c r="S252" s="18">
        <f>O252-P252</f>
        <v>0.0</v>
      </c>
      <c r="T252" s="18">
        <f>N252-Q252</f>
        <v>22801.669999999984</v>
      </c>
      <c r="U252" s="36">
        <f>IF(N252&gt;0,Q252/N252,0)</f>
        <v>0.9012260501544314</v>
      </c>
      <c r="V252" s="35">
        <v>40262263.17</v>
      </c>
      <c r="W252" s="35">
        <v>482392.6</v>
      </c>
      <c r="X252" s="36">
        <v>0.01198125892633472</v>
      </c>
      <c r="Y252" s="35">
        <v>230847</v>
      </c>
      <c r="Z252" s="17" t="s">
        <v>85</v>
      </c>
      <c r="AA252" s="35">
        <v>800000</v>
      </c>
      <c r="AB252" s="35">
        <v>0</v>
      </c>
      <c r="AC252" s="35">
        <v>0</v>
      </c>
      <c r="AD252" s="35">
        <v>1000000</v>
      </c>
      <c r="AE252" s="12" t="s">
        <v>86</v>
      </c>
      <c r="AF252" s="12" t="s">
        <v>87</v>
      </c>
      <c r="AG252" s="18">
        <v>-1</v>
      </c>
      <c r="AH252" s="12" t="s">
        <v>169</v>
      </c>
      <c r="AI252" s="12" t="s">
        <v>89</v>
      </c>
      <c r="AJ252" s="12" t="s">
        <v>89</v>
      </c>
      <c r="AK252" s="12" t="s">
        <v>89</v>
      </c>
      <c r="AL252" s="12" t="s">
        <v>141</v>
      </c>
      <c r="AM252" s="12" t="s">
        <v>91</v>
      </c>
      <c r="AN252" s="17" t="s">
        <v>92</v>
      </c>
    </row>
    <row r="253" spans="1:40">
      <c r="A253" s="12" t="s">
        <v>74</v>
      </c>
      <c r="B253" s="12" t="s">
        <v>75</v>
      </c>
      <c r="C253" s="12" t="s">
        <v>76</v>
      </c>
      <c r="D253" s="12" t="s">
        <v>720</v>
      </c>
      <c r="E253" s="12" t="s">
        <v>221</v>
      </c>
      <c r="F253" s="12" t="s">
        <v>986</v>
      </c>
      <c r="G253" s="12" t="s">
        <v>987</v>
      </c>
      <c r="H253" s="34" t="s">
        <v>988</v>
      </c>
      <c r="I253" s="12" t="s">
        <v>82</v>
      </c>
      <c r="J253" s="12" t="s">
        <v>83</v>
      </c>
      <c r="K253" s="18">
        <v>0</v>
      </c>
      <c r="L253" s="18">
        <v>0</v>
      </c>
      <c r="M253" s="12" t="s">
        <v>84</v>
      </c>
      <c r="N253" s="35">
        <v>349206</v>
      </c>
      <c r="O253" s="35">
        <v>349206</v>
      </c>
      <c r="P253" s="35">
        <v>294147.4</v>
      </c>
      <c r="Q253" s="35">
        <v>281441.1</v>
      </c>
      <c r="R253" s="18">
        <f>N253-O253</f>
        <v>0.0</v>
      </c>
      <c r="S253" s="18">
        <f>O253-P253</f>
        <v>55058.59999999998</v>
      </c>
      <c r="T253" s="18">
        <f>N253-Q253</f>
        <v>67764.90000000002</v>
      </c>
      <c r="U253" s="36">
        <f>IF(N253&gt;0,Q253/N253,0)</f>
        <v>0.8059457741275923</v>
      </c>
      <c r="V253" s="35">
        <v>12832744.85</v>
      </c>
      <c r="W253" s="35">
        <v>631007.27</v>
      </c>
      <c r="X253" s="36">
        <v>0.04917165246997021</v>
      </c>
      <c r="Y253" s="35">
        <v>349206</v>
      </c>
      <c r="Z253" s="17" t="s">
        <v>85</v>
      </c>
      <c r="AA253" s="35">
        <v>800000</v>
      </c>
      <c r="AB253" s="35">
        <v>354785</v>
      </c>
      <c r="AC253" s="35">
        <v>0</v>
      </c>
      <c r="AD253" s="35">
        <v>500000</v>
      </c>
      <c r="AE253" s="12" t="s">
        <v>86</v>
      </c>
      <c r="AF253" s="12" t="s">
        <v>87</v>
      </c>
      <c r="AG253" s="18">
        <v>-1</v>
      </c>
      <c r="AH253" s="12" t="s">
        <v>169</v>
      </c>
      <c r="AI253" s="12" t="s">
        <v>89</v>
      </c>
      <c r="AJ253" s="12" t="s">
        <v>89</v>
      </c>
      <c r="AK253" s="12" t="s">
        <v>89</v>
      </c>
      <c r="AL253" s="12" t="s">
        <v>141</v>
      </c>
      <c r="AM253" s="12" t="s">
        <v>91</v>
      </c>
      <c r="AN253" s="17" t="s">
        <v>92</v>
      </c>
    </row>
    <row r="254" spans="1:40">
      <c r="A254" s="12" t="s">
        <v>74</v>
      </c>
      <c r="B254" s="12" t="s">
        <v>75</v>
      </c>
      <c r="C254" s="12" t="s">
        <v>76</v>
      </c>
      <c r="D254" s="12" t="s">
        <v>720</v>
      </c>
      <c r="E254" s="12" t="s">
        <v>221</v>
      </c>
      <c r="F254" s="12" t="s">
        <v>989</v>
      </c>
      <c r="G254" s="12" t="s">
        <v>990</v>
      </c>
      <c r="H254" s="34" t="s">
        <v>991</v>
      </c>
      <c r="I254" s="12" t="s">
        <v>82</v>
      </c>
      <c r="J254" s="12" t="s">
        <v>83</v>
      </c>
      <c r="K254" s="18">
        <v>0</v>
      </c>
      <c r="L254" s="18">
        <v>0</v>
      </c>
      <c r="M254" s="12" t="s">
        <v>84</v>
      </c>
      <c r="N254" s="35">
        <v>239379</v>
      </c>
      <c r="O254" s="35">
        <v>211500</v>
      </c>
      <c r="P254" s="35">
        <v>211500</v>
      </c>
      <c r="Q254" s="35">
        <v>95146.60000000001</v>
      </c>
      <c r="R254" s="18">
        <f>N254-O254</f>
        <v>27879.0</v>
      </c>
      <c r="S254" s="18">
        <f>O254-P254</f>
        <v>0.0</v>
      </c>
      <c r="T254" s="18">
        <f>N254-Q254</f>
        <v>144232.4</v>
      </c>
      <c r="U254" s="36">
        <f>IF(N254&gt;0,Q254/N254,0)</f>
        <v>0.3974726270892602</v>
      </c>
      <c r="V254" s="35">
        <v>26304604.86</v>
      </c>
      <c r="W254" s="35">
        <v>507896.38</v>
      </c>
      <c r="X254" s="36">
        <v>0.01930826875002144</v>
      </c>
      <c r="Y254" s="35">
        <v>239379</v>
      </c>
      <c r="Z254" s="17" t="s">
        <v>85</v>
      </c>
      <c r="AA254" s="35">
        <v>500000</v>
      </c>
      <c r="AB254" s="35">
        <v>251485</v>
      </c>
      <c r="AC254" s="35">
        <v>0</v>
      </c>
      <c r="AD254" s="35">
        <v>960621</v>
      </c>
      <c r="AE254" s="12" t="s">
        <v>86</v>
      </c>
      <c r="AF254" s="12" t="s">
        <v>87</v>
      </c>
      <c r="AG254" s="18">
        <v>-1</v>
      </c>
      <c r="AH254" s="12" t="s">
        <v>169</v>
      </c>
      <c r="AI254" s="12" t="s">
        <v>89</v>
      </c>
      <c r="AJ254" s="12" t="s">
        <v>89</v>
      </c>
      <c r="AK254" s="12" t="s">
        <v>89</v>
      </c>
      <c r="AL254" s="12" t="s">
        <v>141</v>
      </c>
      <c r="AM254" s="12" t="s">
        <v>91</v>
      </c>
      <c r="AN254" s="17" t="s">
        <v>92</v>
      </c>
    </row>
    <row r="255" spans="1:40">
      <c r="A255" s="12" t="s">
        <v>74</v>
      </c>
      <c r="B255" s="12" t="s">
        <v>75</v>
      </c>
      <c r="C255" s="12" t="s">
        <v>76</v>
      </c>
      <c r="D255" s="12" t="s">
        <v>720</v>
      </c>
      <c r="E255" s="12" t="s">
        <v>221</v>
      </c>
      <c r="F255" s="12" t="s">
        <v>992</v>
      </c>
      <c r="G255" s="12" t="s">
        <v>993</v>
      </c>
      <c r="H255" s="34" t="s">
        <v>994</v>
      </c>
      <c r="I255" s="12" t="s">
        <v>82</v>
      </c>
      <c r="J255" s="12" t="s">
        <v>83</v>
      </c>
      <c r="K255" s="18">
        <v>0</v>
      </c>
      <c r="L255" s="18">
        <v>0</v>
      </c>
      <c r="M255" s="12" t="s">
        <v>84</v>
      </c>
      <c r="N255" s="35">
        <v>118786</v>
      </c>
      <c r="O255" s="35">
        <v>112400</v>
      </c>
      <c r="P255" s="35">
        <v>82400</v>
      </c>
      <c r="Q255" s="35">
        <v>76261.17999999999</v>
      </c>
      <c r="R255" s="18">
        <f>N255-O255</f>
        <v>6386.0</v>
      </c>
      <c r="S255" s="18">
        <f>O255-P255</f>
        <v>30000.0</v>
      </c>
      <c r="T255" s="18">
        <f>N255-Q255</f>
        <v>42524.82000000001</v>
      </c>
      <c r="U255" s="36">
        <f>IF(N255&gt;0,Q255/N255,0)</f>
        <v>0.642004781708282</v>
      </c>
      <c r="V255" s="35">
        <v>19576064.34</v>
      </c>
      <c r="W255" s="35">
        <v>336766.14</v>
      </c>
      <c r="X255" s="36">
        <v>0.01720295428902335</v>
      </c>
      <c r="Y255" s="35">
        <v>118786</v>
      </c>
      <c r="Z255" s="17" t="s">
        <v>85</v>
      </c>
      <c r="AA255" s="35">
        <v>800000</v>
      </c>
      <c r="AB255" s="35">
        <v>854254</v>
      </c>
      <c r="AC255" s="35">
        <v>0</v>
      </c>
      <c r="AD255" s="35">
        <v>1000000</v>
      </c>
      <c r="AE255" s="12" t="s">
        <v>86</v>
      </c>
      <c r="AF255" s="12" t="s">
        <v>87</v>
      </c>
      <c r="AG255" s="18">
        <v>-1</v>
      </c>
      <c r="AH255" s="12" t="s">
        <v>169</v>
      </c>
      <c r="AI255" s="12" t="s">
        <v>89</v>
      </c>
      <c r="AJ255" s="12" t="s">
        <v>89</v>
      </c>
      <c r="AK255" s="12" t="s">
        <v>89</v>
      </c>
      <c r="AL255" s="12" t="s">
        <v>141</v>
      </c>
      <c r="AM255" s="12" t="s">
        <v>91</v>
      </c>
      <c r="AN255" s="17" t="s">
        <v>92</v>
      </c>
    </row>
    <row r="256" spans="1:40">
      <c r="A256" s="12" t="s">
        <v>74</v>
      </c>
      <c r="B256" s="12" t="s">
        <v>75</v>
      </c>
      <c r="C256" s="12" t="s">
        <v>76</v>
      </c>
      <c r="D256" s="12" t="s">
        <v>720</v>
      </c>
      <c r="E256" s="12" t="s">
        <v>221</v>
      </c>
      <c r="F256" s="12" t="s">
        <v>995</v>
      </c>
      <c r="G256" s="12" t="s">
        <v>996</v>
      </c>
      <c r="H256" s="34" t="s">
        <v>997</v>
      </c>
      <c r="I256" s="12" t="s">
        <v>82</v>
      </c>
      <c r="J256" s="12" t="s">
        <v>83</v>
      </c>
      <c r="K256" s="18">
        <v>0</v>
      </c>
      <c r="L256" s="18">
        <v>0</v>
      </c>
      <c r="M256" s="12" t="s">
        <v>84</v>
      </c>
      <c r="N256" s="35">
        <v>141416</v>
      </c>
      <c r="O256" s="35">
        <v>141415.61</v>
      </c>
      <c r="P256" s="35">
        <v>91615.61</v>
      </c>
      <c r="Q256" s="35">
        <v>91615.61</v>
      </c>
      <c r="R256" s="18">
        <f>N256-O256</f>
        <v>0.39000000001396984</v>
      </c>
      <c r="S256" s="18">
        <f>O256-P256</f>
        <v>49799.999999999985</v>
      </c>
      <c r="T256" s="18">
        <f>N256-Q256</f>
        <v>49800.39</v>
      </c>
      <c r="U256" s="36">
        <f>IF(N256&gt;0,Q256/N256,0)</f>
        <v>0.6478447276121514</v>
      </c>
      <c r="V256" s="35">
        <v>27451541.9</v>
      </c>
      <c r="W256" s="35">
        <v>547191.4</v>
      </c>
      <c r="X256" s="36">
        <v>0.01993299327204641</v>
      </c>
      <c r="Y256" s="35">
        <v>141416</v>
      </c>
      <c r="Z256" s="17" t="s">
        <v>85</v>
      </c>
      <c r="AA256" s="35">
        <v>583691</v>
      </c>
      <c r="AB256" s="35">
        <v>7526548</v>
      </c>
      <c r="AC256" s="35">
        <v>0</v>
      </c>
      <c r="AD256" s="35">
        <v>0</v>
      </c>
      <c r="AE256" s="12" t="s">
        <v>86</v>
      </c>
      <c r="AF256" s="12" t="s">
        <v>87</v>
      </c>
      <c r="AG256" s="18">
        <v>-1</v>
      </c>
      <c r="AH256" s="12" t="s">
        <v>169</v>
      </c>
      <c r="AI256" s="12" t="s">
        <v>89</v>
      </c>
      <c r="AJ256" s="12" t="s">
        <v>89</v>
      </c>
      <c r="AK256" s="12" t="s">
        <v>89</v>
      </c>
      <c r="AL256" s="12" t="s">
        <v>141</v>
      </c>
      <c r="AM256" s="12" t="s">
        <v>91</v>
      </c>
      <c r="AN256" s="17" t="s">
        <v>92</v>
      </c>
    </row>
    <row r="257" spans="1:40">
      <c r="A257" s="12" t="s">
        <v>74</v>
      </c>
      <c r="B257" s="12" t="s">
        <v>75</v>
      </c>
      <c r="C257" s="12" t="s">
        <v>76</v>
      </c>
      <c r="D257" s="12" t="s">
        <v>720</v>
      </c>
      <c r="E257" s="12" t="s">
        <v>221</v>
      </c>
      <c r="F257" s="12" t="s">
        <v>998</v>
      </c>
      <c r="G257" s="12" t="s">
        <v>999</v>
      </c>
      <c r="H257" s="34" t="s">
        <v>1000</v>
      </c>
      <c r="I257" s="12" t="s">
        <v>82</v>
      </c>
      <c r="J257" s="12" t="s">
        <v>83</v>
      </c>
      <c r="K257" s="18">
        <v>0</v>
      </c>
      <c r="L257" s="18">
        <v>0</v>
      </c>
      <c r="M257" s="12" t="s">
        <v>84</v>
      </c>
      <c r="N257" s="35">
        <v>230550</v>
      </c>
      <c r="O257" s="35">
        <v>189499</v>
      </c>
      <c r="P257" s="35">
        <v>183174</v>
      </c>
      <c r="Q257" s="35">
        <v>146384.23</v>
      </c>
      <c r="R257" s="18">
        <f>N257-O257</f>
        <v>41051.0</v>
      </c>
      <c r="S257" s="18">
        <f>O257-P257</f>
        <v>6325.0</v>
      </c>
      <c r="T257" s="18">
        <f>N257-Q257</f>
        <v>84165.77000000002</v>
      </c>
      <c r="U257" s="36">
        <f>IF(N257&gt;0,Q257/N257,0)</f>
        <v>0.6349348514422033</v>
      </c>
      <c r="V257" s="35">
        <v>38867840.39</v>
      </c>
      <c r="W257" s="35">
        <v>659415.91</v>
      </c>
      <c r="X257" s="36">
        <v>0.01696559169183107</v>
      </c>
      <c r="Y257" s="35">
        <v>230550</v>
      </c>
      <c r="Z257" s="17" t="s">
        <v>85</v>
      </c>
      <c r="AA257" s="35">
        <v>800000</v>
      </c>
      <c r="AB257" s="35">
        <v>0</v>
      </c>
      <c r="AC257" s="35">
        <v>0</v>
      </c>
      <c r="AD257" s="35">
        <v>1000000</v>
      </c>
      <c r="AE257" s="12" t="s">
        <v>86</v>
      </c>
      <c r="AF257" s="12" t="s">
        <v>87</v>
      </c>
      <c r="AG257" s="18">
        <v>-1</v>
      </c>
      <c r="AH257" s="12" t="s">
        <v>169</v>
      </c>
      <c r="AI257" s="12" t="s">
        <v>89</v>
      </c>
      <c r="AJ257" s="12" t="s">
        <v>89</v>
      </c>
      <c r="AK257" s="12" t="s">
        <v>89</v>
      </c>
      <c r="AL257" s="12" t="s">
        <v>141</v>
      </c>
      <c r="AM257" s="12" t="s">
        <v>91</v>
      </c>
      <c r="AN257" s="17" t="s">
        <v>92</v>
      </c>
    </row>
    <row r="258" spans="1:40">
      <c r="A258" s="12" t="s">
        <v>74</v>
      </c>
      <c r="B258" s="12" t="s">
        <v>75</v>
      </c>
      <c r="C258" s="12" t="s">
        <v>76</v>
      </c>
      <c r="D258" s="12" t="s">
        <v>720</v>
      </c>
      <c r="E258" s="12" t="s">
        <v>221</v>
      </c>
      <c r="F258" s="12" t="s">
        <v>1001</v>
      </c>
      <c r="G258" s="12" t="s">
        <v>1002</v>
      </c>
      <c r="H258" s="34" t="s">
        <v>1003</v>
      </c>
      <c r="I258" s="12" t="s">
        <v>82</v>
      </c>
      <c r="J258" s="12" t="s">
        <v>83</v>
      </c>
      <c r="K258" s="18">
        <v>0</v>
      </c>
      <c r="L258" s="18">
        <v>0</v>
      </c>
      <c r="M258" s="12" t="s">
        <v>84</v>
      </c>
      <c r="N258" s="35">
        <v>490000</v>
      </c>
      <c r="O258" s="35">
        <v>490000</v>
      </c>
      <c r="P258" s="35">
        <v>490000</v>
      </c>
      <c r="Q258" s="35">
        <v>369844.42</v>
      </c>
      <c r="R258" s="18">
        <f>N258-O258</f>
        <v>0.0</v>
      </c>
      <c r="S258" s="18">
        <f>O258-P258</f>
        <v>0.0</v>
      </c>
      <c r="T258" s="18">
        <f>N258-Q258</f>
        <v>120155.57999999996</v>
      </c>
      <c r="U258" s="36">
        <f>IF(N258&gt;0,Q258/N258,0)</f>
        <v>0.7547845306122449</v>
      </c>
      <c r="V258" s="35">
        <v>17986704.53</v>
      </c>
      <c r="W258" s="35">
        <v>704892.75</v>
      </c>
      <c r="X258" s="36">
        <v>0.03918965527144288</v>
      </c>
      <c r="Y258" s="35">
        <v>490000</v>
      </c>
      <c r="Z258" s="17" t="s">
        <v>85</v>
      </c>
      <c r="AA258" s="35">
        <v>50000</v>
      </c>
      <c r="AB258" s="35">
        <v>0</v>
      </c>
      <c r="AC258" s="35">
        <v>0</v>
      </c>
      <c r="AD258" s="35">
        <v>0</v>
      </c>
      <c r="AE258" s="12" t="s">
        <v>86</v>
      </c>
      <c r="AF258" s="12" t="s">
        <v>87</v>
      </c>
      <c r="AG258" s="18">
        <v>-1</v>
      </c>
      <c r="AH258" s="12" t="s">
        <v>169</v>
      </c>
      <c r="AI258" s="12" t="s">
        <v>89</v>
      </c>
      <c r="AJ258" s="12" t="s">
        <v>89</v>
      </c>
      <c r="AK258" s="12" t="s">
        <v>89</v>
      </c>
      <c r="AL258" s="12" t="s">
        <v>141</v>
      </c>
      <c r="AM258" s="12" t="s">
        <v>91</v>
      </c>
      <c r="AN258" s="17" t="s">
        <v>92</v>
      </c>
    </row>
    <row r="259" spans="1:40">
      <c r="A259" s="12" t="s">
        <v>74</v>
      </c>
      <c r="B259" s="12" t="s">
        <v>75</v>
      </c>
      <c r="C259" s="12" t="s">
        <v>76</v>
      </c>
      <c r="D259" s="12" t="s">
        <v>720</v>
      </c>
      <c r="E259" s="12" t="s">
        <v>221</v>
      </c>
      <c r="F259" s="12" t="s">
        <v>1004</v>
      </c>
      <c r="G259" s="12" t="s">
        <v>1005</v>
      </c>
      <c r="H259" s="34" t="s">
        <v>1006</v>
      </c>
      <c r="I259" s="12" t="s">
        <v>82</v>
      </c>
      <c r="J259" s="12" t="s">
        <v>149</v>
      </c>
      <c r="K259" s="18">
        <v>0</v>
      </c>
      <c r="L259" s="18">
        <v>0</v>
      </c>
      <c r="M259" s="12" t="s">
        <v>150</v>
      </c>
      <c r="N259" s="35">
        <v>0</v>
      </c>
      <c r="O259" s="35">
        <v>0</v>
      </c>
      <c r="P259" s="35">
        <v>0</v>
      </c>
      <c r="Q259" s="35">
        <v>0</v>
      </c>
      <c r="R259" s="18">
        <f>N259-O259</f>
        <v>0.0</v>
      </c>
      <c r="S259" s="18">
        <f>O259-P259</f>
        <v>0.0</v>
      </c>
      <c r="T259" s="18">
        <f>N259-Q259</f>
        <v>0.0</v>
      </c>
      <c r="U259" s="36">
        <f>IF(N259&gt;0,Q259/N259,0)</f>
        <v>0</v>
      </c>
      <c r="V259" s="35">
        <v>35219187.87</v>
      </c>
      <c r="W259" s="35">
        <v>0</v>
      </c>
      <c r="X259" s="36">
        <v>0</v>
      </c>
      <c r="Y259" s="17" t="s">
        <v>151</v>
      </c>
      <c r="Z259" s="17" t="s">
        <v>85</v>
      </c>
      <c r="AA259" s="35">
        <v>67202</v>
      </c>
      <c r="AB259" s="35">
        <v>0</v>
      </c>
      <c r="AC259" s="35">
        <v>5000000</v>
      </c>
      <c r="AD259" s="35">
        <v>0</v>
      </c>
      <c r="AE259" s="12" t="s">
        <v>86</v>
      </c>
      <c r="AF259" s="12" t="s">
        <v>87</v>
      </c>
      <c r="AG259" s="18">
        <v>-1</v>
      </c>
      <c r="AH259" s="12" t="s">
        <v>145</v>
      </c>
      <c r="AI259" s="12" t="s">
        <v>89</v>
      </c>
      <c r="AJ259" s="12" t="s">
        <v>89</v>
      </c>
      <c r="AK259" s="12" t="s">
        <v>89</v>
      </c>
      <c r="AL259" s="12" t="s">
        <v>141</v>
      </c>
      <c r="AM259" s="12" t="s">
        <v>91</v>
      </c>
      <c r="AN259" s="17" t="s">
        <v>92</v>
      </c>
    </row>
    <row r="260" spans="1:40">
      <c r="A260" s="12" t="s">
        <v>74</v>
      </c>
      <c r="B260" s="12" t="s">
        <v>75</v>
      </c>
      <c r="C260" s="12" t="s">
        <v>76</v>
      </c>
      <c r="D260" s="12" t="s">
        <v>720</v>
      </c>
      <c r="E260" s="12" t="s">
        <v>221</v>
      </c>
      <c r="F260" s="12" t="s">
        <v>1007</v>
      </c>
      <c r="G260" s="12" t="s">
        <v>1008</v>
      </c>
      <c r="H260" s="34" t="s">
        <v>1009</v>
      </c>
      <c r="I260" s="12" t="s">
        <v>82</v>
      </c>
      <c r="J260" s="12" t="s">
        <v>272</v>
      </c>
      <c r="K260" s="18">
        <v>17150</v>
      </c>
      <c r="L260" s="18">
        <v>35173</v>
      </c>
      <c r="M260" s="12" t="s">
        <v>1010</v>
      </c>
      <c r="N260" s="35">
        <v>601668</v>
      </c>
      <c r="O260" s="35">
        <v>584518</v>
      </c>
      <c r="P260" s="35">
        <v>532195</v>
      </c>
      <c r="Q260" s="35">
        <v>242760.63</v>
      </c>
      <c r="R260" s="18">
        <f>N260-O260</f>
        <v>17150.0</v>
      </c>
      <c r="S260" s="18">
        <f>O260-P260</f>
        <v>52323.0</v>
      </c>
      <c r="T260" s="18">
        <f>N260-Q260</f>
        <v>358907.37</v>
      </c>
      <c r="U260" s="36">
        <f>IF(N260&gt;0,Q260/N260,0)</f>
        <v>0.4034793773310198</v>
      </c>
      <c r="V260" s="35">
        <v>24307396.02</v>
      </c>
      <c r="W260" s="35">
        <v>348924.29</v>
      </c>
      <c r="X260" s="36">
        <v>0.01435465525442984</v>
      </c>
      <c r="Y260" s="35">
        <v>549345</v>
      </c>
      <c r="Z260" s="17" t="s">
        <v>85</v>
      </c>
      <c r="AA260" s="35">
        <v>50000</v>
      </c>
      <c r="AB260" s="35">
        <v>348574</v>
      </c>
      <c r="AC260" s="35">
        <v>0</v>
      </c>
      <c r="AD260" s="35">
        <v>800000</v>
      </c>
      <c r="AE260" s="12" t="s">
        <v>86</v>
      </c>
      <c r="AF260" s="12" t="s">
        <v>87</v>
      </c>
      <c r="AG260" s="18">
        <v>-1</v>
      </c>
      <c r="AH260" s="12" t="s">
        <v>169</v>
      </c>
      <c r="AI260" s="12" t="s">
        <v>89</v>
      </c>
      <c r="AJ260" s="12" t="s">
        <v>89</v>
      </c>
      <c r="AK260" s="12" t="s">
        <v>89</v>
      </c>
      <c r="AL260" s="12" t="s">
        <v>141</v>
      </c>
      <c r="AM260" s="12" t="s">
        <v>91</v>
      </c>
      <c r="AN260" s="17" t="s">
        <v>92</v>
      </c>
    </row>
    <row r="261" spans="1:40">
      <c r="A261" s="12" t="s">
        <v>74</v>
      </c>
      <c r="B261" s="12" t="s">
        <v>75</v>
      </c>
      <c r="C261" s="12" t="s">
        <v>76</v>
      </c>
      <c r="D261" s="12" t="s">
        <v>720</v>
      </c>
      <c r="E261" s="12" t="s">
        <v>221</v>
      </c>
      <c r="F261" s="12" t="s">
        <v>1011</v>
      </c>
      <c r="G261" s="12" t="s">
        <v>1012</v>
      </c>
      <c r="H261" s="34" t="s">
        <v>1013</v>
      </c>
      <c r="I261" s="12" t="s">
        <v>82</v>
      </c>
      <c r="J261" s="12" t="s">
        <v>83</v>
      </c>
      <c r="K261" s="18">
        <v>0</v>
      </c>
      <c r="L261" s="18">
        <v>0</v>
      </c>
      <c r="M261" s="12" t="s">
        <v>84</v>
      </c>
      <c r="N261" s="35">
        <v>870779</v>
      </c>
      <c r="O261" s="35">
        <v>870779</v>
      </c>
      <c r="P261" s="35">
        <v>870779</v>
      </c>
      <c r="Q261" s="35">
        <v>391730.07</v>
      </c>
      <c r="R261" s="18">
        <f>N261-O261</f>
        <v>0.0</v>
      </c>
      <c r="S261" s="18">
        <f>O261-P261</f>
        <v>0.0</v>
      </c>
      <c r="T261" s="18">
        <f>N261-Q261</f>
        <v>479048.93</v>
      </c>
      <c r="U261" s="36">
        <f>IF(N261&gt;0,Q261/N261,0)</f>
        <v>0.4498616411282312</v>
      </c>
      <c r="V261" s="35">
        <v>37869062.24</v>
      </c>
      <c r="W261" s="35">
        <v>391730.07</v>
      </c>
      <c r="X261" s="36">
        <v>0.01034432982568623</v>
      </c>
      <c r="Y261" s="35">
        <v>870779</v>
      </c>
      <c r="Z261" s="17" t="s">
        <v>85</v>
      </c>
      <c r="AA261" s="35">
        <v>50000</v>
      </c>
      <c r="AB261" s="35">
        <v>0</v>
      </c>
      <c r="AC261" s="35">
        <v>0</v>
      </c>
      <c r="AD261" s="35">
        <v>1000000</v>
      </c>
      <c r="AE261" s="12" t="s">
        <v>86</v>
      </c>
      <c r="AF261" s="12" t="s">
        <v>87</v>
      </c>
      <c r="AG261" s="18">
        <v>-1</v>
      </c>
      <c r="AH261" s="12" t="s">
        <v>169</v>
      </c>
      <c r="AI261" s="12" t="s">
        <v>89</v>
      </c>
      <c r="AJ261" s="12" t="s">
        <v>89</v>
      </c>
      <c r="AK261" s="12" t="s">
        <v>89</v>
      </c>
      <c r="AL261" s="12" t="s">
        <v>141</v>
      </c>
      <c r="AM261" s="12" t="s">
        <v>91</v>
      </c>
      <c r="AN261" s="17" t="s">
        <v>92</v>
      </c>
    </row>
    <row r="262" spans="1:40">
      <c r="A262" s="12" t="s">
        <v>74</v>
      </c>
      <c r="B262" s="12" t="s">
        <v>75</v>
      </c>
      <c r="C262" s="12" t="s">
        <v>76</v>
      </c>
      <c r="D262" s="12" t="s">
        <v>720</v>
      </c>
      <c r="E262" s="12" t="s">
        <v>221</v>
      </c>
      <c r="F262" s="12" t="s">
        <v>1014</v>
      </c>
      <c r="G262" s="12" t="s">
        <v>1015</v>
      </c>
      <c r="H262" s="34" t="s">
        <v>1016</v>
      </c>
      <c r="I262" s="12" t="s">
        <v>82</v>
      </c>
      <c r="J262" s="12" t="s">
        <v>106</v>
      </c>
      <c r="K262" s="18">
        <v>0</v>
      </c>
      <c r="L262" s="18">
        <v>0</v>
      </c>
      <c r="M262" s="12" t="s">
        <v>121</v>
      </c>
      <c r="N262" s="35">
        <v>101523</v>
      </c>
      <c r="O262" s="35">
        <v>99920.23999999999</v>
      </c>
      <c r="P262" s="35">
        <v>99920.23999999999</v>
      </c>
      <c r="Q262" s="35">
        <v>99920.23999999999</v>
      </c>
      <c r="R262" s="18">
        <f>N262-O262</f>
        <v>1602.7600000000093</v>
      </c>
      <c r="S262" s="18">
        <f>O262-P262</f>
        <v>0.0</v>
      </c>
      <c r="T262" s="18">
        <f>N262-Q262</f>
        <v>1602.7600000000093</v>
      </c>
      <c r="U262" s="36">
        <f>IF(N262&gt;0,Q262/N262,0)</f>
        <v>0.9842128384701003</v>
      </c>
      <c r="V262" s="35">
        <v>6012946.7</v>
      </c>
      <c r="W262" s="35">
        <v>269747.05</v>
      </c>
      <c r="X262" s="36">
        <v>0.04486104125952089</v>
      </c>
      <c r="Y262" s="35">
        <v>101523</v>
      </c>
      <c r="Z262" s="17" t="s">
        <v>85</v>
      </c>
      <c r="AA262" s="35">
        <v>50000</v>
      </c>
      <c r="AB262" s="35">
        <v>2859865</v>
      </c>
      <c r="AC262" s="35">
        <v>0</v>
      </c>
      <c r="AD262" s="35">
        <v>2881732</v>
      </c>
      <c r="AE262" s="12" t="s">
        <v>86</v>
      </c>
      <c r="AF262" s="12" t="s">
        <v>87</v>
      </c>
      <c r="AG262" s="18">
        <v>-1</v>
      </c>
      <c r="AH262" s="12" t="s">
        <v>169</v>
      </c>
      <c r="AI262" s="12" t="s">
        <v>89</v>
      </c>
      <c r="AJ262" s="12" t="s">
        <v>89</v>
      </c>
      <c r="AK262" s="12" t="s">
        <v>89</v>
      </c>
      <c r="AL262" s="12" t="s">
        <v>141</v>
      </c>
      <c r="AM262" s="12" t="s">
        <v>91</v>
      </c>
      <c r="AN262" s="17" t="s">
        <v>92</v>
      </c>
    </row>
    <row r="263" spans="1:40">
      <c r="A263" s="12" t="s">
        <v>74</v>
      </c>
      <c r="B263" s="12" t="s">
        <v>75</v>
      </c>
      <c r="C263" s="12" t="s">
        <v>76</v>
      </c>
      <c r="D263" s="12" t="s">
        <v>720</v>
      </c>
      <c r="E263" s="12" t="s">
        <v>221</v>
      </c>
      <c r="F263" s="12" t="s">
        <v>1017</v>
      </c>
      <c r="G263" s="12" t="s">
        <v>1018</v>
      </c>
      <c r="H263" s="34" t="s">
        <v>1019</v>
      </c>
      <c r="I263" s="12" t="s">
        <v>82</v>
      </c>
      <c r="J263" s="12" t="s">
        <v>149</v>
      </c>
      <c r="K263" s="18">
        <v>0</v>
      </c>
      <c r="L263" s="18">
        <v>0</v>
      </c>
      <c r="M263" s="12" t="s">
        <v>150</v>
      </c>
      <c r="N263" s="35">
        <v>0</v>
      </c>
      <c r="O263" s="35">
        <v>0</v>
      </c>
      <c r="P263" s="35">
        <v>0</v>
      </c>
      <c r="Q263" s="35">
        <v>0</v>
      </c>
      <c r="R263" s="18">
        <f>N263-O263</f>
        <v>0.0</v>
      </c>
      <c r="S263" s="18">
        <f>O263-P263</f>
        <v>0.0</v>
      </c>
      <c r="T263" s="18">
        <f>N263-Q263</f>
        <v>0.0</v>
      </c>
      <c r="U263" s="36">
        <f>IF(N263&gt;0,Q263/N263,0)</f>
        <v>0</v>
      </c>
      <c r="V263" s="35">
        <v>58206329.66</v>
      </c>
      <c r="W263" s="35">
        <v>0</v>
      </c>
      <c r="X263" s="36">
        <v>0</v>
      </c>
      <c r="Y263" s="17" t="s">
        <v>151</v>
      </c>
      <c r="Z263" s="17" t="s">
        <v>85</v>
      </c>
      <c r="AA263" s="35">
        <v>800000</v>
      </c>
      <c r="AB263" s="35">
        <v>0</v>
      </c>
      <c r="AC263" s="35">
        <v>0</v>
      </c>
      <c r="AD263" s="35">
        <v>2500000</v>
      </c>
      <c r="AE263" s="12" t="s">
        <v>86</v>
      </c>
      <c r="AF263" s="12" t="s">
        <v>87</v>
      </c>
      <c r="AG263" s="18">
        <v>-1</v>
      </c>
      <c r="AH263" s="12" t="s">
        <v>145</v>
      </c>
      <c r="AI263" s="12" t="s">
        <v>89</v>
      </c>
      <c r="AJ263" s="12" t="s">
        <v>89</v>
      </c>
      <c r="AK263" s="12" t="s">
        <v>89</v>
      </c>
      <c r="AL263" s="12" t="s">
        <v>141</v>
      </c>
      <c r="AM263" s="12" t="s">
        <v>91</v>
      </c>
      <c r="AN263" s="17" t="s">
        <v>92</v>
      </c>
    </row>
    <row r="264" spans="1:40">
      <c r="A264" s="12" t="s">
        <v>74</v>
      </c>
      <c r="B264" s="12" t="s">
        <v>75</v>
      </c>
      <c r="C264" s="12" t="s">
        <v>76</v>
      </c>
      <c r="D264" s="12" t="s">
        <v>720</v>
      </c>
      <c r="E264" s="12" t="s">
        <v>221</v>
      </c>
      <c r="F264" s="12" t="s">
        <v>1020</v>
      </c>
      <c r="G264" s="12" t="s">
        <v>1021</v>
      </c>
      <c r="H264" s="34" t="s">
        <v>1022</v>
      </c>
      <c r="I264" s="12" t="s">
        <v>82</v>
      </c>
      <c r="J264" s="12" t="s">
        <v>83</v>
      </c>
      <c r="K264" s="18">
        <v>0</v>
      </c>
      <c r="L264" s="18">
        <v>0</v>
      </c>
      <c r="M264" s="12" t="s">
        <v>84</v>
      </c>
      <c r="N264" s="35">
        <v>300000</v>
      </c>
      <c r="O264" s="35">
        <v>300000</v>
      </c>
      <c r="P264" s="35">
        <v>300000</v>
      </c>
      <c r="Q264" s="35">
        <v>0</v>
      </c>
      <c r="R264" s="18">
        <f>N264-O264</f>
        <v>0.0</v>
      </c>
      <c r="S264" s="18">
        <f>O264-P264</f>
        <v>0.0</v>
      </c>
      <c r="T264" s="18">
        <f>N264-Q264</f>
        <v>300000.0</v>
      </c>
      <c r="U264" s="36">
        <f>IF(N264&gt;0,Q264/N264,0)</f>
        <v>0.0</v>
      </c>
      <c r="V264" s="35">
        <v>47156916.45</v>
      </c>
      <c r="W264" s="35">
        <v>0</v>
      </c>
      <c r="X264" s="36">
        <v>0</v>
      </c>
      <c r="Y264" s="35">
        <v>300000</v>
      </c>
      <c r="Z264" s="17" t="s">
        <v>85</v>
      </c>
      <c r="AA264" s="35">
        <v>50000</v>
      </c>
      <c r="AB264" s="35">
        <v>200000</v>
      </c>
      <c r="AC264" s="35">
        <v>0</v>
      </c>
      <c r="AD264" s="35">
        <v>2000000</v>
      </c>
      <c r="AE264" s="12" t="s">
        <v>86</v>
      </c>
      <c r="AF264" s="12" t="s">
        <v>87</v>
      </c>
      <c r="AG264" s="18">
        <v>-1</v>
      </c>
      <c r="AH264" s="12" t="s">
        <v>169</v>
      </c>
      <c r="AI264" s="12" t="s">
        <v>89</v>
      </c>
      <c r="AJ264" s="12" t="s">
        <v>89</v>
      </c>
      <c r="AK264" s="12" t="s">
        <v>89</v>
      </c>
      <c r="AL264" s="12" t="s">
        <v>141</v>
      </c>
      <c r="AM264" s="12" t="s">
        <v>91</v>
      </c>
      <c r="AN264" s="17" t="s">
        <v>92</v>
      </c>
    </row>
    <row r="265" spans="1:40">
      <c r="A265" s="12" t="s">
        <v>74</v>
      </c>
      <c r="B265" s="12" t="s">
        <v>75</v>
      </c>
      <c r="C265" s="12" t="s">
        <v>76</v>
      </c>
      <c r="D265" s="12" t="s">
        <v>720</v>
      </c>
      <c r="E265" s="12" t="s">
        <v>221</v>
      </c>
      <c r="F265" s="12" t="s">
        <v>1023</v>
      </c>
      <c r="G265" s="12" t="s">
        <v>1024</v>
      </c>
      <c r="H265" s="34" t="s">
        <v>1025</v>
      </c>
      <c r="I265" s="12" t="s">
        <v>82</v>
      </c>
      <c r="J265" s="12" t="s">
        <v>83</v>
      </c>
      <c r="K265" s="18">
        <v>0</v>
      </c>
      <c r="L265" s="18">
        <v>0</v>
      </c>
      <c r="M265" s="12" t="s">
        <v>84</v>
      </c>
      <c r="N265" s="35">
        <v>330710</v>
      </c>
      <c r="O265" s="35">
        <v>282398.95</v>
      </c>
      <c r="P265" s="35">
        <v>282398.95</v>
      </c>
      <c r="Q265" s="35">
        <v>191886.54</v>
      </c>
      <c r="R265" s="18">
        <f>N265-O265</f>
        <v>48311.04999999999</v>
      </c>
      <c r="S265" s="18">
        <f>O265-P265</f>
        <v>0.0</v>
      </c>
      <c r="T265" s="18">
        <f>N265-Q265</f>
        <v>138823.46000000002</v>
      </c>
      <c r="U265" s="36">
        <f>IF(N265&gt;0,Q265/N265,0)</f>
        <v>0.5802259986090532</v>
      </c>
      <c r="V265" s="35">
        <v>30472246.27</v>
      </c>
      <c r="W265" s="35">
        <v>472547.25</v>
      </c>
      <c r="X265" s="36">
        <v>0.01550746360517649</v>
      </c>
      <c r="Y265" s="35">
        <v>330710</v>
      </c>
      <c r="Z265" s="17" t="s">
        <v>85</v>
      </c>
      <c r="AA265" s="35">
        <v>50000</v>
      </c>
      <c r="AB265" s="35">
        <v>358745</v>
      </c>
      <c r="AC265" s="35">
        <v>0</v>
      </c>
      <c r="AD265" s="35">
        <v>200000</v>
      </c>
      <c r="AE265" s="12" t="s">
        <v>86</v>
      </c>
      <c r="AF265" s="12" t="s">
        <v>87</v>
      </c>
      <c r="AG265" s="18">
        <v>-1</v>
      </c>
      <c r="AH265" s="12" t="s">
        <v>169</v>
      </c>
      <c r="AI265" s="12" t="s">
        <v>89</v>
      </c>
      <c r="AJ265" s="12" t="s">
        <v>89</v>
      </c>
      <c r="AK265" s="12" t="s">
        <v>89</v>
      </c>
      <c r="AL265" s="12" t="s">
        <v>141</v>
      </c>
      <c r="AM265" s="12" t="s">
        <v>91</v>
      </c>
      <c r="AN265" s="17" t="s">
        <v>92</v>
      </c>
    </row>
    <row r="266" spans="1:40">
      <c r="A266" s="12" t="s">
        <v>74</v>
      </c>
      <c r="B266" s="12" t="s">
        <v>75</v>
      </c>
      <c r="C266" s="12" t="s">
        <v>76</v>
      </c>
      <c r="D266" s="12" t="s">
        <v>720</v>
      </c>
      <c r="E266" s="12" t="s">
        <v>221</v>
      </c>
      <c r="F266" s="12" t="s">
        <v>1026</v>
      </c>
      <c r="G266" s="12" t="s">
        <v>1027</v>
      </c>
      <c r="H266" s="34" t="s">
        <v>1028</v>
      </c>
      <c r="I266" s="12" t="s">
        <v>162</v>
      </c>
      <c r="J266" s="12" t="s">
        <v>106</v>
      </c>
      <c r="K266" s="18">
        <v>0</v>
      </c>
      <c r="L266" s="18">
        <v>0</v>
      </c>
      <c r="M266" s="12" t="s">
        <v>121</v>
      </c>
      <c r="N266" s="35">
        <v>50000</v>
      </c>
      <c r="O266" s="35">
        <v>49980</v>
      </c>
      <c r="P266" s="35">
        <v>49980</v>
      </c>
      <c r="Q266" s="35">
        <v>49974.77</v>
      </c>
      <c r="R266" s="18">
        <f>N266-O266</f>
        <v>20.0</v>
      </c>
      <c r="S266" s="18">
        <f>O266-P266</f>
        <v>0.0</v>
      </c>
      <c r="T266" s="18">
        <f>N266-Q266</f>
        <v>25.229999999995925</v>
      </c>
      <c r="U266" s="36">
        <f>IF(N266&gt;0,Q266/N266,0)</f>
        <v>0.9994954</v>
      </c>
      <c r="V266" s="35">
        <v>1329225.58</v>
      </c>
      <c r="W266" s="35">
        <v>148535.68</v>
      </c>
      <c r="X266" s="36">
        <v>0.1117460288418464</v>
      </c>
      <c r="Y266" s="35">
        <v>50000</v>
      </c>
      <c r="Z266" s="17" t="s">
        <v>85</v>
      </c>
      <c r="AA266" s="35">
        <v>50000</v>
      </c>
      <c r="AB266" s="35">
        <v>1143284</v>
      </c>
      <c r="AC266" s="35">
        <v>37381</v>
      </c>
      <c r="AD266" s="35">
        <v>0</v>
      </c>
      <c r="AE266" s="12" t="s">
        <v>86</v>
      </c>
      <c r="AF266" s="12" t="s">
        <v>87</v>
      </c>
      <c r="AG266" s="18">
        <v>-1</v>
      </c>
      <c r="AH266" s="12" t="s">
        <v>169</v>
      </c>
      <c r="AI266" s="12" t="s">
        <v>89</v>
      </c>
      <c r="AJ266" s="12" t="s">
        <v>89</v>
      </c>
      <c r="AK266" s="12" t="s">
        <v>89</v>
      </c>
      <c r="AL266" s="12" t="s">
        <v>141</v>
      </c>
      <c r="AM266" s="12" t="s">
        <v>91</v>
      </c>
      <c r="AN266" s="17" t="s">
        <v>92</v>
      </c>
    </row>
    <row r="267" spans="1:40">
      <c r="A267" s="12" t="s">
        <v>74</v>
      </c>
      <c r="B267" s="12" t="s">
        <v>75</v>
      </c>
      <c r="C267" s="12" t="s">
        <v>76</v>
      </c>
      <c r="D267" s="12" t="s">
        <v>720</v>
      </c>
      <c r="E267" s="12" t="s">
        <v>221</v>
      </c>
      <c r="F267" s="12" t="s">
        <v>1029</v>
      </c>
      <c r="G267" s="12" t="s">
        <v>1030</v>
      </c>
      <c r="H267" s="34" t="s">
        <v>1031</v>
      </c>
      <c r="I267" s="12" t="s">
        <v>82</v>
      </c>
      <c r="J267" s="12" t="s">
        <v>83</v>
      </c>
      <c r="K267" s="18">
        <v>0</v>
      </c>
      <c r="L267" s="18">
        <v>0</v>
      </c>
      <c r="M267" s="12" t="s">
        <v>84</v>
      </c>
      <c r="N267" s="35">
        <v>278409</v>
      </c>
      <c r="O267" s="35">
        <v>278409</v>
      </c>
      <c r="P267" s="35">
        <v>278409</v>
      </c>
      <c r="Q267" s="35">
        <v>202805.9</v>
      </c>
      <c r="R267" s="18">
        <f>N267-O267</f>
        <v>0.0</v>
      </c>
      <c r="S267" s="18">
        <f>O267-P267</f>
        <v>0.0</v>
      </c>
      <c r="T267" s="18">
        <f>N267-Q267</f>
        <v>75603.1</v>
      </c>
      <c r="U267" s="36">
        <f>IF(N267&gt;0,Q267/N267,0)</f>
        <v>0.7284459194925451</v>
      </c>
      <c r="V267" s="35">
        <v>12562094.03</v>
      </c>
      <c r="W267" s="35">
        <v>360206.56</v>
      </c>
      <c r="X267" s="36">
        <v>0.02867408563729721</v>
      </c>
      <c r="Y267" s="35">
        <v>278409</v>
      </c>
      <c r="Z267" s="17" t="s">
        <v>85</v>
      </c>
      <c r="AA267" s="35">
        <v>50000</v>
      </c>
      <c r="AB267" s="35">
        <v>385474</v>
      </c>
      <c r="AC267" s="35">
        <v>0</v>
      </c>
      <c r="AD267" s="35">
        <v>5626284</v>
      </c>
      <c r="AE267" s="12" t="s">
        <v>86</v>
      </c>
      <c r="AF267" s="12" t="s">
        <v>87</v>
      </c>
      <c r="AG267" s="18">
        <v>-1</v>
      </c>
      <c r="AH267" s="12" t="s">
        <v>169</v>
      </c>
      <c r="AI267" s="12" t="s">
        <v>89</v>
      </c>
      <c r="AJ267" s="12" t="s">
        <v>89</v>
      </c>
      <c r="AK267" s="12" t="s">
        <v>89</v>
      </c>
      <c r="AL267" s="12" t="s">
        <v>141</v>
      </c>
      <c r="AM267" s="12" t="s">
        <v>91</v>
      </c>
      <c r="AN267" s="17" t="s">
        <v>92</v>
      </c>
    </row>
    <row r="268" spans="1:40">
      <c r="A268" s="12" t="s">
        <v>74</v>
      </c>
      <c r="B268" s="12" t="s">
        <v>75</v>
      </c>
      <c r="C268" s="12" t="s">
        <v>76</v>
      </c>
      <c r="D268" s="12" t="s">
        <v>720</v>
      </c>
      <c r="E268" s="12" t="s">
        <v>221</v>
      </c>
      <c r="F268" s="12" t="s">
        <v>1032</v>
      </c>
      <c r="G268" s="12" t="s">
        <v>1033</v>
      </c>
      <c r="H268" s="34" t="s">
        <v>1034</v>
      </c>
      <c r="I268" s="12" t="s">
        <v>82</v>
      </c>
      <c r="J268" s="12" t="s">
        <v>83</v>
      </c>
      <c r="K268" s="18">
        <v>0</v>
      </c>
      <c r="L268" s="18">
        <v>0</v>
      </c>
      <c r="M268" s="12" t="s">
        <v>84</v>
      </c>
      <c r="N268" s="35">
        <v>390297</v>
      </c>
      <c r="O268" s="35">
        <v>389428.6</v>
      </c>
      <c r="P268" s="35">
        <v>346214.6</v>
      </c>
      <c r="Q268" s="35">
        <v>251034.11</v>
      </c>
      <c r="R268" s="18">
        <f>N268-O268</f>
        <v>868.4000000000233</v>
      </c>
      <c r="S268" s="18">
        <f>O268-P268</f>
        <v>43214.0</v>
      </c>
      <c r="T268" s="18">
        <f>N268-Q268</f>
        <v>139262.88999999998</v>
      </c>
      <c r="U268" s="36">
        <f>IF(N268&gt;0,Q268/N268,0)</f>
        <v>0.643187393190314</v>
      </c>
      <c r="V268" s="35">
        <v>88508682.17</v>
      </c>
      <c r="W268" s="35">
        <v>251034.11</v>
      </c>
      <c r="X268" s="36">
        <v>0.002836265367931192</v>
      </c>
      <c r="Y268" s="35">
        <v>390297.5</v>
      </c>
      <c r="Z268" s="17" t="s">
        <v>85</v>
      </c>
      <c r="AA268" s="35">
        <v>50000</v>
      </c>
      <c r="AB268" s="35">
        <v>0</v>
      </c>
      <c r="AC268" s="35">
        <v>0</v>
      </c>
      <c r="AD268" s="35">
        <v>1000000</v>
      </c>
      <c r="AE268" s="12" t="s">
        <v>86</v>
      </c>
      <c r="AF268" s="12" t="s">
        <v>87</v>
      </c>
      <c r="AG268" s="18">
        <v>-1</v>
      </c>
      <c r="AH268" s="12" t="s">
        <v>169</v>
      </c>
      <c r="AI268" s="12" t="s">
        <v>89</v>
      </c>
      <c r="AJ268" s="12" t="s">
        <v>89</v>
      </c>
      <c r="AK268" s="12" t="s">
        <v>89</v>
      </c>
      <c r="AL268" s="12" t="s">
        <v>141</v>
      </c>
      <c r="AM268" s="12" t="s">
        <v>91</v>
      </c>
      <c r="AN268" s="17" t="s">
        <v>92</v>
      </c>
    </row>
    <row r="269" spans="1:40">
      <c r="A269" s="12" t="s">
        <v>74</v>
      </c>
      <c r="B269" s="12" t="s">
        <v>75</v>
      </c>
      <c r="C269" s="12" t="s">
        <v>76</v>
      </c>
      <c r="D269" s="12" t="s">
        <v>720</v>
      </c>
      <c r="E269" s="12" t="s">
        <v>221</v>
      </c>
      <c r="F269" s="12" t="s">
        <v>1035</v>
      </c>
      <c r="G269" s="12" t="s">
        <v>1036</v>
      </c>
      <c r="H269" s="34" t="s">
        <v>1037</v>
      </c>
      <c r="I269" s="12" t="s">
        <v>82</v>
      </c>
      <c r="J269" s="12" t="s">
        <v>83</v>
      </c>
      <c r="K269" s="18">
        <v>0</v>
      </c>
      <c r="L269" s="18">
        <v>0</v>
      </c>
      <c r="M269" s="12" t="s">
        <v>84</v>
      </c>
      <c r="N269" s="35">
        <v>159651</v>
      </c>
      <c r="O269" s="35">
        <v>151653</v>
      </c>
      <c r="P269" s="35">
        <v>111653</v>
      </c>
      <c r="Q269" s="35">
        <v>12000</v>
      </c>
      <c r="R269" s="18">
        <f>N269-O269</f>
        <v>7998.0</v>
      </c>
      <c r="S269" s="18">
        <f>O269-P269</f>
        <v>40000.0</v>
      </c>
      <c r="T269" s="18">
        <f>N269-Q269</f>
        <v>147651.0</v>
      </c>
      <c r="U269" s="36">
        <f>IF(N269&gt;0,Q269/N269,0)</f>
        <v>0.07516395136892347</v>
      </c>
      <c r="V269" s="35">
        <v>1990091.23</v>
      </c>
      <c r="W269" s="35">
        <v>79338.86</v>
      </c>
      <c r="X269" s="36">
        <v>0.03986694620025033</v>
      </c>
      <c r="Y269" s="35">
        <v>159651</v>
      </c>
      <c r="Z269" s="17" t="s">
        <v>85</v>
      </c>
      <c r="AA269" s="35">
        <v>50000</v>
      </c>
      <c r="AB269" s="35">
        <v>185425</v>
      </c>
      <c r="AC269" s="35">
        <v>500000</v>
      </c>
      <c r="AD269" s="35">
        <v>1077676</v>
      </c>
      <c r="AE269" s="12" t="s">
        <v>86</v>
      </c>
      <c r="AF269" s="12" t="s">
        <v>87</v>
      </c>
      <c r="AG269" s="18">
        <v>-1</v>
      </c>
      <c r="AH269" s="12" t="s">
        <v>169</v>
      </c>
      <c r="AI269" s="12" t="s">
        <v>89</v>
      </c>
      <c r="AJ269" s="12" t="s">
        <v>89</v>
      </c>
      <c r="AK269" s="12" t="s">
        <v>89</v>
      </c>
      <c r="AL269" s="12" t="s">
        <v>141</v>
      </c>
      <c r="AM269" s="12" t="s">
        <v>91</v>
      </c>
      <c r="AN269" s="17" t="s">
        <v>92</v>
      </c>
    </row>
    <row r="270" spans="1:40">
      <c r="A270" s="12" t="s">
        <v>74</v>
      </c>
      <c r="B270" s="12" t="s">
        <v>75</v>
      </c>
      <c r="C270" s="12" t="s">
        <v>76</v>
      </c>
      <c r="D270" s="12" t="s">
        <v>720</v>
      </c>
      <c r="E270" s="12" t="s">
        <v>221</v>
      </c>
      <c r="F270" s="12" t="s">
        <v>1038</v>
      </c>
      <c r="G270" s="12" t="s">
        <v>1039</v>
      </c>
      <c r="H270" s="34" t="s">
        <v>1040</v>
      </c>
      <c r="I270" s="12" t="s">
        <v>82</v>
      </c>
      <c r="J270" s="12" t="s">
        <v>83</v>
      </c>
      <c r="K270" s="18">
        <v>0</v>
      </c>
      <c r="L270" s="18">
        <v>0</v>
      </c>
      <c r="M270" s="12" t="s">
        <v>84</v>
      </c>
      <c r="N270" s="35">
        <v>703231</v>
      </c>
      <c r="O270" s="35">
        <v>681293</v>
      </c>
      <c r="P270" s="35">
        <v>620093</v>
      </c>
      <c r="Q270" s="35">
        <v>575338.63</v>
      </c>
      <c r="R270" s="18">
        <f>N270-O270</f>
        <v>21938.0</v>
      </c>
      <c r="S270" s="18">
        <f>O270-P270</f>
        <v>61200.0</v>
      </c>
      <c r="T270" s="18">
        <f>N270-Q270</f>
        <v>127892.37</v>
      </c>
      <c r="U270" s="36">
        <f>IF(N270&gt;0,Q270/N270,0)</f>
        <v>0.8181360463347037</v>
      </c>
      <c r="V270" s="35">
        <v>34924298.11</v>
      </c>
      <c r="W270" s="35">
        <v>654907.12</v>
      </c>
      <c r="X270" s="36">
        <v>0.01875219132356673</v>
      </c>
      <c r="Y270" s="35">
        <v>703231.11</v>
      </c>
      <c r="Z270" s="17" t="s">
        <v>85</v>
      </c>
      <c r="AA270" s="35">
        <v>50000</v>
      </c>
      <c r="AB270" s="35">
        <v>5548752</v>
      </c>
      <c r="AC270" s="35">
        <v>0</v>
      </c>
      <c r="AD270" s="35">
        <v>1000000</v>
      </c>
      <c r="AE270" s="12" t="s">
        <v>86</v>
      </c>
      <c r="AF270" s="12" t="s">
        <v>87</v>
      </c>
      <c r="AG270" s="18">
        <v>-1</v>
      </c>
      <c r="AH270" s="12" t="s">
        <v>169</v>
      </c>
      <c r="AI270" s="12" t="s">
        <v>89</v>
      </c>
      <c r="AJ270" s="12" t="s">
        <v>89</v>
      </c>
      <c r="AK270" s="12" t="s">
        <v>89</v>
      </c>
      <c r="AL270" s="12" t="s">
        <v>141</v>
      </c>
      <c r="AM270" s="12" t="s">
        <v>91</v>
      </c>
      <c r="AN270" s="17" t="s">
        <v>92</v>
      </c>
    </row>
    <row r="271" spans="1:40">
      <c r="A271" s="12" t="s">
        <v>74</v>
      </c>
      <c r="B271" s="12" t="s">
        <v>75</v>
      </c>
      <c r="C271" s="12" t="s">
        <v>76</v>
      </c>
      <c r="D271" s="12" t="s">
        <v>720</v>
      </c>
      <c r="E271" s="12" t="s">
        <v>221</v>
      </c>
      <c r="F271" s="12" t="s">
        <v>1041</v>
      </c>
      <c r="G271" s="12" t="s">
        <v>1042</v>
      </c>
      <c r="H271" s="34" t="s">
        <v>1043</v>
      </c>
      <c r="I271" s="12" t="s">
        <v>82</v>
      </c>
      <c r="J271" s="12" t="s">
        <v>149</v>
      </c>
      <c r="K271" s="18">
        <v>0</v>
      </c>
      <c r="L271" s="18">
        <v>0</v>
      </c>
      <c r="M271" s="12" t="s">
        <v>150</v>
      </c>
      <c r="N271" s="35">
        <v>0</v>
      </c>
      <c r="O271" s="35">
        <v>0</v>
      </c>
      <c r="P271" s="35">
        <v>0</v>
      </c>
      <c r="Q271" s="35">
        <v>0</v>
      </c>
      <c r="R271" s="18">
        <f>N271-O271</f>
        <v>0.0</v>
      </c>
      <c r="S271" s="18">
        <f>O271-P271</f>
        <v>0.0</v>
      </c>
      <c r="T271" s="18">
        <f>N271-Q271</f>
        <v>0.0</v>
      </c>
      <c r="U271" s="36">
        <f>IF(N271&gt;0,Q271/N271,0)</f>
        <v>0</v>
      </c>
      <c r="V271" s="35">
        <v>70711708.59</v>
      </c>
      <c r="W271" s="35">
        <v>0</v>
      </c>
      <c r="X271" s="36">
        <v>0</v>
      </c>
      <c r="Y271" s="17" t="s">
        <v>151</v>
      </c>
      <c r="Z271" s="17" t="s">
        <v>85</v>
      </c>
      <c r="AA271" s="35">
        <v>50000</v>
      </c>
      <c r="AB271" s="35">
        <v>0</v>
      </c>
      <c r="AC271" s="35">
        <v>0</v>
      </c>
      <c r="AD271" s="35">
        <v>500000</v>
      </c>
      <c r="AE271" s="12" t="s">
        <v>86</v>
      </c>
      <c r="AF271" s="12" t="s">
        <v>87</v>
      </c>
      <c r="AG271" s="18">
        <v>-1</v>
      </c>
      <c r="AH271" s="12" t="s">
        <v>145</v>
      </c>
      <c r="AI271" s="12" t="s">
        <v>89</v>
      </c>
      <c r="AJ271" s="12" t="s">
        <v>89</v>
      </c>
      <c r="AK271" s="12" t="s">
        <v>89</v>
      </c>
      <c r="AL271" s="12" t="s">
        <v>141</v>
      </c>
      <c r="AM271" s="12" t="s">
        <v>91</v>
      </c>
      <c r="AN271" s="17" t="s">
        <v>92</v>
      </c>
    </row>
    <row r="272" spans="1:40">
      <c r="A272" s="12" t="s">
        <v>74</v>
      </c>
      <c r="B272" s="12" t="s">
        <v>75</v>
      </c>
      <c r="C272" s="12" t="s">
        <v>76</v>
      </c>
      <c r="D272" s="12" t="s">
        <v>720</v>
      </c>
      <c r="E272" s="12" t="s">
        <v>221</v>
      </c>
      <c r="F272" s="12" t="s">
        <v>1044</v>
      </c>
      <c r="G272" s="12" t="s">
        <v>1045</v>
      </c>
      <c r="H272" s="34" t="s">
        <v>1046</v>
      </c>
      <c r="I272" s="12" t="s">
        <v>82</v>
      </c>
      <c r="J272" s="12" t="s">
        <v>83</v>
      </c>
      <c r="K272" s="18">
        <v>0</v>
      </c>
      <c r="L272" s="18">
        <v>0</v>
      </c>
      <c r="M272" s="12" t="s">
        <v>84</v>
      </c>
      <c r="N272" s="35">
        <v>275790</v>
      </c>
      <c r="O272" s="35">
        <v>274001.9</v>
      </c>
      <c r="P272" s="35">
        <v>199751.9</v>
      </c>
      <c r="Q272" s="35">
        <v>155654.05</v>
      </c>
      <c r="R272" s="18">
        <f>N272-O272</f>
        <v>1788.0999999999767</v>
      </c>
      <c r="S272" s="18">
        <f>O272-P272</f>
        <v>74250.00000000003</v>
      </c>
      <c r="T272" s="18">
        <f>N272-Q272</f>
        <v>120135.94999999998</v>
      </c>
      <c r="U272" s="36">
        <f>IF(N272&gt;0,Q272/N272,0)</f>
        <v>0.5643933790202691</v>
      </c>
      <c r="V272" s="35">
        <v>17425534.25</v>
      </c>
      <c r="W272" s="35">
        <v>598189.36</v>
      </c>
      <c r="X272" s="36">
        <v>0.03432832253048425</v>
      </c>
      <c r="Y272" s="35">
        <v>275790</v>
      </c>
      <c r="Z272" s="17" t="s">
        <v>85</v>
      </c>
      <c r="AA272" s="35">
        <v>50000</v>
      </c>
      <c r="AB272" s="35">
        <v>357845</v>
      </c>
      <c r="AC272" s="35">
        <v>0</v>
      </c>
      <c r="AD272" s="35">
        <v>1000000</v>
      </c>
      <c r="AE272" s="12" t="s">
        <v>86</v>
      </c>
      <c r="AF272" s="12" t="s">
        <v>87</v>
      </c>
      <c r="AG272" s="18">
        <v>-1</v>
      </c>
      <c r="AH272" s="12" t="s">
        <v>169</v>
      </c>
      <c r="AI272" s="12" t="s">
        <v>89</v>
      </c>
      <c r="AJ272" s="12" t="s">
        <v>89</v>
      </c>
      <c r="AK272" s="12" t="s">
        <v>89</v>
      </c>
      <c r="AL272" s="12" t="s">
        <v>141</v>
      </c>
      <c r="AM272" s="12" t="s">
        <v>91</v>
      </c>
      <c r="AN272" s="17" t="s">
        <v>92</v>
      </c>
    </row>
    <row r="273" spans="1:40">
      <c r="A273" s="12" t="s">
        <v>74</v>
      </c>
      <c r="B273" s="12" t="s">
        <v>75</v>
      </c>
      <c r="C273" s="12" t="s">
        <v>76</v>
      </c>
      <c r="D273" s="12" t="s">
        <v>720</v>
      </c>
      <c r="E273" s="12" t="s">
        <v>221</v>
      </c>
      <c r="F273" s="12" t="s">
        <v>1047</v>
      </c>
      <c r="G273" s="12" t="s">
        <v>1048</v>
      </c>
      <c r="H273" s="34" t="s">
        <v>1049</v>
      </c>
      <c r="I273" s="12" t="s">
        <v>82</v>
      </c>
      <c r="J273" s="12" t="s">
        <v>83</v>
      </c>
      <c r="K273" s="18">
        <v>0</v>
      </c>
      <c r="L273" s="18">
        <v>0</v>
      </c>
      <c r="M273" s="12" t="s">
        <v>84</v>
      </c>
      <c r="N273" s="35">
        <v>255799</v>
      </c>
      <c r="O273" s="35">
        <v>195378.5</v>
      </c>
      <c r="P273" s="35">
        <v>192948.5</v>
      </c>
      <c r="Q273" s="35">
        <v>138575.17</v>
      </c>
      <c r="R273" s="18">
        <f>N273-O273</f>
        <v>60420.5</v>
      </c>
      <c r="S273" s="18">
        <f>O273-P273</f>
        <v>2430.0</v>
      </c>
      <c r="T273" s="18">
        <f>N273-Q273</f>
        <v>117223.82999999999</v>
      </c>
      <c r="U273" s="36">
        <f>IF(N273&gt;0,Q273/N273,0)</f>
        <v>0.5417346041227683</v>
      </c>
      <c r="V273" s="35">
        <v>7946141.97</v>
      </c>
      <c r="W273" s="35">
        <v>165223.72</v>
      </c>
      <c r="X273" s="36">
        <v>0.02079294840487226</v>
      </c>
      <c r="Y273" s="35">
        <v>255799</v>
      </c>
      <c r="Z273" s="17" t="s">
        <v>122</v>
      </c>
      <c r="AA273" s="35">
        <v>800000</v>
      </c>
      <c r="AB273" s="35">
        <v>285985</v>
      </c>
      <c r="AC273" s="35">
        <v>0</v>
      </c>
      <c r="AD273" s="35">
        <v>1000000</v>
      </c>
      <c r="AE273" s="12" t="s">
        <v>86</v>
      </c>
      <c r="AF273" s="12" t="s">
        <v>87</v>
      </c>
      <c r="AG273" s="18">
        <v>-1</v>
      </c>
      <c r="AH273" s="12" t="s">
        <v>571</v>
      </c>
      <c r="AI273" s="12" t="s">
        <v>89</v>
      </c>
      <c r="AJ273" s="12" t="s">
        <v>89</v>
      </c>
      <c r="AK273" s="12" t="s">
        <v>89</v>
      </c>
      <c r="AL273" s="12" t="s">
        <v>141</v>
      </c>
      <c r="AM273" s="12" t="s">
        <v>91</v>
      </c>
      <c r="AN273" s="17" t="s">
        <v>92</v>
      </c>
    </row>
    <row r="274" spans="1:40">
      <c r="A274" s="12" t="s">
        <v>74</v>
      </c>
      <c r="B274" s="12" t="s">
        <v>75</v>
      </c>
      <c r="C274" s="12" t="s">
        <v>76</v>
      </c>
      <c r="D274" s="12" t="s">
        <v>720</v>
      </c>
      <c r="E274" s="12" t="s">
        <v>221</v>
      </c>
      <c r="F274" s="12" t="s">
        <v>1050</v>
      </c>
      <c r="G274" s="12" t="s">
        <v>1051</v>
      </c>
      <c r="H274" s="34" t="s">
        <v>1052</v>
      </c>
      <c r="I274" s="12" t="s">
        <v>82</v>
      </c>
      <c r="J274" s="12" t="s">
        <v>83</v>
      </c>
      <c r="K274" s="18">
        <v>0</v>
      </c>
      <c r="L274" s="18">
        <v>0</v>
      </c>
      <c r="M274" s="12" t="s">
        <v>84</v>
      </c>
      <c r="N274" s="35">
        <v>222962</v>
      </c>
      <c r="O274" s="35">
        <v>193349.5</v>
      </c>
      <c r="P274" s="35">
        <v>193349.5</v>
      </c>
      <c r="Q274" s="35">
        <v>193266.31</v>
      </c>
      <c r="R274" s="18">
        <f>N274-O274</f>
        <v>29612.5</v>
      </c>
      <c r="S274" s="18">
        <f>O274-P274</f>
        <v>0.0</v>
      </c>
      <c r="T274" s="18">
        <f>N274-Q274</f>
        <v>29695.689999999973</v>
      </c>
      <c r="U274" s="36">
        <f>IF(N274&gt;0,Q274/N274,0)</f>
        <v>0.8668127752711225</v>
      </c>
      <c r="V274" s="35">
        <v>4020417.8</v>
      </c>
      <c r="W274" s="35">
        <v>218110.32</v>
      </c>
      <c r="X274" s="36">
        <v>0.05425066021745303</v>
      </c>
      <c r="Y274" s="35">
        <v>222962</v>
      </c>
      <c r="Z274" s="17" t="s">
        <v>85</v>
      </c>
      <c r="AA274" s="35">
        <v>50000</v>
      </c>
      <c r="AB274" s="35">
        <v>248565</v>
      </c>
      <c r="AC274" s="35">
        <v>0</v>
      </c>
      <c r="AD274" s="35">
        <v>500000</v>
      </c>
      <c r="AE274" s="12" t="s">
        <v>86</v>
      </c>
      <c r="AF274" s="12" t="s">
        <v>87</v>
      </c>
      <c r="AG274" s="18">
        <v>-1</v>
      </c>
      <c r="AH274" s="12" t="s">
        <v>169</v>
      </c>
      <c r="AI274" s="12" t="s">
        <v>89</v>
      </c>
      <c r="AJ274" s="12" t="s">
        <v>89</v>
      </c>
      <c r="AK274" s="12" t="s">
        <v>89</v>
      </c>
      <c r="AL274" s="12" t="s">
        <v>141</v>
      </c>
      <c r="AM274" s="12" t="s">
        <v>91</v>
      </c>
      <c r="AN274" s="17" t="s">
        <v>92</v>
      </c>
    </row>
    <row r="275" spans="1:40">
      <c r="A275" s="12" t="s">
        <v>74</v>
      </c>
      <c r="B275" s="12" t="s">
        <v>75</v>
      </c>
      <c r="C275" s="12" t="s">
        <v>76</v>
      </c>
      <c r="D275" s="12" t="s">
        <v>720</v>
      </c>
      <c r="E275" s="12" t="s">
        <v>221</v>
      </c>
      <c r="F275" s="12" t="s">
        <v>256</v>
      </c>
      <c r="G275" s="12" t="s">
        <v>1053</v>
      </c>
      <c r="H275" s="34" t="s">
        <v>258</v>
      </c>
      <c r="I275" s="12" t="s">
        <v>82</v>
      </c>
      <c r="J275" s="12" t="s">
        <v>83</v>
      </c>
      <c r="K275" s="18">
        <v>0</v>
      </c>
      <c r="L275" s="18">
        <v>0</v>
      </c>
      <c r="M275" s="12" t="s">
        <v>84</v>
      </c>
      <c r="N275" s="35">
        <v>1308901</v>
      </c>
      <c r="O275" s="35">
        <v>1298673.22</v>
      </c>
      <c r="P275" s="35">
        <v>9487.219999999999</v>
      </c>
      <c r="Q275" s="35">
        <v>8087.22</v>
      </c>
      <c r="R275" s="18">
        <f>N275-O275</f>
        <v>10227.780000000028</v>
      </c>
      <c r="S275" s="18">
        <f>O275-P275</f>
        <v>1289186.0</v>
      </c>
      <c r="T275" s="18">
        <f>N275-Q275</f>
        <v>1300813.78</v>
      </c>
      <c r="U275" s="36">
        <f>IF(N275&gt;0,Q275/N275,0)</f>
        <v>0.0061786338309772855</v>
      </c>
      <c r="V275" s="35">
        <v>160534801.58</v>
      </c>
      <c r="W275" s="35">
        <v>121602734.93</v>
      </c>
      <c r="X275" s="36">
        <v>0.7574851915794794</v>
      </c>
      <c r="Y275" s="35">
        <v>1868752</v>
      </c>
      <c r="Z275" s="17" t="s">
        <v>135</v>
      </c>
      <c r="AA275" s="35">
        <v>4800690</v>
      </c>
      <c r="AB275" s="35">
        <v>4000000</v>
      </c>
      <c r="AC275" s="35">
        <v>14883202</v>
      </c>
      <c r="AD275" s="35">
        <v>19038629</v>
      </c>
      <c r="AE275" s="12" t="s">
        <v>86</v>
      </c>
      <c r="AF275" s="12" t="s">
        <v>87</v>
      </c>
      <c r="AG275" s="18">
        <v>68.23999999999999</v>
      </c>
      <c r="AH275" s="12" t="s">
        <v>501</v>
      </c>
      <c r="AI275" s="12" t="s">
        <v>89</v>
      </c>
      <c r="AJ275" s="12" t="s">
        <v>89</v>
      </c>
      <c r="AK275" s="12" t="s">
        <v>89</v>
      </c>
      <c r="AL275" s="12" t="s">
        <v>170</v>
      </c>
      <c r="AM275" s="12" t="s">
        <v>91</v>
      </c>
      <c r="AN275" s="17" t="s">
        <v>92</v>
      </c>
    </row>
    <row r="276" spans="1:40">
      <c r="A276" s="12" t="s">
        <v>74</v>
      </c>
      <c r="B276" s="12" t="s">
        <v>75</v>
      </c>
      <c r="C276" s="12" t="s">
        <v>76</v>
      </c>
      <c r="D276" s="12" t="s">
        <v>720</v>
      </c>
      <c r="E276" s="12" t="s">
        <v>319</v>
      </c>
      <c r="F276" s="12" t="s">
        <v>1054</v>
      </c>
      <c r="G276" s="12" t="s">
        <v>1055</v>
      </c>
      <c r="H276" s="34" t="s">
        <v>1056</v>
      </c>
      <c r="I276" s="12" t="s">
        <v>162</v>
      </c>
      <c r="J276" s="12" t="s">
        <v>83</v>
      </c>
      <c r="K276" s="18">
        <v>0</v>
      </c>
      <c r="L276" s="18">
        <v>0</v>
      </c>
      <c r="M276" s="12" t="s">
        <v>84</v>
      </c>
      <c r="N276" s="35">
        <v>48882</v>
      </c>
      <c r="O276" s="35">
        <v>30000</v>
      </c>
      <c r="P276" s="35">
        <v>0</v>
      </c>
      <c r="Q276" s="35">
        <v>0</v>
      </c>
      <c r="R276" s="18">
        <f>N276-O276</f>
        <v>18882.0</v>
      </c>
      <c r="S276" s="18">
        <f>O276-P276</f>
        <v>30000.0</v>
      </c>
      <c r="T276" s="18">
        <f>N276-Q276</f>
        <v>48882.0</v>
      </c>
      <c r="U276" s="36">
        <f>IF(N276&gt;0,Q276/N276,0)</f>
        <v>0.0</v>
      </c>
      <c r="V276" s="35">
        <v>2941252.71</v>
      </c>
      <c r="W276" s="35">
        <v>96353.33</v>
      </c>
      <c r="X276" s="36">
        <v>0.03275928303352078</v>
      </c>
      <c r="Y276" s="35">
        <v>48882</v>
      </c>
      <c r="Z276" s="17" t="s">
        <v>85</v>
      </c>
      <c r="AA276" s="35">
        <v>1515300</v>
      </c>
      <c r="AB276" s="35">
        <v>2254875</v>
      </c>
      <c r="AC276" s="35">
        <v>0</v>
      </c>
      <c r="AD276" s="35">
        <v>541142</v>
      </c>
      <c r="AE276" s="12" t="s">
        <v>86</v>
      </c>
      <c r="AF276" s="12" t="s">
        <v>87</v>
      </c>
      <c r="AG276" s="18">
        <v>-1</v>
      </c>
      <c r="AH276" s="12" t="s">
        <v>169</v>
      </c>
      <c r="AI276" s="12" t="s">
        <v>89</v>
      </c>
      <c r="AJ276" s="12" t="s">
        <v>89</v>
      </c>
      <c r="AK276" s="12" t="s">
        <v>89</v>
      </c>
      <c r="AL276" s="12" t="s">
        <v>141</v>
      </c>
      <c r="AM276" s="12" t="s">
        <v>91</v>
      </c>
      <c r="AN276" s="17" t="s">
        <v>92</v>
      </c>
    </row>
    <row r="277" spans="1:40">
      <c r="A277" s="12" t="s">
        <v>74</v>
      </c>
      <c r="B277" s="12" t="s">
        <v>75</v>
      </c>
      <c r="C277" s="12" t="s">
        <v>76</v>
      </c>
      <c r="D277" s="12" t="s">
        <v>720</v>
      </c>
      <c r="E277" s="12" t="s">
        <v>319</v>
      </c>
      <c r="F277" s="12" t="s">
        <v>1057</v>
      </c>
      <c r="G277" s="12" t="s">
        <v>1058</v>
      </c>
      <c r="H277" s="34" t="s">
        <v>1059</v>
      </c>
      <c r="I277" s="12" t="s">
        <v>162</v>
      </c>
      <c r="J277" s="12" t="s">
        <v>83</v>
      </c>
      <c r="K277" s="18">
        <v>0</v>
      </c>
      <c r="L277" s="18">
        <v>0</v>
      </c>
      <c r="M277" s="12" t="s">
        <v>84</v>
      </c>
      <c r="N277" s="35">
        <v>25425</v>
      </c>
      <c r="O277" s="35">
        <v>0</v>
      </c>
      <c r="P277" s="35">
        <v>0</v>
      </c>
      <c r="Q277" s="35">
        <v>0</v>
      </c>
      <c r="R277" s="18">
        <f>N277-O277</f>
        <v>25425.0</v>
      </c>
      <c r="S277" s="18">
        <f>O277-P277</f>
        <v>0.0</v>
      </c>
      <c r="T277" s="18">
        <f>N277-Q277</f>
        <v>25425.0</v>
      </c>
      <c r="U277" s="36">
        <f>IF(N277&gt;0,Q277/N277,0)</f>
        <v>0.0</v>
      </c>
      <c r="V277" s="35">
        <v>3565023.06</v>
      </c>
      <c r="W277" s="35">
        <v>116102.54</v>
      </c>
      <c r="X277" s="36">
        <v>0.03256712173973988</v>
      </c>
      <c r="Y277" s="35">
        <v>25425</v>
      </c>
      <c r="Z277" s="17" t="s">
        <v>85</v>
      </c>
      <c r="AA277" s="35">
        <v>1893433</v>
      </c>
      <c r="AB277" s="35">
        <v>354254</v>
      </c>
      <c r="AC277" s="35">
        <v>0</v>
      </c>
      <c r="AD277" s="35">
        <v>3069242</v>
      </c>
      <c r="AE277" s="12" t="s">
        <v>86</v>
      </c>
      <c r="AF277" s="12" t="s">
        <v>87</v>
      </c>
      <c r="AG277" s="18">
        <v>-1</v>
      </c>
      <c r="AH277" s="12" t="s">
        <v>169</v>
      </c>
      <c r="AI277" s="12" t="s">
        <v>89</v>
      </c>
      <c r="AJ277" s="12" t="s">
        <v>89</v>
      </c>
      <c r="AK277" s="12" t="s">
        <v>89</v>
      </c>
      <c r="AL277" s="12" t="s">
        <v>141</v>
      </c>
      <c r="AM277" s="12" t="s">
        <v>91</v>
      </c>
      <c r="AN277" s="17" t="s">
        <v>92</v>
      </c>
    </row>
    <row r="278" spans="1:40">
      <c r="A278" s="12" t="s">
        <v>74</v>
      </c>
      <c r="B278" s="12" t="s">
        <v>75</v>
      </c>
      <c r="C278" s="12" t="s">
        <v>76</v>
      </c>
      <c r="D278" s="12" t="s">
        <v>720</v>
      </c>
      <c r="E278" s="12" t="s">
        <v>319</v>
      </c>
      <c r="F278" s="12" t="s">
        <v>1060</v>
      </c>
      <c r="G278" s="12" t="s">
        <v>1061</v>
      </c>
      <c r="H278" s="34" t="s">
        <v>1062</v>
      </c>
      <c r="I278" s="12" t="s">
        <v>82</v>
      </c>
      <c r="J278" s="12" t="s">
        <v>106</v>
      </c>
      <c r="K278" s="18">
        <v>0</v>
      </c>
      <c r="L278" s="18">
        <v>0</v>
      </c>
      <c r="M278" s="12" t="s">
        <v>121</v>
      </c>
      <c r="N278" s="35">
        <v>50000</v>
      </c>
      <c r="O278" s="35">
        <v>50000</v>
      </c>
      <c r="P278" s="35">
        <v>50000</v>
      </c>
      <c r="Q278" s="35">
        <v>47967.16</v>
      </c>
      <c r="R278" s="18">
        <f>N278-O278</f>
        <v>0.0</v>
      </c>
      <c r="S278" s="18">
        <f>O278-P278</f>
        <v>0.0</v>
      </c>
      <c r="T278" s="18">
        <f>N278-Q278</f>
        <v>2032.8399999999965</v>
      </c>
      <c r="U278" s="36">
        <f>IF(N278&gt;0,Q278/N278,0)</f>
        <v>0.9593432000000001</v>
      </c>
      <c r="V278" s="35">
        <v>14338595.55</v>
      </c>
      <c r="W278" s="35">
        <v>169159.7</v>
      </c>
      <c r="X278" s="36">
        <v>0.0117975082992002</v>
      </c>
      <c r="Y278" s="35">
        <v>208761</v>
      </c>
      <c r="Z278" s="17" t="s">
        <v>85</v>
      </c>
      <c r="AA278" s="35">
        <v>50000</v>
      </c>
      <c r="AB278" s="35">
        <v>254857</v>
      </c>
      <c r="AC278" s="35">
        <v>0</v>
      </c>
      <c r="AD278" s="35">
        <v>1000000</v>
      </c>
      <c r="AE278" s="12" t="s">
        <v>86</v>
      </c>
      <c r="AF278" s="12" t="s">
        <v>87</v>
      </c>
      <c r="AG278" s="18">
        <v>-1</v>
      </c>
      <c r="AH278" s="12" t="s">
        <v>169</v>
      </c>
      <c r="AI278" s="12" t="s">
        <v>89</v>
      </c>
      <c r="AJ278" s="12" t="s">
        <v>89</v>
      </c>
      <c r="AK278" s="12" t="s">
        <v>89</v>
      </c>
      <c r="AL278" s="12" t="s">
        <v>141</v>
      </c>
      <c r="AM278" s="12" t="s">
        <v>91</v>
      </c>
      <c r="AN278" s="17" t="s">
        <v>92</v>
      </c>
    </row>
    <row r="279" spans="1:40">
      <c r="A279" s="12" t="s">
        <v>74</v>
      </c>
      <c r="B279" s="12" t="s">
        <v>75</v>
      </c>
      <c r="C279" s="12" t="s">
        <v>76</v>
      </c>
      <c r="D279" s="12" t="s">
        <v>720</v>
      </c>
      <c r="E279" s="12" t="s">
        <v>319</v>
      </c>
      <c r="F279" s="12" t="s">
        <v>1063</v>
      </c>
      <c r="G279" s="12" t="s">
        <v>1064</v>
      </c>
      <c r="H279" s="34" t="s">
        <v>1065</v>
      </c>
      <c r="I279" s="12" t="s">
        <v>82</v>
      </c>
      <c r="J279" s="12" t="s">
        <v>272</v>
      </c>
      <c r="K279" s="18">
        <v>229217</v>
      </c>
      <c r="L279" s="18">
        <v>0</v>
      </c>
      <c r="M279" s="12" t="s">
        <v>705</v>
      </c>
      <c r="N279" s="35">
        <v>369217</v>
      </c>
      <c r="O279" s="35">
        <v>140000</v>
      </c>
      <c r="P279" s="35">
        <v>140000</v>
      </c>
      <c r="Q279" s="35">
        <v>140000</v>
      </c>
      <c r="R279" s="18">
        <f>N279-O279</f>
        <v>229217.0</v>
      </c>
      <c r="S279" s="18">
        <f>O279-P279</f>
        <v>0.0</v>
      </c>
      <c r="T279" s="18">
        <f>N279-Q279</f>
        <v>229217.0</v>
      </c>
      <c r="U279" s="36">
        <f>IF(N279&gt;0,Q279/N279,0)</f>
        <v>0.3791808069509259</v>
      </c>
      <c r="V279" s="35">
        <v>2607646.65</v>
      </c>
      <c r="W279" s="35">
        <v>140000</v>
      </c>
      <c r="X279" s="36">
        <v>0.05368825565380954</v>
      </c>
      <c r="Y279" s="17" t="s">
        <v>151</v>
      </c>
      <c r="Z279" s="17" t="s">
        <v>1066</v>
      </c>
      <c r="AA279" s="12" t="s">
        <v>99</v>
      </c>
      <c r="AB279" s="12" t="s">
        <v>99</v>
      </c>
      <c r="AC279" s="12" t="s">
        <v>99</v>
      </c>
      <c r="AD279" s="12" t="s">
        <v>99</v>
      </c>
      <c r="AE279" s="12" t="s">
        <v>951</v>
      </c>
      <c r="AF279" s="12" t="s">
        <v>87</v>
      </c>
      <c r="AG279" s="18">
        <v>-1</v>
      </c>
      <c r="AH279" s="12" t="s">
        <v>571</v>
      </c>
      <c r="AI279" s="12" t="s">
        <v>89</v>
      </c>
      <c r="AJ279" s="12" t="s">
        <v>89</v>
      </c>
      <c r="AK279" s="12" t="s">
        <v>89</v>
      </c>
      <c r="AL279" s="12" t="s">
        <v>141</v>
      </c>
      <c r="AM279" s="12" t="s">
        <v>91</v>
      </c>
      <c r="AN279" s="17" t="s">
        <v>87</v>
      </c>
    </row>
    <row r="280" spans="1:40">
      <c r="A280" s="12" t="s">
        <v>74</v>
      </c>
      <c r="B280" s="12" t="s">
        <v>75</v>
      </c>
      <c r="C280" s="12" t="s">
        <v>76</v>
      </c>
      <c r="D280" s="12" t="s">
        <v>720</v>
      </c>
      <c r="E280" s="12" t="s">
        <v>353</v>
      </c>
      <c r="F280" s="12" t="s">
        <v>1067</v>
      </c>
      <c r="G280" s="12" t="s">
        <v>1068</v>
      </c>
      <c r="H280" s="34" t="s">
        <v>1069</v>
      </c>
      <c r="I280" s="12" t="s">
        <v>82</v>
      </c>
      <c r="J280" s="12" t="s">
        <v>149</v>
      </c>
      <c r="K280" s="18">
        <v>0</v>
      </c>
      <c r="L280" s="18">
        <v>0</v>
      </c>
      <c r="M280" s="12" t="s">
        <v>150</v>
      </c>
      <c r="N280" s="35">
        <v>0</v>
      </c>
      <c r="O280" s="35">
        <v>0</v>
      </c>
      <c r="P280" s="35">
        <v>0</v>
      </c>
      <c r="Q280" s="35">
        <v>0</v>
      </c>
      <c r="R280" s="18">
        <f>N280-O280</f>
        <v>0.0</v>
      </c>
      <c r="S280" s="18">
        <f>O280-P280</f>
        <v>0.0</v>
      </c>
      <c r="T280" s="18">
        <f>N280-Q280</f>
        <v>0.0</v>
      </c>
      <c r="U280" s="36">
        <f>IF(N280&gt;0,Q280/N280,0)</f>
        <v>0</v>
      </c>
      <c r="V280" s="35">
        <v>3850781.29</v>
      </c>
      <c r="W280" s="35">
        <v>3695812.29</v>
      </c>
      <c r="X280" s="36">
        <v>0.9597564784054511</v>
      </c>
      <c r="Y280" s="35">
        <v>154969</v>
      </c>
      <c r="Z280" s="17" t="s">
        <v>122</v>
      </c>
      <c r="AA280" s="35">
        <v>154969</v>
      </c>
      <c r="AB280" s="35">
        <v>0</v>
      </c>
      <c r="AC280" s="35">
        <v>0</v>
      </c>
      <c r="AD280" s="35">
        <v>0</v>
      </c>
      <c r="AE280" s="12" t="s">
        <v>86</v>
      </c>
      <c r="AF280" s="12" t="s">
        <v>87</v>
      </c>
      <c r="AG280" s="18">
        <v>100</v>
      </c>
      <c r="AH280" s="12" t="s">
        <v>145</v>
      </c>
      <c r="AI280" s="12" t="s">
        <v>89</v>
      </c>
      <c r="AJ280" s="12" t="s">
        <v>89</v>
      </c>
      <c r="AK280" s="12" t="s">
        <v>89</v>
      </c>
      <c r="AL280" s="12" t="s">
        <v>177</v>
      </c>
      <c r="AM280" s="12" t="s">
        <v>91</v>
      </c>
      <c r="AN280" s="17" t="s">
        <v>92</v>
      </c>
    </row>
    <row r="281" spans="1:40">
      <c r="A281" s="12" t="s">
        <v>74</v>
      </c>
      <c r="B281" s="12" t="s">
        <v>75</v>
      </c>
      <c r="C281" s="12" t="s">
        <v>76</v>
      </c>
      <c r="D281" s="12" t="s">
        <v>720</v>
      </c>
      <c r="E281" s="12" t="s">
        <v>353</v>
      </c>
      <c r="F281" s="12" t="s">
        <v>1070</v>
      </c>
      <c r="G281" s="12" t="s">
        <v>1071</v>
      </c>
      <c r="H281" s="34" t="s">
        <v>1072</v>
      </c>
      <c r="I281" s="12" t="s">
        <v>82</v>
      </c>
      <c r="J281" s="12" t="s">
        <v>149</v>
      </c>
      <c r="K281" s="18">
        <v>0</v>
      </c>
      <c r="L281" s="18">
        <v>0</v>
      </c>
      <c r="M281" s="12" t="s">
        <v>150</v>
      </c>
      <c r="N281" s="35">
        <v>0</v>
      </c>
      <c r="O281" s="35">
        <v>0</v>
      </c>
      <c r="P281" s="35">
        <v>0</v>
      </c>
      <c r="Q281" s="35">
        <v>0</v>
      </c>
      <c r="R281" s="18">
        <f>N281-O281</f>
        <v>0.0</v>
      </c>
      <c r="S281" s="18">
        <f>O281-P281</f>
        <v>0.0</v>
      </c>
      <c r="T281" s="18">
        <f>N281-Q281</f>
        <v>0.0</v>
      </c>
      <c r="U281" s="36">
        <f>IF(N281&gt;0,Q281/N281,0)</f>
        <v>0</v>
      </c>
      <c r="V281" s="35">
        <v>64876594.31</v>
      </c>
      <c r="W281" s="35">
        <v>599324.96</v>
      </c>
      <c r="X281" s="36">
        <v>0.009237922649518931</v>
      </c>
      <c r="Y281" s="17" t="s">
        <v>151</v>
      </c>
      <c r="Z281" s="17" t="s">
        <v>946</v>
      </c>
      <c r="AA281" s="35">
        <v>10763553</v>
      </c>
      <c r="AB281" s="35">
        <v>0</v>
      </c>
      <c r="AC281" s="35">
        <v>0</v>
      </c>
      <c r="AD281" s="35">
        <v>0</v>
      </c>
      <c r="AE281" s="12" t="s">
        <v>203</v>
      </c>
      <c r="AF281" s="12" t="s">
        <v>87</v>
      </c>
      <c r="AG281" s="18">
        <v>-1</v>
      </c>
      <c r="AH281" s="12" t="s">
        <v>145</v>
      </c>
      <c r="AI281" s="12" t="s">
        <v>89</v>
      </c>
      <c r="AJ281" s="12" t="s">
        <v>89</v>
      </c>
      <c r="AK281" s="12" t="s">
        <v>89</v>
      </c>
      <c r="AL281" s="12" t="s">
        <v>141</v>
      </c>
      <c r="AM281" s="12" t="s">
        <v>91</v>
      </c>
      <c r="AN281" s="17" t="s">
        <v>92</v>
      </c>
    </row>
    <row r="282" spans="1:40">
      <c r="A282" s="12" t="s">
        <v>74</v>
      </c>
      <c r="B282" s="12" t="s">
        <v>75</v>
      </c>
      <c r="C282" s="12" t="s">
        <v>76</v>
      </c>
      <c r="D282" s="12" t="s">
        <v>720</v>
      </c>
      <c r="E282" s="12" t="s">
        <v>353</v>
      </c>
      <c r="F282" s="12" t="s">
        <v>1073</v>
      </c>
      <c r="G282" s="12" t="s">
        <v>1074</v>
      </c>
      <c r="H282" s="34" t="s">
        <v>1075</v>
      </c>
      <c r="I282" s="12" t="s">
        <v>1076</v>
      </c>
      <c r="J282" s="12" t="s">
        <v>272</v>
      </c>
      <c r="K282" s="18">
        <v>1376515</v>
      </c>
      <c r="L282" s="18">
        <v>0</v>
      </c>
      <c r="M282" s="12" t="s">
        <v>709</v>
      </c>
      <c r="N282" s="35">
        <v>1376515</v>
      </c>
      <c r="O282" s="35">
        <v>0</v>
      </c>
      <c r="P282" s="35">
        <v>0</v>
      </c>
      <c r="Q282" s="35">
        <v>0</v>
      </c>
      <c r="R282" s="18">
        <f>N282-O282</f>
        <v>1376515.0</v>
      </c>
      <c r="S282" s="18">
        <f>O282-P282</f>
        <v>0.0</v>
      </c>
      <c r="T282" s="18">
        <f>N282-Q282</f>
        <v>1376515.0</v>
      </c>
      <c r="U282" s="36">
        <f>IF(N282&gt;0,Q282/N282,0)</f>
        <v>0.0</v>
      </c>
      <c r="V282" s="17" t="s">
        <v>151</v>
      </c>
      <c r="W282" s="35">
        <v>0</v>
      </c>
      <c r="X282" s="17" t="s">
        <v>151</v>
      </c>
      <c r="Y282" s="17" t="s">
        <v>151</v>
      </c>
      <c r="Z282" s="17" t="s">
        <v>89</v>
      </c>
      <c r="AA282" s="12" t="s">
        <v>99</v>
      </c>
      <c r="AB282" s="12" t="s">
        <v>99</v>
      </c>
      <c r="AC282" s="12" t="s">
        <v>99</v>
      </c>
      <c r="AD282" s="12" t="s">
        <v>99</v>
      </c>
      <c r="AE282" s="12" t="s">
        <v>1077</v>
      </c>
      <c r="AF282" s="12" t="s">
        <v>87</v>
      </c>
      <c r="AG282" s="17" t="s">
        <v>151</v>
      </c>
      <c r="AH282" s="12" t="s">
        <v>145</v>
      </c>
      <c r="AI282" s="12" t="s">
        <v>89</v>
      </c>
      <c r="AJ282" s="12" t="s">
        <v>89</v>
      </c>
      <c r="AK282" s="12" t="s">
        <v>89</v>
      </c>
      <c r="AL282" s="12" t="s">
        <v>89</v>
      </c>
      <c r="AM282" s="12" t="s">
        <v>89</v>
      </c>
      <c r="AN282" s="17" t="s">
        <v>87</v>
      </c>
    </row>
    <row r="283" spans="1:40">
      <c r="A283" s="12" t="s">
        <v>74</v>
      </c>
      <c r="B283" s="12" t="s">
        <v>75</v>
      </c>
      <c r="C283" s="12" t="s">
        <v>76</v>
      </c>
      <c r="D283" s="12" t="s">
        <v>720</v>
      </c>
      <c r="E283" s="12" t="s">
        <v>1078</v>
      </c>
      <c r="F283" s="12" t="s">
        <v>1079</v>
      </c>
      <c r="G283" s="12" t="s">
        <v>1080</v>
      </c>
      <c r="H283" s="34" t="s">
        <v>1081</v>
      </c>
      <c r="I283" s="12" t="s">
        <v>82</v>
      </c>
      <c r="J283" s="12" t="s">
        <v>83</v>
      </c>
      <c r="K283" s="18">
        <v>0.5100000000020373</v>
      </c>
      <c r="L283" s="18">
        <v>0</v>
      </c>
      <c r="M283" s="12" t="s">
        <v>84</v>
      </c>
      <c r="N283" s="35">
        <v>46429</v>
      </c>
      <c r="O283" s="35">
        <v>0</v>
      </c>
      <c r="P283" s="35">
        <v>0</v>
      </c>
      <c r="Q283" s="35">
        <v>0</v>
      </c>
      <c r="R283" s="18">
        <f>N283-O283</f>
        <v>46429.0</v>
      </c>
      <c r="S283" s="18">
        <f>O283-P283</f>
        <v>0.0</v>
      </c>
      <c r="T283" s="18">
        <f>N283-Q283</f>
        <v>46429.0</v>
      </c>
      <c r="U283" s="36">
        <f>IF(N283&gt;0,Q283/N283,0)</f>
        <v>0.0</v>
      </c>
      <c r="V283" s="35">
        <v>17402668.06</v>
      </c>
      <c r="W283" s="35">
        <v>465943.94</v>
      </c>
      <c r="X283" s="36">
        <v>0.02677428187410937</v>
      </c>
      <c r="Y283" s="35">
        <v>46428.49</v>
      </c>
      <c r="Z283" s="17" t="s">
        <v>113</v>
      </c>
      <c r="AA283" s="35">
        <v>800000</v>
      </c>
      <c r="AB283" s="35">
        <v>580909</v>
      </c>
      <c r="AC283" s="35">
        <v>800000</v>
      </c>
      <c r="AD283" s="35">
        <v>800000</v>
      </c>
      <c r="AE283" s="12" t="s">
        <v>86</v>
      </c>
      <c r="AF283" s="12" t="s">
        <v>87</v>
      </c>
      <c r="AG283" s="18">
        <v>-1</v>
      </c>
      <c r="AH283" s="12" t="s">
        <v>145</v>
      </c>
      <c r="AI283" s="12" t="s">
        <v>89</v>
      </c>
      <c r="AJ283" s="12" t="s">
        <v>89</v>
      </c>
      <c r="AK283" s="12" t="s">
        <v>89</v>
      </c>
      <c r="AL283" s="12" t="s">
        <v>1082</v>
      </c>
      <c r="AM283" s="12" t="s">
        <v>91</v>
      </c>
      <c r="AN283" s="17" t="s">
        <v>92</v>
      </c>
    </row>
    <row r="284" spans="1:40">
      <c r="A284" s="12" t="s">
        <v>74</v>
      </c>
      <c r="B284" s="12" t="s">
        <v>75</v>
      </c>
      <c r="C284" s="12" t="s">
        <v>76</v>
      </c>
      <c r="D284" s="12" t="s">
        <v>720</v>
      </c>
      <c r="E284" s="12" t="s">
        <v>1083</v>
      </c>
      <c r="F284" s="12" t="s">
        <v>1084</v>
      </c>
      <c r="G284" s="12" t="s">
        <v>1085</v>
      </c>
      <c r="H284" s="34" t="s">
        <v>1086</v>
      </c>
      <c r="I284" s="12" t="s">
        <v>82</v>
      </c>
      <c r="J284" s="12" t="s">
        <v>83</v>
      </c>
      <c r="K284" s="18">
        <v>0</v>
      </c>
      <c r="L284" s="18">
        <v>0</v>
      </c>
      <c r="M284" s="12" t="s">
        <v>84</v>
      </c>
      <c r="N284" s="35">
        <v>1349649</v>
      </c>
      <c r="O284" s="35">
        <v>0</v>
      </c>
      <c r="P284" s="35">
        <v>0</v>
      </c>
      <c r="Q284" s="35">
        <v>0</v>
      </c>
      <c r="R284" s="18">
        <f>N284-O284</f>
        <v>1349649.0</v>
      </c>
      <c r="S284" s="18">
        <f>O284-P284</f>
        <v>0.0</v>
      </c>
      <c r="T284" s="18">
        <f>N284-Q284</f>
        <v>1349649.0</v>
      </c>
      <c r="U284" s="36">
        <f>IF(N284&gt;0,Q284/N284,0)</f>
        <v>0.0</v>
      </c>
      <c r="V284" s="35">
        <v>16752864.37</v>
      </c>
      <c r="W284" s="35">
        <v>0</v>
      </c>
      <c r="X284" s="36">
        <v>0</v>
      </c>
      <c r="Y284" s="35">
        <v>1349649</v>
      </c>
      <c r="Z284" s="17" t="s">
        <v>85</v>
      </c>
      <c r="AA284" s="35">
        <v>1349649</v>
      </c>
      <c r="AB284" s="35">
        <v>0</v>
      </c>
      <c r="AC284" s="35">
        <v>0</v>
      </c>
      <c r="AD284" s="35">
        <v>1000000</v>
      </c>
      <c r="AE284" s="12" t="s">
        <v>86</v>
      </c>
      <c r="AF284" s="12" t="s">
        <v>87</v>
      </c>
      <c r="AG284" s="18">
        <v>-1</v>
      </c>
      <c r="AH284" s="12" t="s">
        <v>145</v>
      </c>
      <c r="AI284" s="12" t="s">
        <v>89</v>
      </c>
      <c r="AJ284" s="12" t="s">
        <v>89</v>
      </c>
      <c r="AK284" s="12" t="s">
        <v>89</v>
      </c>
      <c r="AL284" s="12" t="s">
        <v>141</v>
      </c>
      <c r="AM284" s="12" t="s">
        <v>91</v>
      </c>
      <c r="AN284" s="17" t="s">
        <v>92</v>
      </c>
    </row>
    <row r="285" spans="1:40">
      <c r="A285" s="12" t="s">
        <v>74</v>
      </c>
      <c r="B285" s="12" t="s">
        <v>75</v>
      </c>
      <c r="C285" s="12" t="s">
        <v>76</v>
      </c>
      <c r="D285" s="12" t="s">
        <v>720</v>
      </c>
      <c r="E285" s="12" t="s">
        <v>1087</v>
      </c>
      <c r="F285" s="12" t="s">
        <v>1088</v>
      </c>
      <c r="G285" s="12" t="s">
        <v>1089</v>
      </c>
      <c r="H285" s="34" t="s">
        <v>1090</v>
      </c>
      <c r="I285" s="12" t="s">
        <v>82</v>
      </c>
      <c r="J285" s="12" t="s">
        <v>272</v>
      </c>
      <c r="K285" s="18">
        <v>100000</v>
      </c>
      <c r="L285" s="18">
        <v>0</v>
      </c>
      <c r="M285" s="12" t="s">
        <v>709</v>
      </c>
      <c r="N285" s="35">
        <v>100000</v>
      </c>
      <c r="O285" s="35">
        <v>0</v>
      </c>
      <c r="P285" s="35">
        <v>0</v>
      </c>
      <c r="Q285" s="35">
        <v>0</v>
      </c>
      <c r="R285" s="18">
        <f>N285-O285</f>
        <v>100000.0</v>
      </c>
      <c r="S285" s="18">
        <f>O285-P285</f>
        <v>0.0</v>
      </c>
      <c r="T285" s="18">
        <f>N285-Q285</f>
        <v>100000.0</v>
      </c>
      <c r="U285" s="36">
        <f>IF(N285&gt;0,Q285/N285,0)</f>
        <v>0.0</v>
      </c>
      <c r="V285" s="35">
        <v>25075957.35</v>
      </c>
      <c r="W285" s="35">
        <v>0</v>
      </c>
      <c r="X285" s="36">
        <v>0</v>
      </c>
      <c r="Y285" s="17" t="s">
        <v>151</v>
      </c>
      <c r="Z285" s="17" t="s">
        <v>89</v>
      </c>
      <c r="AA285" s="12" t="s">
        <v>99</v>
      </c>
      <c r="AB285" s="12" t="s">
        <v>99</v>
      </c>
      <c r="AC285" s="12" t="s">
        <v>99</v>
      </c>
      <c r="AD285" s="12" t="s">
        <v>99</v>
      </c>
      <c r="AE285" s="12" t="s">
        <v>951</v>
      </c>
      <c r="AF285" s="12" t="s">
        <v>87</v>
      </c>
      <c r="AG285" s="18">
        <v>-1</v>
      </c>
      <c r="AH285" s="12" t="s">
        <v>145</v>
      </c>
      <c r="AI285" s="12" t="s">
        <v>89</v>
      </c>
      <c r="AJ285" s="12" t="s">
        <v>89</v>
      </c>
      <c r="AK285" s="12" t="s">
        <v>89</v>
      </c>
      <c r="AL285" s="12" t="s">
        <v>141</v>
      </c>
      <c r="AM285" s="12" t="s">
        <v>91</v>
      </c>
      <c r="AN285" s="17" t="s">
        <v>87</v>
      </c>
    </row>
    <row r="286" spans="1:40">
      <c r="A286" s="12" t="s">
        <v>74</v>
      </c>
      <c r="B286" s="12" t="s">
        <v>75</v>
      </c>
      <c r="C286" s="12" t="s">
        <v>76</v>
      </c>
      <c r="D286" s="12" t="s">
        <v>720</v>
      </c>
      <c r="E286" s="12" t="s">
        <v>1091</v>
      </c>
      <c r="F286" s="12" t="s">
        <v>1092</v>
      </c>
      <c r="G286" s="12" t="s">
        <v>1093</v>
      </c>
      <c r="H286" s="34" t="s">
        <v>1094</v>
      </c>
      <c r="I286" s="12" t="s">
        <v>82</v>
      </c>
      <c r="J286" s="12" t="s">
        <v>149</v>
      </c>
      <c r="K286" s="18">
        <v>0</v>
      </c>
      <c r="L286" s="18">
        <v>0</v>
      </c>
      <c r="M286" s="12" t="s">
        <v>150</v>
      </c>
      <c r="N286" s="35">
        <v>0</v>
      </c>
      <c r="O286" s="35">
        <v>0</v>
      </c>
      <c r="P286" s="35">
        <v>0</v>
      </c>
      <c r="Q286" s="35">
        <v>0</v>
      </c>
      <c r="R286" s="18">
        <f>N286-O286</f>
        <v>0.0</v>
      </c>
      <c r="S286" s="18">
        <f>O286-P286</f>
        <v>0.0</v>
      </c>
      <c r="T286" s="18">
        <f>N286-Q286</f>
        <v>0.0</v>
      </c>
      <c r="U286" s="36">
        <f>IF(N286&gt;0,Q286/N286,0)</f>
        <v>0</v>
      </c>
      <c r="V286" s="35">
        <v>13160803.49</v>
      </c>
      <c r="W286" s="35">
        <v>314712.62</v>
      </c>
      <c r="X286" s="36">
        <v>0.02391287281503205</v>
      </c>
      <c r="Y286" s="17" t="s">
        <v>151</v>
      </c>
      <c r="Z286" s="17" t="s">
        <v>946</v>
      </c>
      <c r="AA286" s="35">
        <v>250000</v>
      </c>
      <c r="AB286" s="35">
        <v>0</v>
      </c>
      <c r="AC286" s="35">
        <v>0</v>
      </c>
      <c r="AD286" s="35">
        <v>0</v>
      </c>
      <c r="AE286" s="12" t="s">
        <v>203</v>
      </c>
      <c r="AF286" s="12" t="s">
        <v>87</v>
      </c>
      <c r="AG286" s="18">
        <v>-1</v>
      </c>
      <c r="AH286" s="12" t="s">
        <v>145</v>
      </c>
      <c r="AI286" s="12" t="s">
        <v>89</v>
      </c>
      <c r="AJ286" s="12" t="s">
        <v>89</v>
      </c>
      <c r="AK286" s="12" t="s">
        <v>89</v>
      </c>
      <c r="AL286" s="12" t="s">
        <v>141</v>
      </c>
      <c r="AM286" s="12" t="s">
        <v>91</v>
      </c>
      <c r="AN286" s="17" t="s">
        <v>92</v>
      </c>
    </row>
    <row r="287" spans="1:40">
      <c r="A287" s="12" t="s">
        <v>74</v>
      </c>
      <c r="B287" s="12" t="s">
        <v>1095</v>
      </c>
      <c r="C287" s="12" t="s">
        <v>1096</v>
      </c>
      <c r="D287" s="12" t="s">
        <v>89</v>
      </c>
      <c r="E287" s="12" t="s">
        <v>1083</v>
      </c>
      <c r="F287" s="12" t="s">
        <v>1097</v>
      </c>
      <c r="G287" s="12" t="s">
        <v>1098</v>
      </c>
      <c r="H287" s="34" t="s">
        <v>1099</v>
      </c>
      <c r="I287" s="12" t="s">
        <v>82</v>
      </c>
      <c r="J287" s="12" t="s">
        <v>83</v>
      </c>
      <c r="K287" s="18">
        <v>0</v>
      </c>
      <c r="L287" s="18">
        <v>0</v>
      </c>
      <c r="M287" s="12" t="s">
        <v>84</v>
      </c>
      <c r="N287" s="35">
        <v>2659376</v>
      </c>
      <c r="O287" s="35">
        <v>1980094.52</v>
      </c>
      <c r="P287" s="35">
        <v>1797701.3</v>
      </c>
      <c r="Q287" s="35">
        <v>1386716.89</v>
      </c>
      <c r="R287" s="18">
        <f>N287-O287</f>
        <v>679281.48</v>
      </c>
      <c r="S287" s="18">
        <f>O287-P287</f>
        <v>182393.21999999974</v>
      </c>
      <c r="T287" s="18">
        <f>N287-Q287</f>
        <v>1272659.1099999999</v>
      </c>
      <c r="U287" s="36">
        <f>IF(N287&gt;0,Q287/N287,0)</f>
        <v>0.5214444629116004</v>
      </c>
      <c r="V287" s="35">
        <v>17981822.34</v>
      </c>
      <c r="W287" s="35">
        <v>14807672.9</v>
      </c>
      <c r="X287" s="36">
        <v>0.8234801022953495</v>
      </c>
      <c r="Y287" s="35">
        <v>2659376</v>
      </c>
      <c r="Z287" s="17" t="s">
        <v>85</v>
      </c>
      <c r="AA287" s="35">
        <v>3659376</v>
      </c>
      <c r="AB287" s="35">
        <v>55933</v>
      </c>
      <c r="AC287" s="35">
        <v>0</v>
      </c>
      <c r="AD287" s="35">
        <v>1953448</v>
      </c>
      <c r="AE287" s="12" t="s">
        <v>86</v>
      </c>
      <c r="AF287" s="12" t="s">
        <v>87</v>
      </c>
      <c r="AG287" s="18">
        <v>81.79000000000001</v>
      </c>
      <c r="AH287" s="12" t="s">
        <v>514</v>
      </c>
      <c r="AI287" s="12" t="s">
        <v>89</v>
      </c>
      <c r="AJ287" s="12" t="s">
        <v>89</v>
      </c>
      <c r="AK287" s="12" t="s">
        <v>89</v>
      </c>
      <c r="AL287" s="12" t="s">
        <v>1082</v>
      </c>
      <c r="AM287" s="12" t="s">
        <v>91</v>
      </c>
      <c r="AN287" s="17" t="s">
        <v>92</v>
      </c>
    </row>
    <row r="288" spans="1:40">
      <c r="A288" s="12" t="s">
        <v>74</v>
      </c>
      <c r="B288" s="12" t="s">
        <v>1095</v>
      </c>
      <c r="C288" s="12" t="s">
        <v>1096</v>
      </c>
      <c r="D288" s="12" t="s">
        <v>89</v>
      </c>
      <c r="E288" s="12" t="s">
        <v>1083</v>
      </c>
      <c r="F288" s="12" t="s">
        <v>1100</v>
      </c>
      <c r="G288" s="12" t="s">
        <v>1101</v>
      </c>
      <c r="H288" s="34" t="s">
        <v>1102</v>
      </c>
      <c r="I288" s="12" t="s">
        <v>1103</v>
      </c>
      <c r="J288" s="12" t="s">
        <v>1104</v>
      </c>
      <c r="K288" s="18">
        <v>5935</v>
      </c>
      <c r="L288" s="18">
        <v>63000</v>
      </c>
      <c r="M288" s="12" t="s">
        <v>1103</v>
      </c>
      <c r="N288" s="35">
        <v>159946</v>
      </c>
      <c r="O288" s="35">
        <v>154011</v>
      </c>
      <c r="P288" s="35">
        <v>91011</v>
      </c>
      <c r="Q288" s="35">
        <v>60441</v>
      </c>
      <c r="R288" s="18">
        <f>N288-O288</f>
        <v>5935.0</v>
      </c>
      <c r="S288" s="18">
        <f>O288-P288</f>
        <v>63000.0</v>
      </c>
      <c r="T288" s="18">
        <f>N288-Q288</f>
        <v>99505.0</v>
      </c>
      <c r="U288" s="36">
        <f>IF(N288&gt;0,Q288/N288,0)</f>
        <v>0.3778837857777</v>
      </c>
      <c r="V288" s="17" t="s">
        <v>151</v>
      </c>
      <c r="W288" s="35">
        <v>60441</v>
      </c>
      <c r="X288" s="17" t="s">
        <v>151</v>
      </c>
      <c r="Y288" s="17" t="s">
        <v>151</v>
      </c>
      <c r="Z288" s="17" t="s">
        <v>89</v>
      </c>
      <c r="AA288" s="12" t="s">
        <v>99</v>
      </c>
      <c r="AB288" s="12" t="s">
        <v>99</v>
      </c>
      <c r="AC288" s="12" t="s">
        <v>99</v>
      </c>
      <c r="AD288" s="12" t="s">
        <v>99</v>
      </c>
      <c r="AE288" s="12" t="s">
        <v>1077</v>
      </c>
      <c r="AF288" s="12" t="s">
        <v>87</v>
      </c>
      <c r="AG288" s="17" t="s">
        <v>151</v>
      </c>
      <c r="AH288" s="12" t="s">
        <v>1105</v>
      </c>
      <c r="AI288" s="12" t="s">
        <v>89</v>
      </c>
      <c r="AJ288" s="12" t="s">
        <v>89</v>
      </c>
      <c r="AK288" s="12" t="s">
        <v>89</v>
      </c>
      <c r="AL288" s="12" t="s">
        <v>1106</v>
      </c>
      <c r="AM288" s="12" t="s">
        <v>89</v>
      </c>
      <c r="AN288" s="17" t="s">
        <v>87</v>
      </c>
    </row>
    <row r="289" spans="1:40">
      <c r="A289" s="12" t="s">
        <v>74</v>
      </c>
      <c r="B289" s="12" t="s">
        <v>1095</v>
      </c>
      <c r="C289" s="12" t="s">
        <v>1096</v>
      </c>
      <c r="D289" s="12" t="s">
        <v>89</v>
      </c>
      <c r="E289" s="12" t="s">
        <v>1083</v>
      </c>
      <c r="F289" s="12" t="s">
        <v>1107</v>
      </c>
      <c r="G289" s="12" t="s">
        <v>1108</v>
      </c>
      <c r="H289" s="34" t="s">
        <v>1109</v>
      </c>
      <c r="I289" s="12" t="s">
        <v>1103</v>
      </c>
      <c r="J289" s="12" t="s">
        <v>1104</v>
      </c>
      <c r="K289" s="18">
        <v>18290</v>
      </c>
      <c r="L289" s="18">
        <v>83440</v>
      </c>
      <c r="M289" s="12" t="s">
        <v>1103</v>
      </c>
      <c r="N289" s="35">
        <v>159560</v>
      </c>
      <c r="O289" s="35">
        <v>141270</v>
      </c>
      <c r="P289" s="35">
        <v>57830</v>
      </c>
      <c r="Q289" s="35">
        <v>57830</v>
      </c>
      <c r="R289" s="18">
        <f>N289-O289</f>
        <v>18290.0</v>
      </c>
      <c r="S289" s="18">
        <f>O289-P289</f>
        <v>83440.0</v>
      </c>
      <c r="T289" s="18">
        <f>N289-Q289</f>
        <v>101730.0</v>
      </c>
      <c r="U289" s="36">
        <f>IF(N289&gt;0,Q289/N289,0)</f>
        <v>0.3624341940335924</v>
      </c>
      <c r="V289" s="17" t="s">
        <v>151</v>
      </c>
      <c r="W289" s="35">
        <v>57830</v>
      </c>
      <c r="X289" s="17" t="s">
        <v>151</v>
      </c>
      <c r="Y289" s="17" t="s">
        <v>151</v>
      </c>
      <c r="Z289" s="17" t="s">
        <v>89</v>
      </c>
      <c r="AA289" s="12" t="s">
        <v>99</v>
      </c>
      <c r="AB289" s="12" t="s">
        <v>99</v>
      </c>
      <c r="AC289" s="12" t="s">
        <v>99</v>
      </c>
      <c r="AD289" s="12" t="s">
        <v>99</v>
      </c>
      <c r="AE289" s="12" t="s">
        <v>1077</v>
      </c>
      <c r="AF289" s="12" t="s">
        <v>87</v>
      </c>
      <c r="AG289" s="17" t="s">
        <v>151</v>
      </c>
      <c r="AH289" s="12" t="s">
        <v>1105</v>
      </c>
      <c r="AI289" s="12" t="s">
        <v>89</v>
      </c>
      <c r="AJ289" s="12" t="s">
        <v>89</v>
      </c>
      <c r="AK289" s="12" t="s">
        <v>89</v>
      </c>
      <c r="AL289" s="12" t="s">
        <v>1106</v>
      </c>
      <c r="AM289" s="12" t="s">
        <v>89</v>
      </c>
      <c r="AN289" s="17" t="s">
        <v>87</v>
      </c>
    </row>
    <row r="290" spans="1:40">
      <c r="A290" s="12" t="s">
        <v>74</v>
      </c>
      <c r="B290" s="12" t="s">
        <v>1095</v>
      </c>
      <c r="C290" s="12" t="s">
        <v>1096</v>
      </c>
      <c r="D290" s="12" t="s">
        <v>89</v>
      </c>
      <c r="E290" s="12" t="s">
        <v>1083</v>
      </c>
      <c r="F290" s="12" t="s">
        <v>1110</v>
      </c>
      <c r="G290" s="12" t="s">
        <v>1111</v>
      </c>
      <c r="H290" s="34" t="s">
        <v>1112</v>
      </c>
      <c r="I290" s="12" t="s">
        <v>1103</v>
      </c>
      <c r="J290" s="12" t="s">
        <v>1104</v>
      </c>
      <c r="K290" s="18">
        <v>12333.5</v>
      </c>
      <c r="L290" s="18">
        <v>49200</v>
      </c>
      <c r="M290" s="12" t="s">
        <v>1103</v>
      </c>
      <c r="N290" s="35">
        <v>158892</v>
      </c>
      <c r="O290" s="35">
        <v>146558.5</v>
      </c>
      <c r="P290" s="35">
        <v>97358.5</v>
      </c>
      <c r="Q290" s="35">
        <v>97358.5</v>
      </c>
      <c r="R290" s="18">
        <f>N290-O290</f>
        <v>12333.5</v>
      </c>
      <c r="S290" s="18">
        <f>O290-P290</f>
        <v>49200.0</v>
      </c>
      <c r="T290" s="18">
        <f>N290-Q290</f>
        <v>61533.5</v>
      </c>
      <c r="U290" s="36">
        <f>IF(N290&gt;0,Q290/N290,0)</f>
        <v>0.6127338066107797</v>
      </c>
      <c r="V290" s="17" t="s">
        <v>151</v>
      </c>
      <c r="W290" s="35">
        <v>97358.5</v>
      </c>
      <c r="X290" s="17" t="s">
        <v>151</v>
      </c>
      <c r="Y290" s="17" t="s">
        <v>151</v>
      </c>
      <c r="Z290" s="17" t="s">
        <v>89</v>
      </c>
      <c r="AA290" s="12" t="s">
        <v>99</v>
      </c>
      <c r="AB290" s="12" t="s">
        <v>99</v>
      </c>
      <c r="AC290" s="12" t="s">
        <v>99</v>
      </c>
      <c r="AD290" s="12" t="s">
        <v>99</v>
      </c>
      <c r="AE290" s="12" t="s">
        <v>1077</v>
      </c>
      <c r="AF290" s="12" t="s">
        <v>87</v>
      </c>
      <c r="AG290" s="17" t="s">
        <v>151</v>
      </c>
      <c r="AH290" s="12" t="s">
        <v>1105</v>
      </c>
      <c r="AI290" s="12" t="s">
        <v>89</v>
      </c>
      <c r="AJ290" s="12" t="s">
        <v>89</v>
      </c>
      <c r="AK290" s="12" t="s">
        <v>89</v>
      </c>
      <c r="AL290" s="12" t="s">
        <v>1106</v>
      </c>
      <c r="AM290" s="12" t="s">
        <v>89</v>
      </c>
      <c r="AN290" s="17" t="s">
        <v>87</v>
      </c>
    </row>
    <row r="291" spans="1:40">
      <c r="A291" s="12" t="s">
        <v>74</v>
      </c>
      <c r="B291" s="12" t="s">
        <v>1095</v>
      </c>
      <c r="C291" s="12" t="s">
        <v>1096</v>
      </c>
      <c r="D291" s="12" t="s">
        <v>89</v>
      </c>
      <c r="E291" s="12" t="s">
        <v>353</v>
      </c>
      <c r="F291" s="12" t="s">
        <v>1113</v>
      </c>
      <c r="G291" s="12" t="s">
        <v>1114</v>
      </c>
      <c r="H291" s="34" t="s">
        <v>1115</v>
      </c>
      <c r="I291" s="12" t="s">
        <v>1103</v>
      </c>
      <c r="J291" s="12" t="s">
        <v>1104</v>
      </c>
      <c r="K291" s="18">
        <v>160000</v>
      </c>
      <c r="L291" s="18">
        <v>0</v>
      </c>
      <c r="M291" s="12" t="s">
        <v>1103</v>
      </c>
      <c r="N291" s="35">
        <v>160000</v>
      </c>
      <c r="O291" s="35">
        <v>0</v>
      </c>
      <c r="P291" s="35">
        <v>0</v>
      </c>
      <c r="Q291" s="35">
        <v>0</v>
      </c>
      <c r="R291" s="18">
        <f>N291-O291</f>
        <v>160000.0</v>
      </c>
      <c r="S291" s="18">
        <f>O291-P291</f>
        <v>0.0</v>
      </c>
      <c r="T291" s="18">
        <f>N291-Q291</f>
        <v>160000.0</v>
      </c>
      <c r="U291" s="36">
        <f>IF(N291&gt;0,Q291/N291,0)</f>
        <v>0.0</v>
      </c>
      <c r="V291" s="17" t="s">
        <v>151</v>
      </c>
      <c r="W291" s="35">
        <v>0</v>
      </c>
      <c r="X291" s="17" t="s">
        <v>151</v>
      </c>
      <c r="Y291" s="17" t="s">
        <v>151</v>
      </c>
      <c r="Z291" s="17" t="s">
        <v>89</v>
      </c>
      <c r="AA291" s="12" t="s">
        <v>99</v>
      </c>
      <c r="AB291" s="12" t="s">
        <v>99</v>
      </c>
      <c r="AC291" s="12" t="s">
        <v>99</v>
      </c>
      <c r="AD291" s="12" t="s">
        <v>99</v>
      </c>
      <c r="AE291" s="12" t="s">
        <v>1077</v>
      </c>
      <c r="AF291" s="12" t="s">
        <v>87</v>
      </c>
      <c r="AG291" s="17" t="s">
        <v>151</v>
      </c>
      <c r="AH291" s="12" t="s">
        <v>1105</v>
      </c>
      <c r="AI291" s="12" t="s">
        <v>89</v>
      </c>
      <c r="AJ291" s="12" t="s">
        <v>89</v>
      </c>
      <c r="AK291" s="12" t="s">
        <v>89</v>
      </c>
      <c r="AL291" s="12" t="s">
        <v>1106</v>
      </c>
      <c r="AM291" s="12" t="s">
        <v>89</v>
      </c>
      <c r="AN291" s="17" t="s">
        <v>87</v>
      </c>
    </row>
    <row r="292" spans="1:40">
      <c r="A292" s="12" t="s">
        <v>74</v>
      </c>
      <c r="B292" s="12" t="s">
        <v>1095</v>
      </c>
      <c r="C292" s="12" t="s">
        <v>1096</v>
      </c>
      <c r="D292" s="12" t="s">
        <v>89</v>
      </c>
      <c r="E292" s="12" t="s">
        <v>353</v>
      </c>
      <c r="F292" s="12" t="s">
        <v>1116</v>
      </c>
      <c r="G292" s="12" t="s">
        <v>1117</v>
      </c>
      <c r="H292" s="34" t="s">
        <v>1118</v>
      </c>
      <c r="I292" s="12" t="s">
        <v>1103</v>
      </c>
      <c r="J292" s="12" t="s">
        <v>106</v>
      </c>
      <c r="K292" s="18">
        <v>0</v>
      </c>
      <c r="L292" s="18">
        <v>0</v>
      </c>
      <c r="M292" s="12" t="s">
        <v>121</v>
      </c>
      <c r="N292" s="35">
        <v>83160</v>
      </c>
      <c r="O292" s="35">
        <v>83160</v>
      </c>
      <c r="P292" s="35">
        <v>83100.39999999999</v>
      </c>
      <c r="Q292" s="35">
        <v>83100.39999999999</v>
      </c>
      <c r="R292" s="18">
        <f>N292-O292</f>
        <v>0.0</v>
      </c>
      <c r="S292" s="18">
        <f>O292-P292</f>
        <v>59.60000000000582</v>
      </c>
      <c r="T292" s="18">
        <f>N292-Q292</f>
        <v>59.60000000000582</v>
      </c>
      <c r="U292" s="36">
        <f>IF(N292&gt;0,Q292/N292,0)</f>
        <v>0.9992833092833092</v>
      </c>
      <c r="V292" s="17" t="s">
        <v>151</v>
      </c>
      <c r="W292" s="35">
        <v>158390.4</v>
      </c>
      <c r="X292" s="17" t="s">
        <v>151</v>
      </c>
      <c r="Y292" s="17" t="s">
        <v>151</v>
      </c>
      <c r="Z292" s="17" t="s">
        <v>89</v>
      </c>
      <c r="AA292" s="12" t="s">
        <v>99</v>
      </c>
      <c r="AB292" s="12" t="s">
        <v>99</v>
      </c>
      <c r="AC292" s="12" t="s">
        <v>99</v>
      </c>
      <c r="AD292" s="12" t="s">
        <v>99</v>
      </c>
      <c r="AE292" s="12" t="s">
        <v>1077</v>
      </c>
      <c r="AF292" s="12" t="s">
        <v>87</v>
      </c>
      <c r="AG292" s="17" t="s">
        <v>151</v>
      </c>
      <c r="AH292" s="12" t="s">
        <v>1119</v>
      </c>
      <c r="AI292" s="12" t="s">
        <v>89</v>
      </c>
      <c r="AJ292" s="12" t="s">
        <v>89</v>
      </c>
      <c r="AK292" s="12" t="s">
        <v>89</v>
      </c>
      <c r="AL292" s="12" t="s">
        <v>1106</v>
      </c>
      <c r="AM292" s="12" t="s">
        <v>89</v>
      </c>
      <c r="AN292" s="17" t="s">
        <v>87</v>
      </c>
    </row>
    <row r="293" spans="1:40">
      <c r="A293" s="12" t="s">
        <v>74</v>
      </c>
      <c r="B293" s="12" t="s">
        <v>1095</v>
      </c>
      <c r="C293" s="12" t="s">
        <v>1096</v>
      </c>
      <c r="D293" s="12" t="s">
        <v>89</v>
      </c>
      <c r="E293" s="12" t="s">
        <v>1078</v>
      </c>
      <c r="F293" s="12" t="s">
        <v>1120</v>
      </c>
      <c r="G293" s="12" t="s">
        <v>1121</v>
      </c>
      <c r="H293" s="34" t="s">
        <v>1122</v>
      </c>
      <c r="I293" s="12" t="s">
        <v>1123</v>
      </c>
      <c r="J293" s="12" t="s">
        <v>1124</v>
      </c>
      <c r="K293" s="18">
        <v>17457.96999999997</v>
      </c>
      <c r="L293" s="18">
        <v>0</v>
      </c>
      <c r="M293" s="12" t="s">
        <v>1125</v>
      </c>
      <c r="N293" s="35">
        <v>928209</v>
      </c>
      <c r="O293" s="35">
        <v>910751.03</v>
      </c>
      <c r="P293" s="35">
        <v>909473.11</v>
      </c>
      <c r="Q293" s="35">
        <v>642892.52</v>
      </c>
      <c r="R293" s="18">
        <f>N293-O293</f>
        <v>17457.969999999972</v>
      </c>
      <c r="S293" s="18">
        <f>O293-P293</f>
        <v>1277.920000000042</v>
      </c>
      <c r="T293" s="18">
        <f>N293-Q293</f>
        <v>285316.48</v>
      </c>
      <c r="U293" s="36">
        <f>IF(N293&gt;0,Q293/N293,0)</f>
        <v>0.6926161241703108</v>
      </c>
      <c r="V293" s="17" t="s">
        <v>151</v>
      </c>
      <c r="W293" s="17" t="s">
        <v>151</v>
      </c>
      <c r="X293" s="17" t="s">
        <v>151</v>
      </c>
      <c r="Y293" s="17" t="s">
        <v>151</v>
      </c>
      <c r="Z293" s="17" t="s">
        <v>89</v>
      </c>
      <c r="AA293" s="12" t="s">
        <v>99</v>
      </c>
      <c r="AB293" s="12" t="s">
        <v>99</v>
      </c>
      <c r="AC293" s="12" t="s">
        <v>99</v>
      </c>
      <c r="AD293" s="12" t="s">
        <v>99</v>
      </c>
      <c r="AE293" s="12" t="s">
        <v>89</v>
      </c>
      <c r="AF293" s="12" t="s">
        <v>89</v>
      </c>
      <c r="AG293" s="17" t="s">
        <v>151</v>
      </c>
      <c r="AH293" s="12" t="s">
        <v>1126</v>
      </c>
      <c r="AI293" s="12" t="s">
        <v>89</v>
      </c>
      <c r="AJ293" s="12" t="s">
        <v>89</v>
      </c>
      <c r="AK293" s="12" t="s">
        <v>89</v>
      </c>
      <c r="AL293" s="12" t="s">
        <v>1082</v>
      </c>
      <c r="AM293" s="12" t="s">
        <v>89</v>
      </c>
      <c r="AN293" s="17" t="s">
        <v>89</v>
      </c>
    </row>
    <row r="294" spans="1:40">
      <c r="A294" s="12" t="s">
        <v>74</v>
      </c>
      <c r="B294" s="12" t="s">
        <v>1095</v>
      </c>
      <c r="C294" s="12" t="s">
        <v>1096</v>
      </c>
      <c r="D294" s="12" t="s">
        <v>89</v>
      </c>
      <c r="E294" s="12" t="s">
        <v>1078</v>
      </c>
      <c r="F294" s="12" t="s">
        <v>1120</v>
      </c>
      <c r="G294" s="12" t="s">
        <v>1127</v>
      </c>
      <c r="H294" s="34" t="s">
        <v>1122</v>
      </c>
      <c r="I294" s="12" t="s">
        <v>1123</v>
      </c>
      <c r="J294" s="12" t="s">
        <v>1124</v>
      </c>
      <c r="K294" s="18">
        <v>75345</v>
      </c>
      <c r="L294" s="18">
        <v>0</v>
      </c>
      <c r="M294" s="12" t="s">
        <v>1125</v>
      </c>
      <c r="N294" s="35">
        <v>170000</v>
      </c>
      <c r="O294" s="35">
        <v>94655</v>
      </c>
      <c r="P294" s="35">
        <v>93354.23999999999</v>
      </c>
      <c r="Q294" s="35">
        <v>44009.24</v>
      </c>
      <c r="R294" s="18">
        <f>N294-O294</f>
        <v>75345.0</v>
      </c>
      <c r="S294" s="18">
        <f>O294-P294</f>
        <v>1300.7600000000093</v>
      </c>
      <c r="T294" s="18">
        <f>N294-Q294</f>
        <v>125990.76000000001</v>
      </c>
      <c r="U294" s="36">
        <f>IF(N294&gt;0,Q294/N294,0)</f>
        <v>0.2588778823529412</v>
      </c>
      <c r="V294" s="17" t="s">
        <v>151</v>
      </c>
      <c r="W294" s="17" t="s">
        <v>151</v>
      </c>
      <c r="X294" s="17" t="s">
        <v>151</v>
      </c>
      <c r="Y294" s="17" t="s">
        <v>151</v>
      </c>
      <c r="Z294" s="17" t="s">
        <v>89</v>
      </c>
      <c r="AA294" s="12" t="s">
        <v>99</v>
      </c>
      <c r="AB294" s="12" t="s">
        <v>99</v>
      </c>
      <c r="AC294" s="12" t="s">
        <v>99</v>
      </c>
      <c r="AD294" s="12" t="s">
        <v>99</v>
      </c>
      <c r="AE294" s="12" t="s">
        <v>89</v>
      </c>
      <c r="AF294" s="12" t="s">
        <v>89</v>
      </c>
      <c r="AG294" s="17" t="s">
        <v>151</v>
      </c>
      <c r="AH294" s="12" t="s">
        <v>1126</v>
      </c>
      <c r="AI294" s="12" t="s">
        <v>89</v>
      </c>
      <c r="AJ294" s="12" t="s">
        <v>89</v>
      </c>
      <c r="AK294" s="12" t="s">
        <v>89</v>
      </c>
      <c r="AL294" s="12" t="s">
        <v>1082</v>
      </c>
      <c r="AM294" s="12" t="s">
        <v>89</v>
      </c>
      <c r="AN294" s="17" t="s">
        <v>89</v>
      </c>
    </row>
    <row r="295" spans="1:40">
      <c r="A295" s="12" t="s">
        <v>74</v>
      </c>
      <c r="B295" s="12" t="s">
        <v>1095</v>
      </c>
      <c r="C295" s="12" t="s">
        <v>1096</v>
      </c>
      <c r="D295" s="12" t="s">
        <v>89</v>
      </c>
      <c r="E295" s="12" t="s">
        <v>1128</v>
      </c>
      <c r="F295" s="12" t="s">
        <v>1129</v>
      </c>
      <c r="G295" s="12" t="s">
        <v>1130</v>
      </c>
      <c r="H295" s="34" t="s">
        <v>1131</v>
      </c>
      <c r="I295" s="12" t="s">
        <v>1103</v>
      </c>
      <c r="J295" s="12" t="s">
        <v>1104</v>
      </c>
      <c r="K295" s="18">
        <v>15940</v>
      </c>
      <c r="L295" s="18">
        <v>126700</v>
      </c>
      <c r="M295" s="12" t="s">
        <v>1103</v>
      </c>
      <c r="N295" s="35">
        <v>350000</v>
      </c>
      <c r="O295" s="35">
        <v>334060</v>
      </c>
      <c r="P295" s="35">
        <v>207360</v>
      </c>
      <c r="Q295" s="35">
        <v>65360</v>
      </c>
      <c r="R295" s="18">
        <f>N295-O295</f>
        <v>15940.0</v>
      </c>
      <c r="S295" s="18">
        <f>O295-P295</f>
        <v>126700.0</v>
      </c>
      <c r="T295" s="18">
        <f>N295-Q295</f>
        <v>284640.0</v>
      </c>
      <c r="U295" s="36">
        <f>IF(N295&gt;0,Q295/N295,0)</f>
        <v>0.18674285714285715</v>
      </c>
      <c r="V295" s="17" t="s">
        <v>151</v>
      </c>
      <c r="W295" s="35">
        <v>65360</v>
      </c>
      <c r="X295" s="17" t="s">
        <v>151</v>
      </c>
      <c r="Y295" s="17" t="s">
        <v>151</v>
      </c>
      <c r="Z295" s="17" t="s">
        <v>89</v>
      </c>
      <c r="AA295" s="12" t="s">
        <v>99</v>
      </c>
      <c r="AB295" s="12" t="s">
        <v>99</v>
      </c>
      <c r="AC295" s="12" t="s">
        <v>99</v>
      </c>
      <c r="AD295" s="12" t="s">
        <v>99</v>
      </c>
      <c r="AE295" s="12" t="s">
        <v>1077</v>
      </c>
      <c r="AF295" s="12" t="s">
        <v>87</v>
      </c>
      <c r="AG295" s="17" t="s">
        <v>151</v>
      </c>
      <c r="AH295" s="12" t="s">
        <v>1105</v>
      </c>
      <c r="AI295" s="12" t="s">
        <v>89</v>
      </c>
      <c r="AJ295" s="12" t="s">
        <v>89</v>
      </c>
      <c r="AK295" s="12" t="s">
        <v>89</v>
      </c>
      <c r="AL295" s="12" t="s">
        <v>1106</v>
      </c>
      <c r="AM295" s="12" t="s">
        <v>89</v>
      </c>
      <c r="AN295" s="17" t="s">
        <v>87</v>
      </c>
    </row>
    <row r="296" spans="1:40">
      <c r="A296" s="12" t="s">
        <v>74</v>
      </c>
      <c r="B296" s="12" t="s">
        <v>1095</v>
      </c>
      <c r="C296" s="12" t="s">
        <v>1096</v>
      </c>
      <c r="D296" s="12" t="s">
        <v>89</v>
      </c>
      <c r="E296" s="12" t="s">
        <v>1128</v>
      </c>
      <c r="F296" s="12" t="s">
        <v>1132</v>
      </c>
      <c r="G296" s="12" t="s">
        <v>1133</v>
      </c>
      <c r="H296" s="34" t="s">
        <v>1134</v>
      </c>
      <c r="I296" s="12" t="s">
        <v>1103</v>
      </c>
      <c r="J296" s="12" t="s">
        <v>1104</v>
      </c>
      <c r="K296" s="18">
        <v>62245</v>
      </c>
      <c r="L296" s="18">
        <v>142043</v>
      </c>
      <c r="M296" s="12" t="s">
        <v>1103</v>
      </c>
      <c r="N296" s="35">
        <v>349950</v>
      </c>
      <c r="O296" s="35">
        <v>287705</v>
      </c>
      <c r="P296" s="35">
        <v>145662</v>
      </c>
      <c r="Q296" s="35">
        <v>136062</v>
      </c>
      <c r="R296" s="18">
        <f>N296-O296</f>
        <v>62245.0</v>
      </c>
      <c r="S296" s="18">
        <f>O296-P296</f>
        <v>142043.0</v>
      </c>
      <c r="T296" s="18">
        <f>N296-Q296</f>
        <v>213888.0</v>
      </c>
      <c r="U296" s="36">
        <f>IF(N296&gt;0,Q296/N296,0)</f>
        <v>0.3888041148735534</v>
      </c>
      <c r="V296" s="17" t="s">
        <v>151</v>
      </c>
      <c r="W296" s="35">
        <v>136062</v>
      </c>
      <c r="X296" s="17" t="s">
        <v>151</v>
      </c>
      <c r="Y296" s="17" t="s">
        <v>151</v>
      </c>
      <c r="Z296" s="17" t="s">
        <v>89</v>
      </c>
      <c r="AA296" s="12" t="s">
        <v>99</v>
      </c>
      <c r="AB296" s="12" t="s">
        <v>99</v>
      </c>
      <c r="AC296" s="12" t="s">
        <v>99</v>
      </c>
      <c r="AD296" s="12" t="s">
        <v>99</v>
      </c>
      <c r="AE296" s="12" t="s">
        <v>1077</v>
      </c>
      <c r="AF296" s="12" t="s">
        <v>87</v>
      </c>
      <c r="AG296" s="17" t="s">
        <v>151</v>
      </c>
      <c r="AH296" s="12" t="s">
        <v>1105</v>
      </c>
      <c r="AI296" s="12" t="s">
        <v>89</v>
      </c>
      <c r="AJ296" s="12" t="s">
        <v>89</v>
      </c>
      <c r="AK296" s="12" t="s">
        <v>89</v>
      </c>
      <c r="AL296" s="12" t="s">
        <v>1106</v>
      </c>
      <c r="AM296" s="12" t="s">
        <v>89</v>
      </c>
      <c r="AN296" s="17" t="s">
        <v>87</v>
      </c>
    </row>
    <row r="297" spans="1:40">
      <c r="A297" s="12" t="s">
        <v>74</v>
      </c>
      <c r="B297" s="12" t="s">
        <v>1095</v>
      </c>
      <c r="C297" s="12" t="s">
        <v>1096</v>
      </c>
      <c r="D297" s="12" t="s">
        <v>89</v>
      </c>
      <c r="E297" s="12" t="s">
        <v>1128</v>
      </c>
      <c r="F297" s="12" t="s">
        <v>1135</v>
      </c>
      <c r="G297" s="12" t="s">
        <v>1136</v>
      </c>
      <c r="H297" s="34" t="s">
        <v>1137</v>
      </c>
      <c r="I297" s="12" t="s">
        <v>1103</v>
      </c>
      <c r="J297" s="12" t="s">
        <v>1104</v>
      </c>
      <c r="K297" s="18">
        <v>42829</v>
      </c>
      <c r="L297" s="18">
        <v>255000</v>
      </c>
      <c r="M297" s="12" t="s">
        <v>1103</v>
      </c>
      <c r="N297" s="35">
        <v>349899</v>
      </c>
      <c r="O297" s="35">
        <v>307070</v>
      </c>
      <c r="P297" s="35">
        <v>52070</v>
      </c>
      <c r="Q297" s="35">
        <v>10500</v>
      </c>
      <c r="R297" s="18">
        <f>N297-O297</f>
        <v>42829.0</v>
      </c>
      <c r="S297" s="18">
        <f>O297-P297</f>
        <v>255000.0</v>
      </c>
      <c r="T297" s="18">
        <f>N297-Q297</f>
        <v>339399.0</v>
      </c>
      <c r="U297" s="36">
        <f>IF(N297&gt;0,Q297/N297,0)</f>
        <v>0.030008659641782343</v>
      </c>
      <c r="V297" s="17" t="s">
        <v>151</v>
      </c>
      <c r="W297" s="35">
        <v>10500</v>
      </c>
      <c r="X297" s="17" t="s">
        <v>151</v>
      </c>
      <c r="Y297" s="17" t="s">
        <v>151</v>
      </c>
      <c r="Z297" s="17" t="s">
        <v>89</v>
      </c>
      <c r="AA297" s="12" t="s">
        <v>99</v>
      </c>
      <c r="AB297" s="12" t="s">
        <v>99</v>
      </c>
      <c r="AC297" s="12" t="s">
        <v>99</v>
      </c>
      <c r="AD297" s="12" t="s">
        <v>99</v>
      </c>
      <c r="AE297" s="12" t="s">
        <v>1077</v>
      </c>
      <c r="AF297" s="12" t="s">
        <v>87</v>
      </c>
      <c r="AG297" s="17" t="s">
        <v>151</v>
      </c>
      <c r="AH297" s="12" t="s">
        <v>1105</v>
      </c>
      <c r="AI297" s="12" t="s">
        <v>89</v>
      </c>
      <c r="AJ297" s="12" t="s">
        <v>89</v>
      </c>
      <c r="AK297" s="12" t="s">
        <v>89</v>
      </c>
      <c r="AL297" s="12" t="s">
        <v>1106</v>
      </c>
      <c r="AM297" s="12" t="s">
        <v>89</v>
      </c>
      <c r="AN297" s="17" t="s">
        <v>87</v>
      </c>
    </row>
    <row r="298" spans="1:40">
      <c r="A298" s="12" t="s">
        <v>74</v>
      </c>
      <c r="B298" s="12" t="s">
        <v>1095</v>
      </c>
      <c r="C298" s="12" t="s">
        <v>1096</v>
      </c>
      <c r="D298" s="12" t="s">
        <v>89</v>
      </c>
      <c r="E298" s="12" t="s">
        <v>1128</v>
      </c>
      <c r="F298" s="12" t="s">
        <v>1138</v>
      </c>
      <c r="G298" s="12" t="s">
        <v>1139</v>
      </c>
      <c r="H298" s="34" t="s">
        <v>1140</v>
      </c>
      <c r="I298" s="12" t="s">
        <v>1103</v>
      </c>
      <c r="J298" s="12" t="s">
        <v>1104</v>
      </c>
      <c r="K298" s="18">
        <v>28292</v>
      </c>
      <c r="L298" s="18">
        <v>321500</v>
      </c>
      <c r="M298" s="12" t="s">
        <v>1103</v>
      </c>
      <c r="N298" s="35">
        <v>349792</v>
      </c>
      <c r="O298" s="35">
        <v>321500</v>
      </c>
      <c r="P298" s="35">
        <v>0</v>
      </c>
      <c r="Q298" s="35">
        <v>0</v>
      </c>
      <c r="R298" s="18">
        <f>N298-O298</f>
        <v>28292.0</v>
      </c>
      <c r="S298" s="18">
        <f>O298-P298</f>
        <v>321500.0</v>
      </c>
      <c r="T298" s="18">
        <f>N298-Q298</f>
        <v>349792.0</v>
      </c>
      <c r="U298" s="36">
        <f>IF(N298&gt;0,Q298/N298,0)</f>
        <v>0.0</v>
      </c>
      <c r="V298" s="17" t="s">
        <v>151</v>
      </c>
      <c r="W298" s="35">
        <v>0</v>
      </c>
      <c r="X298" s="17" t="s">
        <v>151</v>
      </c>
      <c r="Y298" s="17" t="s">
        <v>151</v>
      </c>
      <c r="Z298" s="17" t="s">
        <v>89</v>
      </c>
      <c r="AA298" s="12" t="s">
        <v>99</v>
      </c>
      <c r="AB298" s="12" t="s">
        <v>99</v>
      </c>
      <c r="AC298" s="12" t="s">
        <v>99</v>
      </c>
      <c r="AD298" s="12" t="s">
        <v>99</v>
      </c>
      <c r="AE298" s="12" t="s">
        <v>1077</v>
      </c>
      <c r="AF298" s="12" t="s">
        <v>87</v>
      </c>
      <c r="AG298" s="17" t="s">
        <v>151</v>
      </c>
      <c r="AH298" s="12" t="s">
        <v>1105</v>
      </c>
      <c r="AI298" s="12" t="s">
        <v>89</v>
      </c>
      <c r="AJ298" s="12" t="s">
        <v>89</v>
      </c>
      <c r="AK298" s="12" t="s">
        <v>89</v>
      </c>
      <c r="AL298" s="12" t="s">
        <v>1106</v>
      </c>
      <c r="AM298" s="12" t="s">
        <v>89</v>
      </c>
      <c r="AN298" s="17" t="s">
        <v>87</v>
      </c>
    </row>
    <row r="299" spans="1:40">
      <c r="A299" s="12" t="s">
        <v>74</v>
      </c>
      <c r="B299" s="12" t="s">
        <v>1095</v>
      </c>
      <c r="C299" s="12" t="s">
        <v>1096</v>
      </c>
      <c r="D299" s="12" t="s">
        <v>89</v>
      </c>
      <c r="E299" s="12" t="s">
        <v>1128</v>
      </c>
      <c r="F299" s="12" t="s">
        <v>1141</v>
      </c>
      <c r="G299" s="12" t="s">
        <v>1142</v>
      </c>
      <c r="H299" s="34" t="s">
        <v>1143</v>
      </c>
      <c r="I299" s="12" t="s">
        <v>1103</v>
      </c>
      <c r="J299" s="12" t="s">
        <v>1104</v>
      </c>
      <c r="K299" s="18">
        <v>20692</v>
      </c>
      <c r="L299" s="18">
        <v>329100</v>
      </c>
      <c r="M299" s="12" t="s">
        <v>1103</v>
      </c>
      <c r="N299" s="35">
        <v>349792</v>
      </c>
      <c r="O299" s="35">
        <v>329100</v>
      </c>
      <c r="P299" s="35">
        <v>0</v>
      </c>
      <c r="Q299" s="35">
        <v>0</v>
      </c>
      <c r="R299" s="18">
        <f>N299-O299</f>
        <v>20692.0</v>
      </c>
      <c r="S299" s="18">
        <f>O299-P299</f>
        <v>329100.0</v>
      </c>
      <c r="T299" s="18">
        <f>N299-Q299</f>
        <v>349792.0</v>
      </c>
      <c r="U299" s="36">
        <f>IF(N299&gt;0,Q299/N299,0)</f>
        <v>0.0</v>
      </c>
      <c r="V299" s="17" t="s">
        <v>151</v>
      </c>
      <c r="W299" s="35">
        <v>0</v>
      </c>
      <c r="X299" s="17" t="s">
        <v>151</v>
      </c>
      <c r="Y299" s="17" t="s">
        <v>151</v>
      </c>
      <c r="Z299" s="17" t="s">
        <v>89</v>
      </c>
      <c r="AA299" s="12" t="s">
        <v>99</v>
      </c>
      <c r="AB299" s="12" t="s">
        <v>99</v>
      </c>
      <c r="AC299" s="12" t="s">
        <v>99</v>
      </c>
      <c r="AD299" s="12" t="s">
        <v>99</v>
      </c>
      <c r="AE299" s="12" t="s">
        <v>1077</v>
      </c>
      <c r="AF299" s="12" t="s">
        <v>87</v>
      </c>
      <c r="AG299" s="17" t="s">
        <v>151</v>
      </c>
      <c r="AH299" s="12" t="s">
        <v>1105</v>
      </c>
      <c r="AI299" s="12" t="s">
        <v>89</v>
      </c>
      <c r="AJ299" s="12" t="s">
        <v>89</v>
      </c>
      <c r="AK299" s="12" t="s">
        <v>89</v>
      </c>
      <c r="AL299" s="12" t="s">
        <v>1106</v>
      </c>
      <c r="AM299" s="12" t="s">
        <v>89</v>
      </c>
      <c r="AN299" s="17" t="s">
        <v>87</v>
      </c>
    </row>
    <row r="300" spans="1:40">
      <c r="A300" s="12" t="s">
        <v>74</v>
      </c>
      <c r="B300" s="12" t="s">
        <v>1095</v>
      </c>
      <c r="C300" s="12" t="s">
        <v>1096</v>
      </c>
      <c r="D300" s="12" t="s">
        <v>89</v>
      </c>
      <c r="E300" s="12" t="s">
        <v>1128</v>
      </c>
      <c r="F300" s="12" t="s">
        <v>1144</v>
      </c>
      <c r="G300" s="12" t="s">
        <v>1145</v>
      </c>
      <c r="H300" s="34" t="s">
        <v>1146</v>
      </c>
      <c r="I300" s="12" t="s">
        <v>1103</v>
      </c>
      <c r="J300" s="12" t="s">
        <v>1104</v>
      </c>
      <c r="K300" s="18">
        <v>27756</v>
      </c>
      <c r="L300" s="18">
        <v>200010</v>
      </c>
      <c r="M300" s="12" t="s">
        <v>1103</v>
      </c>
      <c r="N300" s="35">
        <v>346711</v>
      </c>
      <c r="O300" s="35">
        <v>318955</v>
      </c>
      <c r="P300" s="35">
        <v>118945</v>
      </c>
      <c r="Q300" s="35">
        <v>112190</v>
      </c>
      <c r="R300" s="18">
        <f>N300-O300</f>
        <v>27756.0</v>
      </c>
      <c r="S300" s="18">
        <f>O300-P300</f>
        <v>200010.0</v>
      </c>
      <c r="T300" s="18">
        <f>N300-Q300</f>
        <v>234521.0</v>
      </c>
      <c r="U300" s="36">
        <f>IF(N300&gt;0,Q300/N300,0)</f>
        <v>0.3235836186333863</v>
      </c>
      <c r="V300" s="17" t="s">
        <v>151</v>
      </c>
      <c r="W300" s="35">
        <v>112190</v>
      </c>
      <c r="X300" s="17" t="s">
        <v>151</v>
      </c>
      <c r="Y300" s="17" t="s">
        <v>151</v>
      </c>
      <c r="Z300" s="17" t="s">
        <v>89</v>
      </c>
      <c r="AA300" s="12" t="s">
        <v>99</v>
      </c>
      <c r="AB300" s="12" t="s">
        <v>99</v>
      </c>
      <c r="AC300" s="12" t="s">
        <v>99</v>
      </c>
      <c r="AD300" s="12" t="s">
        <v>99</v>
      </c>
      <c r="AE300" s="12" t="s">
        <v>1077</v>
      </c>
      <c r="AF300" s="12" t="s">
        <v>87</v>
      </c>
      <c r="AG300" s="17" t="s">
        <v>151</v>
      </c>
      <c r="AH300" s="12" t="s">
        <v>1105</v>
      </c>
      <c r="AI300" s="12" t="s">
        <v>89</v>
      </c>
      <c r="AJ300" s="12" t="s">
        <v>89</v>
      </c>
      <c r="AK300" s="12" t="s">
        <v>89</v>
      </c>
      <c r="AL300" s="12" t="s">
        <v>1106</v>
      </c>
      <c r="AM300" s="12" t="s">
        <v>89</v>
      </c>
      <c r="AN300" s="17" t="s">
        <v>87</v>
      </c>
    </row>
    <row r="301" spans="1:40">
      <c r="A301" s="12" t="s">
        <v>74</v>
      </c>
      <c r="B301" s="12" t="s">
        <v>1095</v>
      </c>
      <c r="C301" s="12" t="s">
        <v>1096</v>
      </c>
      <c r="D301" s="12" t="s">
        <v>89</v>
      </c>
      <c r="E301" s="12" t="s">
        <v>1128</v>
      </c>
      <c r="F301" s="12" t="s">
        <v>1147</v>
      </c>
      <c r="G301" s="12" t="s">
        <v>1148</v>
      </c>
      <c r="H301" s="34" t="s">
        <v>1149</v>
      </c>
      <c r="I301" s="12" t="s">
        <v>1103</v>
      </c>
      <c r="J301" s="12" t="s">
        <v>106</v>
      </c>
      <c r="K301" s="18">
        <v>0</v>
      </c>
      <c r="L301" s="18">
        <v>0</v>
      </c>
      <c r="M301" s="12" t="s">
        <v>121</v>
      </c>
      <c r="N301" s="35">
        <v>269980</v>
      </c>
      <c r="O301" s="35">
        <v>259749</v>
      </c>
      <c r="P301" s="35">
        <v>258249</v>
      </c>
      <c r="Q301" s="35">
        <v>255066</v>
      </c>
      <c r="R301" s="18">
        <f>N301-O301</f>
        <v>10231.0</v>
      </c>
      <c r="S301" s="18">
        <f>O301-P301</f>
        <v>1500.0</v>
      </c>
      <c r="T301" s="18">
        <f>N301-Q301</f>
        <v>14914.0</v>
      </c>
      <c r="U301" s="36">
        <f>IF(N301&gt;0,Q301/N301,0)</f>
        <v>0.9447588710274836</v>
      </c>
      <c r="V301" s="17" t="s">
        <v>151</v>
      </c>
      <c r="W301" s="35">
        <v>255066</v>
      </c>
      <c r="X301" s="17" t="s">
        <v>151</v>
      </c>
      <c r="Y301" s="17" t="s">
        <v>151</v>
      </c>
      <c r="Z301" s="17" t="s">
        <v>89</v>
      </c>
      <c r="AA301" s="12" t="s">
        <v>99</v>
      </c>
      <c r="AB301" s="12" t="s">
        <v>99</v>
      </c>
      <c r="AC301" s="12" t="s">
        <v>99</v>
      </c>
      <c r="AD301" s="12" t="s">
        <v>99</v>
      </c>
      <c r="AE301" s="12" t="s">
        <v>1077</v>
      </c>
      <c r="AF301" s="12" t="s">
        <v>87</v>
      </c>
      <c r="AG301" s="17" t="s">
        <v>151</v>
      </c>
      <c r="AH301" s="12" t="s">
        <v>1105</v>
      </c>
      <c r="AI301" s="12" t="s">
        <v>89</v>
      </c>
      <c r="AJ301" s="12" t="s">
        <v>89</v>
      </c>
      <c r="AK301" s="12" t="s">
        <v>89</v>
      </c>
      <c r="AL301" s="12" t="s">
        <v>1106</v>
      </c>
      <c r="AM301" s="12" t="s">
        <v>89</v>
      </c>
      <c r="AN301" s="17" t="s">
        <v>87</v>
      </c>
    </row>
    <row r="302" spans="1:40">
      <c r="A302" s="12" t="s">
        <v>74</v>
      </c>
      <c r="B302" s="12" t="s">
        <v>1095</v>
      </c>
      <c r="C302" s="12" t="s">
        <v>1096</v>
      </c>
      <c r="D302" s="12" t="s">
        <v>89</v>
      </c>
      <c r="E302" s="12" t="s">
        <v>1128</v>
      </c>
      <c r="F302" s="12" t="s">
        <v>1150</v>
      </c>
      <c r="G302" s="12" t="s">
        <v>1151</v>
      </c>
      <c r="H302" s="34" t="s">
        <v>1152</v>
      </c>
      <c r="I302" s="12" t="s">
        <v>1103</v>
      </c>
      <c r="J302" s="12" t="s">
        <v>1104</v>
      </c>
      <c r="K302" s="18">
        <v>32850</v>
      </c>
      <c r="L302" s="18">
        <v>0</v>
      </c>
      <c r="M302" s="12" t="s">
        <v>1103</v>
      </c>
      <c r="N302" s="35">
        <v>209400</v>
      </c>
      <c r="O302" s="35">
        <v>176550</v>
      </c>
      <c r="P302" s="35">
        <v>176550</v>
      </c>
      <c r="Q302" s="35">
        <v>136550</v>
      </c>
      <c r="R302" s="18">
        <f>N302-O302</f>
        <v>32850.0</v>
      </c>
      <c r="S302" s="18">
        <f>O302-P302</f>
        <v>0.0</v>
      </c>
      <c r="T302" s="18">
        <f>N302-Q302</f>
        <v>72850.0</v>
      </c>
      <c r="U302" s="36">
        <f>IF(N302&gt;0,Q302/N302,0)</f>
        <v>0.6521012416427889</v>
      </c>
      <c r="V302" s="17" t="s">
        <v>151</v>
      </c>
      <c r="W302" s="35">
        <v>268543</v>
      </c>
      <c r="X302" s="17" t="s">
        <v>151</v>
      </c>
      <c r="Y302" s="17" t="s">
        <v>151</v>
      </c>
      <c r="Z302" s="17" t="s">
        <v>89</v>
      </c>
      <c r="AA302" s="12" t="s">
        <v>99</v>
      </c>
      <c r="AB302" s="12" t="s">
        <v>99</v>
      </c>
      <c r="AC302" s="12" t="s">
        <v>99</v>
      </c>
      <c r="AD302" s="12" t="s">
        <v>99</v>
      </c>
      <c r="AE302" s="12" t="s">
        <v>1077</v>
      </c>
      <c r="AF302" s="12" t="s">
        <v>87</v>
      </c>
      <c r="AG302" s="17" t="s">
        <v>151</v>
      </c>
      <c r="AH302" s="12" t="s">
        <v>1105</v>
      </c>
      <c r="AI302" s="12" t="s">
        <v>89</v>
      </c>
      <c r="AJ302" s="12" t="s">
        <v>89</v>
      </c>
      <c r="AK302" s="12" t="s">
        <v>89</v>
      </c>
      <c r="AL302" s="12" t="s">
        <v>1106</v>
      </c>
      <c r="AM302" s="12" t="s">
        <v>89</v>
      </c>
      <c r="AN302" s="17" t="s">
        <v>87</v>
      </c>
    </row>
    <row r="303" spans="1:40">
      <c r="A303" s="12" t="s">
        <v>74</v>
      </c>
      <c r="B303" s="12" t="s">
        <v>1095</v>
      </c>
      <c r="C303" s="12" t="s">
        <v>1096</v>
      </c>
      <c r="D303" s="12" t="s">
        <v>89</v>
      </c>
      <c r="E303" s="12" t="s">
        <v>1128</v>
      </c>
      <c r="F303" s="12" t="s">
        <v>1153</v>
      </c>
      <c r="G303" s="12" t="s">
        <v>1154</v>
      </c>
      <c r="H303" s="34" t="s">
        <v>1155</v>
      </c>
      <c r="I303" s="12" t="s">
        <v>1103</v>
      </c>
      <c r="J303" s="12" t="s">
        <v>1104</v>
      </c>
      <c r="K303" s="18">
        <v>7399</v>
      </c>
      <c r="L303" s="18">
        <v>0</v>
      </c>
      <c r="M303" s="12" t="s">
        <v>1103</v>
      </c>
      <c r="N303" s="35">
        <v>160000</v>
      </c>
      <c r="O303" s="35">
        <v>152601</v>
      </c>
      <c r="P303" s="35">
        <v>152601</v>
      </c>
      <c r="Q303" s="35">
        <v>143401</v>
      </c>
      <c r="R303" s="18">
        <f>N303-O303</f>
        <v>7399.0</v>
      </c>
      <c r="S303" s="18">
        <f>O303-P303</f>
        <v>0.0</v>
      </c>
      <c r="T303" s="18">
        <f>N303-Q303</f>
        <v>16599.0</v>
      </c>
      <c r="U303" s="36">
        <f>IF(N303&gt;0,Q303/N303,0)</f>
        <v>0.89625625</v>
      </c>
      <c r="V303" s="17" t="s">
        <v>151</v>
      </c>
      <c r="W303" s="35">
        <v>143401</v>
      </c>
      <c r="X303" s="17" t="s">
        <v>151</v>
      </c>
      <c r="Y303" s="17" t="s">
        <v>151</v>
      </c>
      <c r="Z303" s="17" t="s">
        <v>89</v>
      </c>
      <c r="AA303" s="12" t="s">
        <v>99</v>
      </c>
      <c r="AB303" s="12" t="s">
        <v>99</v>
      </c>
      <c r="AC303" s="12" t="s">
        <v>99</v>
      </c>
      <c r="AD303" s="12" t="s">
        <v>99</v>
      </c>
      <c r="AE303" s="12" t="s">
        <v>1077</v>
      </c>
      <c r="AF303" s="12" t="s">
        <v>87</v>
      </c>
      <c r="AG303" s="17" t="s">
        <v>151</v>
      </c>
      <c r="AH303" s="12" t="s">
        <v>1105</v>
      </c>
      <c r="AI303" s="12" t="s">
        <v>89</v>
      </c>
      <c r="AJ303" s="12" t="s">
        <v>89</v>
      </c>
      <c r="AK303" s="12" t="s">
        <v>89</v>
      </c>
      <c r="AL303" s="12" t="s">
        <v>1106</v>
      </c>
      <c r="AM303" s="12" t="s">
        <v>89</v>
      </c>
      <c r="AN303" s="17" t="s">
        <v>87</v>
      </c>
    </row>
    <row r="304" spans="1:40">
      <c r="A304" s="12" t="s">
        <v>74</v>
      </c>
      <c r="B304" s="12" t="s">
        <v>1095</v>
      </c>
      <c r="C304" s="12" t="s">
        <v>1096</v>
      </c>
      <c r="D304" s="12" t="s">
        <v>89</v>
      </c>
      <c r="E304" s="12" t="s">
        <v>1128</v>
      </c>
      <c r="F304" s="12" t="s">
        <v>1156</v>
      </c>
      <c r="G304" s="12" t="s">
        <v>1157</v>
      </c>
      <c r="H304" s="34" t="s">
        <v>1158</v>
      </c>
      <c r="I304" s="12" t="s">
        <v>1103</v>
      </c>
      <c r="J304" s="12" t="s">
        <v>1104</v>
      </c>
      <c r="K304" s="18">
        <v>10160</v>
      </c>
      <c r="L304" s="18">
        <v>115800</v>
      </c>
      <c r="M304" s="12" t="s">
        <v>1103</v>
      </c>
      <c r="N304" s="35">
        <v>160000</v>
      </c>
      <c r="O304" s="35">
        <v>149840</v>
      </c>
      <c r="P304" s="35">
        <v>34040</v>
      </c>
      <c r="Q304" s="35">
        <v>18740</v>
      </c>
      <c r="R304" s="18">
        <f>N304-O304</f>
        <v>10160.0</v>
      </c>
      <c r="S304" s="18">
        <f>O304-P304</f>
        <v>115800.0</v>
      </c>
      <c r="T304" s="18">
        <f>N304-Q304</f>
        <v>141260.0</v>
      </c>
      <c r="U304" s="36">
        <f>IF(N304&gt;0,Q304/N304,0)</f>
        <v>0.117125</v>
      </c>
      <c r="V304" s="17" t="s">
        <v>151</v>
      </c>
      <c r="W304" s="35">
        <v>18740</v>
      </c>
      <c r="X304" s="17" t="s">
        <v>151</v>
      </c>
      <c r="Y304" s="17" t="s">
        <v>151</v>
      </c>
      <c r="Z304" s="17" t="s">
        <v>89</v>
      </c>
      <c r="AA304" s="12" t="s">
        <v>99</v>
      </c>
      <c r="AB304" s="12" t="s">
        <v>99</v>
      </c>
      <c r="AC304" s="12" t="s">
        <v>99</v>
      </c>
      <c r="AD304" s="12" t="s">
        <v>99</v>
      </c>
      <c r="AE304" s="12" t="s">
        <v>1077</v>
      </c>
      <c r="AF304" s="12" t="s">
        <v>87</v>
      </c>
      <c r="AG304" s="17" t="s">
        <v>151</v>
      </c>
      <c r="AH304" s="12" t="s">
        <v>1105</v>
      </c>
      <c r="AI304" s="12" t="s">
        <v>89</v>
      </c>
      <c r="AJ304" s="12" t="s">
        <v>89</v>
      </c>
      <c r="AK304" s="12" t="s">
        <v>89</v>
      </c>
      <c r="AL304" s="12" t="s">
        <v>1106</v>
      </c>
      <c r="AM304" s="12" t="s">
        <v>89</v>
      </c>
      <c r="AN304" s="17" t="s">
        <v>87</v>
      </c>
    </row>
    <row r="305" spans="1:40">
      <c r="A305" s="12" t="s">
        <v>74</v>
      </c>
      <c r="B305" s="12" t="s">
        <v>1095</v>
      </c>
      <c r="C305" s="12" t="s">
        <v>1096</v>
      </c>
      <c r="D305" s="12" t="s">
        <v>89</v>
      </c>
      <c r="E305" s="12" t="s">
        <v>1128</v>
      </c>
      <c r="F305" s="12" t="s">
        <v>1159</v>
      </c>
      <c r="G305" s="12" t="s">
        <v>1160</v>
      </c>
      <c r="H305" s="34" t="s">
        <v>1161</v>
      </c>
      <c r="I305" s="12" t="s">
        <v>1103</v>
      </c>
      <c r="J305" s="12" t="s">
        <v>1104</v>
      </c>
      <c r="K305" s="18">
        <v>11010</v>
      </c>
      <c r="L305" s="18">
        <v>1000</v>
      </c>
      <c r="M305" s="12" t="s">
        <v>1103</v>
      </c>
      <c r="N305" s="35">
        <v>160000</v>
      </c>
      <c r="O305" s="35">
        <v>148990</v>
      </c>
      <c r="P305" s="35">
        <v>147990</v>
      </c>
      <c r="Q305" s="35">
        <v>26000</v>
      </c>
      <c r="R305" s="18">
        <f>N305-O305</f>
        <v>11010.0</v>
      </c>
      <c r="S305" s="18">
        <f>O305-P305</f>
        <v>1000.0</v>
      </c>
      <c r="T305" s="18">
        <f>N305-Q305</f>
        <v>134000.0</v>
      </c>
      <c r="U305" s="36">
        <f>IF(N305&gt;0,Q305/N305,0)</f>
        <v>0.1625</v>
      </c>
      <c r="V305" s="17" t="s">
        <v>151</v>
      </c>
      <c r="W305" s="35">
        <v>26000</v>
      </c>
      <c r="X305" s="17" t="s">
        <v>151</v>
      </c>
      <c r="Y305" s="17" t="s">
        <v>151</v>
      </c>
      <c r="Z305" s="17" t="s">
        <v>89</v>
      </c>
      <c r="AA305" s="12" t="s">
        <v>99</v>
      </c>
      <c r="AB305" s="12" t="s">
        <v>99</v>
      </c>
      <c r="AC305" s="12" t="s">
        <v>99</v>
      </c>
      <c r="AD305" s="12" t="s">
        <v>99</v>
      </c>
      <c r="AE305" s="12" t="s">
        <v>1077</v>
      </c>
      <c r="AF305" s="12" t="s">
        <v>87</v>
      </c>
      <c r="AG305" s="17" t="s">
        <v>151</v>
      </c>
      <c r="AH305" s="12" t="s">
        <v>1105</v>
      </c>
      <c r="AI305" s="12" t="s">
        <v>89</v>
      </c>
      <c r="AJ305" s="12" t="s">
        <v>89</v>
      </c>
      <c r="AK305" s="12" t="s">
        <v>89</v>
      </c>
      <c r="AL305" s="12" t="s">
        <v>1106</v>
      </c>
      <c r="AM305" s="12" t="s">
        <v>89</v>
      </c>
      <c r="AN305" s="17" t="s">
        <v>87</v>
      </c>
    </row>
    <row r="306" spans="1:40">
      <c r="A306" s="12" t="s">
        <v>74</v>
      </c>
      <c r="B306" s="12" t="s">
        <v>1095</v>
      </c>
      <c r="C306" s="12" t="s">
        <v>1096</v>
      </c>
      <c r="D306" s="12" t="s">
        <v>89</v>
      </c>
      <c r="E306" s="12" t="s">
        <v>1128</v>
      </c>
      <c r="F306" s="12" t="s">
        <v>1162</v>
      </c>
      <c r="G306" s="12" t="s">
        <v>1163</v>
      </c>
      <c r="H306" s="34" t="s">
        <v>1164</v>
      </c>
      <c r="I306" s="12" t="s">
        <v>1103</v>
      </c>
      <c r="J306" s="12" t="s">
        <v>1104</v>
      </c>
      <c r="K306" s="18">
        <v>9130</v>
      </c>
      <c r="L306" s="18">
        <v>99600</v>
      </c>
      <c r="M306" s="12" t="s">
        <v>1103</v>
      </c>
      <c r="N306" s="35">
        <v>160000</v>
      </c>
      <c r="O306" s="35">
        <v>150870</v>
      </c>
      <c r="P306" s="35">
        <v>51270</v>
      </c>
      <c r="Q306" s="35">
        <v>45270</v>
      </c>
      <c r="R306" s="18">
        <f>N306-O306</f>
        <v>9130.0</v>
      </c>
      <c r="S306" s="18">
        <f>O306-P306</f>
        <v>99600.0</v>
      </c>
      <c r="T306" s="18">
        <f>N306-Q306</f>
        <v>114730.0</v>
      </c>
      <c r="U306" s="36">
        <f>IF(N306&gt;0,Q306/N306,0)</f>
        <v>0.2829375</v>
      </c>
      <c r="V306" s="17" t="s">
        <v>151</v>
      </c>
      <c r="W306" s="35">
        <v>45270</v>
      </c>
      <c r="X306" s="17" t="s">
        <v>151</v>
      </c>
      <c r="Y306" s="17" t="s">
        <v>151</v>
      </c>
      <c r="Z306" s="17" t="s">
        <v>89</v>
      </c>
      <c r="AA306" s="12" t="s">
        <v>99</v>
      </c>
      <c r="AB306" s="12" t="s">
        <v>99</v>
      </c>
      <c r="AC306" s="12" t="s">
        <v>99</v>
      </c>
      <c r="AD306" s="12" t="s">
        <v>99</v>
      </c>
      <c r="AE306" s="12" t="s">
        <v>1077</v>
      </c>
      <c r="AF306" s="12" t="s">
        <v>87</v>
      </c>
      <c r="AG306" s="17" t="s">
        <v>151</v>
      </c>
      <c r="AH306" s="12" t="s">
        <v>1105</v>
      </c>
      <c r="AI306" s="12" t="s">
        <v>89</v>
      </c>
      <c r="AJ306" s="12" t="s">
        <v>89</v>
      </c>
      <c r="AK306" s="12" t="s">
        <v>89</v>
      </c>
      <c r="AL306" s="12" t="s">
        <v>1106</v>
      </c>
      <c r="AM306" s="12" t="s">
        <v>89</v>
      </c>
      <c r="AN306" s="17" t="s">
        <v>87</v>
      </c>
    </row>
    <row r="307" spans="1:40">
      <c r="A307" s="12" t="s">
        <v>74</v>
      </c>
      <c r="B307" s="12" t="s">
        <v>1095</v>
      </c>
      <c r="C307" s="12" t="s">
        <v>1096</v>
      </c>
      <c r="D307" s="12" t="s">
        <v>89</v>
      </c>
      <c r="E307" s="12" t="s">
        <v>1128</v>
      </c>
      <c r="F307" s="12" t="s">
        <v>1165</v>
      </c>
      <c r="G307" s="12" t="s">
        <v>1166</v>
      </c>
      <c r="H307" s="34" t="s">
        <v>1167</v>
      </c>
      <c r="I307" s="12" t="s">
        <v>1103</v>
      </c>
      <c r="J307" s="12" t="s">
        <v>1104</v>
      </c>
      <c r="K307" s="18">
        <v>8678</v>
      </c>
      <c r="L307" s="18">
        <v>55000</v>
      </c>
      <c r="M307" s="12" t="s">
        <v>1103</v>
      </c>
      <c r="N307" s="35">
        <v>160000</v>
      </c>
      <c r="O307" s="35">
        <v>151322</v>
      </c>
      <c r="P307" s="35">
        <v>96322</v>
      </c>
      <c r="Q307" s="35">
        <v>96322</v>
      </c>
      <c r="R307" s="18">
        <f>N307-O307</f>
        <v>8678.0</v>
      </c>
      <c r="S307" s="18">
        <f>O307-P307</f>
        <v>55000.0</v>
      </c>
      <c r="T307" s="18">
        <f>N307-Q307</f>
        <v>63678.0</v>
      </c>
      <c r="U307" s="36">
        <f>IF(N307&gt;0,Q307/N307,0)</f>
        <v>0.6020125</v>
      </c>
      <c r="V307" s="17" t="s">
        <v>151</v>
      </c>
      <c r="W307" s="35">
        <v>96322</v>
      </c>
      <c r="X307" s="17" t="s">
        <v>151</v>
      </c>
      <c r="Y307" s="17" t="s">
        <v>151</v>
      </c>
      <c r="Z307" s="17" t="s">
        <v>89</v>
      </c>
      <c r="AA307" s="12" t="s">
        <v>99</v>
      </c>
      <c r="AB307" s="12" t="s">
        <v>99</v>
      </c>
      <c r="AC307" s="12" t="s">
        <v>99</v>
      </c>
      <c r="AD307" s="12" t="s">
        <v>99</v>
      </c>
      <c r="AE307" s="12" t="s">
        <v>1077</v>
      </c>
      <c r="AF307" s="12" t="s">
        <v>87</v>
      </c>
      <c r="AG307" s="17" t="s">
        <v>151</v>
      </c>
      <c r="AH307" s="12" t="s">
        <v>1105</v>
      </c>
      <c r="AI307" s="12" t="s">
        <v>89</v>
      </c>
      <c r="AJ307" s="12" t="s">
        <v>89</v>
      </c>
      <c r="AK307" s="12" t="s">
        <v>89</v>
      </c>
      <c r="AL307" s="12" t="s">
        <v>1106</v>
      </c>
      <c r="AM307" s="12" t="s">
        <v>89</v>
      </c>
      <c r="AN307" s="17" t="s">
        <v>87</v>
      </c>
    </row>
    <row r="308" spans="1:40">
      <c r="A308" s="12" t="s">
        <v>74</v>
      </c>
      <c r="B308" s="12" t="s">
        <v>1095</v>
      </c>
      <c r="C308" s="12" t="s">
        <v>1096</v>
      </c>
      <c r="D308" s="12" t="s">
        <v>89</v>
      </c>
      <c r="E308" s="12" t="s">
        <v>1128</v>
      </c>
      <c r="F308" s="12" t="s">
        <v>1168</v>
      </c>
      <c r="G308" s="12" t="s">
        <v>1169</v>
      </c>
      <c r="H308" s="34" t="s">
        <v>1170</v>
      </c>
      <c r="I308" s="12" t="s">
        <v>1103</v>
      </c>
      <c r="J308" s="12" t="s">
        <v>1104</v>
      </c>
      <c r="K308" s="18">
        <v>14429.38</v>
      </c>
      <c r="L308" s="18">
        <v>131450.62</v>
      </c>
      <c r="M308" s="12" t="s">
        <v>1103</v>
      </c>
      <c r="N308" s="35">
        <v>160000</v>
      </c>
      <c r="O308" s="35">
        <v>145570.62</v>
      </c>
      <c r="P308" s="35">
        <v>14120</v>
      </c>
      <c r="Q308" s="35">
        <v>10545</v>
      </c>
      <c r="R308" s="18">
        <f>N308-O308</f>
        <v>14429.380000000005</v>
      </c>
      <c r="S308" s="18">
        <f>O308-P308</f>
        <v>131450.62</v>
      </c>
      <c r="T308" s="18">
        <f>N308-Q308</f>
        <v>149455.0</v>
      </c>
      <c r="U308" s="36">
        <f>IF(N308&gt;0,Q308/N308,0)</f>
        <v>0.06590625</v>
      </c>
      <c r="V308" s="17" t="s">
        <v>151</v>
      </c>
      <c r="W308" s="35">
        <v>10545</v>
      </c>
      <c r="X308" s="17" t="s">
        <v>151</v>
      </c>
      <c r="Y308" s="17" t="s">
        <v>151</v>
      </c>
      <c r="Z308" s="17" t="s">
        <v>89</v>
      </c>
      <c r="AA308" s="12" t="s">
        <v>99</v>
      </c>
      <c r="AB308" s="12" t="s">
        <v>99</v>
      </c>
      <c r="AC308" s="12" t="s">
        <v>99</v>
      </c>
      <c r="AD308" s="12" t="s">
        <v>99</v>
      </c>
      <c r="AE308" s="12" t="s">
        <v>1077</v>
      </c>
      <c r="AF308" s="12" t="s">
        <v>87</v>
      </c>
      <c r="AG308" s="17" t="s">
        <v>151</v>
      </c>
      <c r="AH308" s="12" t="s">
        <v>1105</v>
      </c>
      <c r="AI308" s="12" t="s">
        <v>89</v>
      </c>
      <c r="AJ308" s="12" t="s">
        <v>89</v>
      </c>
      <c r="AK308" s="12" t="s">
        <v>89</v>
      </c>
      <c r="AL308" s="12" t="s">
        <v>1106</v>
      </c>
      <c r="AM308" s="12" t="s">
        <v>89</v>
      </c>
      <c r="AN308" s="17" t="s">
        <v>87</v>
      </c>
    </row>
    <row r="309" spans="1:40">
      <c r="A309" s="12" t="s">
        <v>74</v>
      </c>
      <c r="B309" s="12" t="s">
        <v>1095</v>
      </c>
      <c r="C309" s="12" t="s">
        <v>1096</v>
      </c>
      <c r="D309" s="12" t="s">
        <v>89</v>
      </c>
      <c r="E309" s="12" t="s">
        <v>1128</v>
      </c>
      <c r="F309" s="12" t="s">
        <v>1171</v>
      </c>
      <c r="G309" s="12" t="s">
        <v>1172</v>
      </c>
      <c r="H309" s="34" t="s">
        <v>1173</v>
      </c>
      <c r="I309" s="12" t="s">
        <v>1103</v>
      </c>
      <c r="J309" s="12" t="s">
        <v>1104</v>
      </c>
      <c r="K309" s="18">
        <v>5550</v>
      </c>
      <c r="L309" s="18">
        <v>0</v>
      </c>
      <c r="M309" s="12" t="s">
        <v>1103</v>
      </c>
      <c r="N309" s="35">
        <v>160000</v>
      </c>
      <c r="O309" s="35">
        <v>154450</v>
      </c>
      <c r="P309" s="35">
        <v>154450</v>
      </c>
      <c r="Q309" s="35">
        <v>129270</v>
      </c>
      <c r="R309" s="18">
        <f>N309-O309</f>
        <v>5550.0</v>
      </c>
      <c r="S309" s="18">
        <f>O309-P309</f>
        <v>0.0</v>
      </c>
      <c r="T309" s="18">
        <f>N309-Q309</f>
        <v>30730.0</v>
      </c>
      <c r="U309" s="36">
        <f>IF(N309&gt;0,Q309/N309,0)</f>
        <v>0.8079375</v>
      </c>
      <c r="V309" s="17" t="s">
        <v>151</v>
      </c>
      <c r="W309" s="35">
        <v>129270</v>
      </c>
      <c r="X309" s="17" t="s">
        <v>151</v>
      </c>
      <c r="Y309" s="17" t="s">
        <v>151</v>
      </c>
      <c r="Z309" s="17" t="s">
        <v>89</v>
      </c>
      <c r="AA309" s="12" t="s">
        <v>99</v>
      </c>
      <c r="AB309" s="12" t="s">
        <v>99</v>
      </c>
      <c r="AC309" s="12" t="s">
        <v>99</v>
      </c>
      <c r="AD309" s="12" t="s">
        <v>99</v>
      </c>
      <c r="AE309" s="12" t="s">
        <v>1077</v>
      </c>
      <c r="AF309" s="12" t="s">
        <v>87</v>
      </c>
      <c r="AG309" s="17" t="s">
        <v>151</v>
      </c>
      <c r="AH309" s="12" t="s">
        <v>1105</v>
      </c>
      <c r="AI309" s="12" t="s">
        <v>89</v>
      </c>
      <c r="AJ309" s="12" t="s">
        <v>89</v>
      </c>
      <c r="AK309" s="12" t="s">
        <v>89</v>
      </c>
      <c r="AL309" s="12" t="s">
        <v>1106</v>
      </c>
      <c r="AM309" s="12" t="s">
        <v>89</v>
      </c>
      <c r="AN309" s="17" t="s">
        <v>87</v>
      </c>
    </row>
    <row r="310" spans="1:40">
      <c r="A310" s="12" t="s">
        <v>74</v>
      </c>
      <c r="B310" s="12" t="s">
        <v>1095</v>
      </c>
      <c r="C310" s="12" t="s">
        <v>1096</v>
      </c>
      <c r="D310" s="12" t="s">
        <v>89</v>
      </c>
      <c r="E310" s="12" t="s">
        <v>1128</v>
      </c>
      <c r="F310" s="12" t="s">
        <v>1174</v>
      </c>
      <c r="G310" s="12" t="s">
        <v>1175</v>
      </c>
      <c r="H310" s="34" t="s">
        <v>1176</v>
      </c>
      <c r="I310" s="12" t="s">
        <v>1103</v>
      </c>
      <c r="J310" s="12" t="s">
        <v>1104</v>
      </c>
      <c r="K310" s="18">
        <v>8000</v>
      </c>
      <c r="L310" s="18">
        <v>150000</v>
      </c>
      <c r="M310" s="12" t="s">
        <v>1103</v>
      </c>
      <c r="N310" s="35">
        <v>160000</v>
      </c>
      <c r="O310" s="35">
        <v>152000</v>
      </c>
      <c r="P310" s="35">
        <v>2000</v>
      </c>
      <c r="Q310" s="35">
        <v>2000</v>
      </c>
      <c r="R310" s="18">
        <f>N310-O310</f>
        <v>8000.0</v>
      </c>
      <c r="S310" s="18">
        <f>O310-P310</f>
        <v>150000.0</v>
      </c>
      <c r="T310" s="18">
        <f>N310-Q310</f>
        <v>158000.0</v>
      </c>
      <c r="U310" s="36">
        <f>IF(N310&gt;0,Q310/N310,0)</f>
        <v>0.0125</v>
      </c>
      <c r="V310" s="17" t="s">
        <v>151</v>
      </c>
      <c r="W310" s="35">
        <v>2000</v>
      </c>
      <c r="X310" s="17" t="s">
        <v>151</v>
      </c>
      <c r="Y310" s="17" t="s">
        <v>151</v>
      </c>
      <c r="Z310" s="17" t="s">
        <v>89</v>
      </c>
      <c r="AA310" s="12" t="s">
        <v>99</v>
      </c>
      <c r="AB310" s="12" t="s">
        <v>99</v>
      </c>
      <c r="AC310" s="12" t="s">
        <v>99</v>
      </c>
      <c r="AD310" s="12" t="s">
        <v>99</v>
      </c>
      <c r="AE310" s="12" t="s">
        <v>1077</v>
      </c>
      <c r="AF310" s="12" t="s">
        <v>87</v>
      </c>
      <c r="AG310" s="17" t="s">
        <v>151</v>
      </c>
      <c r="AH310" s="12" t="s">
        <v>1105</v>
      </c>
      <c r="AI310" s="12" t="s">
        <v>89</v>
      </c>
      <c r="AJ310" s="12" t="s">
        <v>89</v>
      </c>
      <c r="AK310" s="12" t="s">
        <v>89</v>
      </c>
      <c r="AL310" s="12" t="s">
        <v>1106</v>
      </c>
      <c r="AM310" s="12" t="s">
        <v>89</v>
      </c>
      <c r="AN310" s="17" t="s">
        <v>87</v>
      </c>
    </row>
    <row r="311" spans="1:40">
      <c r="A311" s="12" t="s">
        <v>74</v>
      </c>
      <c r="B311" s="12" t="s">
        <v>1095</v>
      </c>
      <c r="C311" s="12" t="s">
        <v>1096</v>
      </c>
      <c r="D311" s="12" t="s">
        <v>89</v>
      </c>
      <c r="E311" s="12" t="s">
        <v>1128</v>
      </c>
      <c r="F311" s="12" t="s">
        <v>1177</v>
      </c>
      <c r="G311" s="12" t="s">
        <v>1178</v>
      </c>
      <c r="H311" s="34" t="s">
        <v>1179</v>
      </c>
      <c r="I311" s="12" t="s">
        <v>1103</v>
      </c>
      <c r="J311" s="12" t="s">
        <v>1104</v>
      </c>
      <c r="K311" s="18">
        <v>25042</v>
      </c>
      <c r="L311" s="18">
        <v>42318</v>
      </c>
      <c r="M311" s="12" t="s">
        <v>1103</v>
      </c>
      <c r="N311" s="35">
        <v>160000</v>
      </c>
      <c r="O311" s="35">
        <v>134958</v>
      </c>
      <c r="P311" s="35">
        <v>92640</v>
      </c>
      <c r="Q311" s="35">
        <v>89300</v>
      </c>
      <c r="R311" s="18">
        <f>N311-O311</f>
        <v>25042.0</v>
      </c>
      <c r="S311" s="18">
        <f>O311-P311</f>
        <v>42318.0</v>
      </c>
      <c r="T311" s="18">
        <f>N311-Q311</f>
        <v>70700.0</v>
      </c>
      <c r="U311" s="36">
        <f>IF(N311&gt;0,Q311/N311,0)</f>
        <v>0.558125</v>
      </c>
      <c r="V311" s="17" t="s">
        <v>151</v>
      </c>
      <c r="W311" s="35">
        <v>89300</v>
      </c>
      <c r="X311" s="17" t="s">
        <v>151</v>
      </c>
      <c r="Y311" s="17" t="s">
        <v>151</v>
      </c>
      <c r="Z311" s="17" t="s">
        <v>89</v>
      </c>
      <c r="AA311" s="12" t="s">
        <v>99</v>
      </c>
      <c r="AB311" s="12" t="s">
        <v>99</v>
      </c>
      <c r="AC311" s="12" t="s">
        <v>99</v>
      </c>
      <c r="AD311" s="12" t="s">
        <v>99</v>
      </c>
      <c r="AE311" s="12" t="s">
        <v>1077</v>
      </c>
      <c r="AF311" s="12" t="s">
        <v>87</v>
      </c>
      <c r="AG311" s="17" t="s">
        <v>151</v>
      </c>
      <c r="AH311" s="12" t="s">
        <v>1105</v>
      </c>
      <c r="AI311" s="12" t="s">
        <v>89</v>
      </c>
      <c r="AJ311" s="12" t="s">
        <v>89</v>
      </c>
      <c r="AK311" s="12" t="s">
        <v>89</v>
      </c>
      <c r="AL311" s="12" t="s">
        <v>1106</v>
      </c>
      <c r="AM311" s="12" t="s">
        <v>89</v>
      </c>
      <c r="AN311" s="17" t="s">
        <v>87</v>
      </c>
    </row>
    <row r="312" spans="1:40">
      <c r="A312" s="12" t="s">
        <v>74</v>
      </c>
      <c r="B312" s="12" t="s">
        <v>1095</v>
      </c>
      <c r="C312" s="12" t="s">
        <v>1096</v>
      </c>
      <c r="D312" s="12" t="s">
        <v>89</v>
      </c>
      <c r="E312" s="12" t="s">
        <v>1128</v>
      </c>
      <c r="F312" s="12" t="s">
        <v>1180</v>
      </c>
      <c r="G312" s="12" t="s">
        <v>1181</v>
      </c>
      <c r="H312" s="34" t="s">
        <v>1182</v>
      </c>
      <c r="I312" s="12" t="s">
        <v>1103</v>
      </c>
      <c r="J312" s="12" t="s">
        <v>1104</v>
      </c>
      <c r="K312" s="18">
        <v>2500</v>
      </c>
      <c r="L312" s="18">
        <v>59000</v>
      </c>
      <c r="M312" s="12" t="s">
        <v>1103</v>
      </c>
      <c r="N312" s="35">
        <v>61500</v>
      </c>
      <c r="O312" s="35">
        <v>59000</v>
      </c>
      <c r="P312" s="35">
        <v>0</v>
      </c>
      <c r="Q312" s="35">
        <v>0</v>
      </c>
      <c r="R312" s="18">
        <f>N312-O312</f>
        <v>2500.0</v>
      </c>
      <c r="S312" s="18">
        <f>O312-P312</f>
        <v>59000.0</v>
      </c>
      <c r="T312" s="18">
        <f>N312-Q312</f>
        <v>61500.0</v>
      </c>
      <c r="U312" s="36">
        <f>IF(N312&gt;0,Q312/N312,0)</f>
        <v>0.0</v>
      </c>
      <c r="V312" s="17" t="s">
        <v>151</v>
      </c>
      <c r="W312" s="35">
        <v>98390</v>
      </c>
      <c r="X312" s="17" t="s">
        <v>151</v>
      </c>
      <c r="Y312" s="17" t="s">
        <v>151</v>
      </c>
      <c r="Z312" s="17" t="s">
        <v>89</v>
      </c>
      <c r="AA312" s="12" t="s">
        <v>99</v>
      </c>
      <c r="AB312" s="12" t="s">
        <v>99</v>
      </c>
      <c r="AC312" s="12" t="s">
        <v>99</v>
      </c>
      <c r="AD312" s="12" t="s">
        <v>99</v>
      </c>
      <c r="AE312" s="12" t="s">
        <v>1077</v>
      </c>
      <c r="AF312" s="12" t="s">
        <v>87</v>
      </c>
      <c r="AG312" s="17" t="s">
        <v>151</v>
      </c>
      <c r="AH312" s="12" t="s">
        <v>1119</v>
      </c>
      <c r="AI312" s="12" t="s">
        <v>89</v>
      </c>
      <c r="AJ312" s="12" t="s">
        <v>89</v>
      </c>
      <c r="AK312" s="12" t="s">
        <v>89</v>
      </c>
      <c r="AL312" s="12" t="s">
        <v>1106</v>
      </c>
      <c r="AM312" s="12" t="s">
        <v>89</v>
      </c>
      <c r="AN312" s="17" t="s">
        <v>87</v>
      </c>
    </row>
    <row r="313" spans="1:40">
      <c r="A313" s="12" t="s">
        <v>74</v>
      </c>
      <c r="B313" s="12" t="s">
        <v>1095</v>
      </c>
      <c r="C313" s="12" t="s">
        <v>1096</v>
      </c>
      <c r="D313" s="12" t="s">
        <v>89</v>
      </c>
      <c r="E313" s="12" t="s">
        <v>1128</v>
      </c>
      <c r="F313" s="12" t="s">
        <v>1183</v>
      </c>
      <c r="G313" s="12" t="s">
        <v>1184</v>
      </c>
      <c r="H313" s="34" t="s">
        <v>1185</v>
      </c>
      <c r="I313" s="12" t="s">
        <v>1103</v>
      </c>
      <c r="J313" s="12" t="s">
        <v>1104</v>
      </c>
      <c r="K313" s="18">
        <v>233.3300000000017</v>
      </c>
      <c r="L313" s="18">
        <v>61766.67</v>
      </c>
      <c r="M313" s="12" t="s">
        <v>1103</v>
      </c>
      <c r="N313" s="35">
        <v>62000</v>
      </c>
      <c r="O313" s="35">
        <v>61766.67</v>
      </c>
      <c r="P313" s="35">
        <v>0</v>
      </c>
      <c r="Q313" s="35">
        <v>0</v>
      </c>
      <c r="R313" s="18">
        <f>N313-O313</f>
        <v>233.33000000000175</v>
      </c>
      <c r="S313" s="18">
        <f>O313-P313</f>
        <v>61766.67</v>
      </c>
      <c r="T313" s="18">
        <f>N313-Q313</f>
        <v>62000.0</v>
      </c>
      <c r="U313" s="36">
        <f>IF(N313&gt;0,Q313/N313,0)</f>
        <v>0.0</v>
      </c>
      <c r="V313" s="17" t="s">
        <v>151</v>
      </c>
      <c r="W313" s="35">
        <v>96266</v>
      </c>
      <c r="X313" s="17" t="s">
        <v>151</v>
      </c>
      <c r="Y313" s="17" t="s">
        <v>151</v>
      </c>
      <c r="Z313" s="17" t="s">
        <v>89</v>
      </c>
      <c r="AA313" s="12" t="s">
        <v>99</v>
      </c>
      <c r="AB313" s="12" t="s">
        <v>99</v>
      </c>
      <c r="AC313" s="12" t="s">
        <v>99</v>
      </c>
      <c r="AD313" s="12" t="s">
        <v>99</v>
      </c>
      <c r="AE313" s="12" t="s">
        <v>1077</v>
      </c>
      <c r="AF313" s="12" t="s">
        <v>87</v>
      </c>
      <c r="AG313" s="17" t="s">
        <v>151</v>
      </c>
      <c r="AH313" s="12" t="s">
        <v>1119</v>
      </c>
      <c r="AI313" s="12" t="s">
        <v>89</v>
      </c>
      <c r="AJ313" s="12" t="s">
        <v>89</v>
      </c>
      <c r="AK313" s="12" t="s">
        <v>89</v>
      </c>
      <c r="AL313" s="12" t="s">
        <v>1106</v>
      </c>
      <c r="AM313" s="12" t="s">
        <v>89</v>
      </c>
      <c r="AN313" s="17" t="s">
        <v>87</v>
      </c>
    </row>
    <row r="314" spans="1:40">
      <c r="A314" s="12" t="s">
        <v>74</v>
      </c>
      <c r="B314" s="12" t="s">
        <v>1095</v>
      </c>
      <c r="C314" s="12" t="s">
        <v>1096</v>
      </c>
      <c r="D314" s="12" t="s">
        <v>89</v>
      </c>
      <c r="E314" s="12" t="s">
        <v>1128</v>
      </c>
      <c r="F314" s="12" t="s">
        <v>1186</v>
      </c>
      <c r="G314" s="12" t="s">
        <v>1187</v>
      </c>
      <c r="H314" s="34" t="s">
        <v>1188</v>
      </c>
      <c r="I314" s="12" t="s">
        <v>1103</v>
      </c>
      <c r="J314" s="12" t="s">
        <v>1104</v>
      </c>
      <c r="K314" s="18">
        <v>3615.519999999997</v>
      </c>
      <c r="L314" s="18">
        <v>4000</v>
      </c>
      <c r="M314" s="12" t="s">
        <v>1103</v>
      </c>
      <c r="N314" s="35">
        <v>63755</v>
      </c>
      <c r="O314" s="35">
        <v>60139.48</v>
      </c>
      <c r="P314" s="35">
        <v>56139.48</v>
      </c>
      <c r="Q314" s="35">
        <v>2139.48</v>
      </c>
      <c r="R314" s="18">
        <f>N314-O314</f>
        <v>3615.519999999997</v>
      </c>
      <c r="S314" s="18">
        <f>O314-P314</f>
        <v>4000.0</v>
      </c>
      <c r="T314" s="18">
        <f>N314-Q314</f>
        <v>61615.52</v>
      </c>
      <c r="U314" s="36">
        <f>IF(N314&gt;0,Q314/N314,0)</f>
        <v>0.03355783860089405</v>
      </c>
      <c r="V314" s="17" t="s">
        <v>151</v>
      </c>
      <c r="W314" s="35">
        <v>98253.48</v>
      </c>
      <c r="X314" s="17" t="s">
        <v>151</v>
      </c>
      <c r="Y314" s="17" t="s">
        <v>151</v>
      </c>
      <c r="Z314" s="17" t="s">
        <v>89</v>
      </c>
      <c r="AA314" s="12" t="s">
        <v>99</v>
      </c>
      <c r="AB314" s="12" t="s">
        <v>99</v>
      </c>
      <c r="AC314" s="12" t="s">
        <v>99</v>
      </c>
      <c r="AD314" s="12" t="s">
        <v>99</v>
      </c>
      <c r="AE314" s="12" t="s">
        <v>1077</v>
      </c>
      <c r="AF314" s="12" t="s">
        <v>87</v>
      </c>
      <c r="AG314" s="17" t="s">
        <v>151</v>
      </c>
      <c r="AH314" s="12" t="s">
        <v>1105</v>
      </c>
      <c r="AI314" s="12" t="s">
        <v>89</v>
      </c>
      <c r="AJ314" s="12" t="s">
        <v>89</v>
      </c>
      <c r="AK314" s="12" t="s">
        <v>89</v>
      </c>
      <c r="AL314" s="12" t="s">
        <v>1106</v>
      </c>
      <c r="AM314" s="12" t="s">
        <v>89</v>
      </c>
      <c r="AN314" s="17" t="s">
        <v>87</v>
      </c>
    </row>
    <row r="315" spans="1:40">
      <c r="A315" s="12" t="s">
        <v>74</v>
      </c>
      <c r="B315" s="12" t="s">
        <v>1095</v>
      </c>
      <c r="C315" s="12" t="s">
        <v>1096</v>
      </c>
      <c r="D315" s="12" t="s">
        <v>89</v>
      </c>
      <c r="E315" s="12" t="s">
        <v>1128</v>
      </c>
      <c r="F315" s="12" t="s">
        <v>1189</v>
      </c>
      <c r="G315" s="12" t="s">
        <v>1190</v>
      </c>
      <c r="H315" s="34" t="s">
        <v>1191</v>
      </c>
      <c r="I315" s="12" t="s">
        <v>1103</v>
      </c>
      <c r="J315" s="12" t="s">
        <v>1104</v>
      </c>
      <c r="K315" s="18">
        <v>5788</v>
      </c>
      <c r="L315" s="18">
        <v>59650</v>
      </c>
      <c r="M315" s="12" t="s">
        <v>1103</v>
      </c>
      <c r="N315" s="35">
        <v>65438</v>
      </c>
      <c r="O315" s="35">
        <v>59650</v>
      </c>
      <c r="P315" s="35">
        <v>0</v>
      </c>
      <c r="Q315" s="35">
        <v>0</v>
      </c>
      <c r="R315" s="18">
        <f>N315-O315</f>
        <v>5788.0</v>
      </c>
      <c r="S315" s="18">
        <f>O315-P315</f>
        <v>59650.0</v>
      </c>
      <c r="T315" s="18">
        <f>N315-Q315</f>
        <v>65438.0</v>
      </c>
      <c r="U315" s="36">
        <f>IF(N315&gt;0,Q315/N315,0)</f>
        <v>0.0</v>
      </c>
      <c r="V315" s="17" t="s">
        <v>151</v>
      </c>
      <c r="W315" s="35">
        <v>94505</v>
      </c>
      <c r="X315" s="17" t="s">
        <v>151</v>
      </c>
      <c r="Y315" s="17" t="s">
        <v>151</v>
      </c>
      <c r="Z315" s="17" t="s">
        <v>89</v>
      </c>
      <c r="AA315" s="12" t="s">
        <v>99</v>
      </c>
      <c r="AB315" s="12" t="s">
        <v>99</v>
      </c>
      <c r="AC315" s="12" t="s">
        <v>99</v>
      </c>
      <c r="AD315" s="12" t="s">
        <v>99</v>
      </c>
      <c r="AE315" s="12" t="s">
        <v>1077</v>
      </c>
      <c r="AF315" s="12" t="s">
        <v>87</v>
      </c>
      <c r="AG315" s="17" t="s">
        <v>151</v>
      </c>
      <c r="AH315" s="12" t="s">
        <v>1105</v>
      </c>
      <c r="AI315" s="12" t="s">
        <v>89</v>
      </c>
      <c r="AJ315" s="12" t="s">
        <v>89</v>
      </c>
      <c r="AK315" s="12" t="s">
        <v>89</v>
      </c>
      <c r="AL315" s="12" t="s">
        <v>1106</v>
      </c>
      <c r="AM315" s="12" t="s">
        <v>89</v>
      </c>
      <c r="AN315" s="17" t="s">
        <v>87</v>
      </c>
    </row>
    <row r="316" spans="1:40">
      <c r="A316" s="12" t="s">
        <v>74</v>
      </c>
      <c r="B316" s="12" t="s">
        <v>1095</v>
      </c>
      <c r="C316" s="12" t="s">
        <v>1096</v>
      </c>
      <c r="D316" s="12" t="s">
        <v>89</v>
      </c>
      <c r="E316" s="12" t="s">
        <v>1128</v>
      </c>
      <c r="F316" s="12" t="s">
        <v>1192</v>
      </c>
      <c r="G316" s="12" t="s">
        <v>1193</v>
      </c>
      <c r="H316" s="34" t="s">
        <v>1194</v>
      </c>
      <c r="I316" s="12" t="s">
        <v>1103</v>
      </c>
      <c r="J316" s="12" t="s">
        <v>106</v>
      </c>
      <c r="K316" s="18">
        <v>0</v>
      </c>
      <c r="L316" s="18">
        <v>0</v>
      </c>
      <c r="M316" s="12" t="s">
        <v>121</v>
      </c>
      <c r="N316" s="35">
        <v>61200</v>
      </c>
      <c r="O316" s="35">
        <v>59150</v>
      </c>
      <c r="P316" s="35">
        <v>59150</v>
      </c>
      <c r="Q316" s="35">
        <v>59150</v>
      </c>
      <c r="R316" s="18">
        <f>N316-O316</f>
        <v>2050.0</v>
      </c>
      <c r="S316" s="18">
        <f>O316-P316</f>
        <v>0.0</v>
      </c>
      <c r="T316" s="18">
        <f>N316-Q316</f>
        <v>2050.0</v>
      </c>
      <c r="U316" s="36">
        <f>IF(N316&gt;0,Q316/N316,0)</f>
        <v>0.9665032679738562</v>
      </c>
      <c r="V316" s="17" t="s">
        <v>151</v>
      </c>
      <c r="W316" s="35">
        <v>124250</v>
      </c>
      <c r="X316" s="17" t="s">
        <v>151</v>
      </c>
      <c r="Y316" s="17" t="s">
        <v>151</v>
      </c>
      <c r="Z316" s="17" t="s">
        <v>89</v>
      </c>
      <c r="AA316" s="12" t="s">
        <v>99</v>
      </c>
      <c r="AB316" s="12" t="s">
        <v>99</v>
      </c>
      <c r="AC316" s="12" t="s">
        <v>99</v>
      </c>
      <c r="AD316" s="12" t="s">
        <v>99</v>
      </c>
      <c r="AE316" s="12" t="s">
        <v>1077</v>
      </c>
      <c r="AF316" s="12" t="s">
        <v>87</v>
      </c>
      <c r="AG316" s="17" t="s">
        <v>151</v>
      </c>
      <c r="AH316" s="12" t="s">
        <v>1105</v>
      </c>
      <c r="AI316" s="12" t="s">
        <v>89</v>
      </c>
      <c r="AJ316" s="12" t="s">
        <v>89</v>
      </c>
      <c r="AK316" s="12" t="s">
        <v>89</v>
      </c>
      <c r="AL316" s="12" t="s">
        <v>1106</v>
      </c>
      <c r="AM316" s="12" t="s">
        <v>89</v>
      </c>
      <c r="AN316" s="17" t="s">
        <v>87</v>
      </c>
    </row>
    <row r="317" spans="1:40">
      <c r="A317" s="12" t="s">
        <v>74</v>
      </c>
      <c r="B317" s="12" t="s">
        <v>1095</v>
      </c>
      <c r="C317" s="12" t="s">
        <v>1096</v>
      </c>
      <c r="D317" s="12" t="s">
        <v>89</v>
      </c>
      <c r="E317" s="12" t="s">
        <v>1128</v>
      </c>
      <c r="F317" s="12" t="s">
        <v>1195</v>
      </c>
      <c r="G317" s="12" t="s">
        <v>1196</v>
      </c>
      <c r="H317" s="34" t="s">
        <v>1197</v>
      </c>
      <c r="I317" s="12" t="s">
        <v>1103</v>
      </c>
      <c r="J317" s="12" t="s">
        <v>106</v>
      </c>
      <c r="K317" s="18">
        <v>0</v>
      </c>
      <c r="L317" s="18">
        <v>0</v>
      </c>
      <c r="M317" s="12" t="s">
        <v>121</v>
      </c>
      <c r="N317" s="35">
        <v>2936</v>
      </c>
      <c r="O317" s="35">
        <v>2936</v>
      </c>
      <c r="P317" s="35">
        <v>2936</v>
      </c>
      <c r="Q317" s="35">
        <v>2936</v>
      </c>
      <c r="R317" s="18">
        <f>N317-O317</f>
        <v>0.0</v>
      </c>
      <c r="S317" s="18">
        <f>O317-P317</f>
        <v>0.0</v>
      </c>
      <c r="T317" s="18">
        <f>N317-Q317</f>
        <v>0.0</v>
      </c>
      <c r="U317" s="36">
        <f>IF(N317&gt;0,Q317/N317,0)</f>
        <v>1.0</v>
      </c>
      <c r="V317" s="17" t="s">
        <v>151</v>
      </c>
      <c r="W317" s="35">
        <v>150744</v>
      </c>
      <c r="X317" s="17" t="s">
        <v>151</v>
      </c>
      <c r="Y317" s="17" t="s">
        <v>151</v>
      </c>
      <c r="Z317" s="17" t="s">
        <v>89</v>
      </c>
      <c r="AA317" s="12" t="s">
        <v>99</v>
      </c>
      <c r="AB317" s="12" t="s">
        <v>99</v>
      </c>
      <c r="AC317" s="12" t="s">
        <v>99</v>
      </c>
      <c r="AD317" s="12" t="s">
        <v>99</v>
      </c>
      <c r="AE317" s="12" t="s">
        <v>1077</v>
      </c>
      <c r="AF317" s="12" t="s">
        <v>87</v>
      </c>
      <c r="AG317" s="17" t="s">
        <v>151</v>
      </c>
      <c r="AH317" s="12" t="s">
        <v>145</v>
      </c>
      <c r="AI317" s="12" t="s">
        <v>89</v>
      </c>
      <c r="AJ317" s="12" t="s">
        <v>89</v>
      </c>
      <c r="AK317" s="12" t="s">
        <v>89</v>
      </c>
      <c r="AL317" s="12" t="s">
        <v>1106</v>
      </c>
      <c r="AM317" s="12" t="s">
        <v>89</v>
      </c>
      <c r="AN317" s="17" t="s">
        <v>87</v>
      </c>
    </row>
    <row r="318" spans="1:40">
      <c r="A318" s="12" t="s">
        <v>74</v>
      </c>
      <c r="B318" s="12" t="s">
        <v>1095</v>
      </c>
      <c r="C318" s="12" t="s">
        <v>1096</v>
      </c>
      <c r="D318" s="12" t="s">
        <v>89</v>
      </c>
      <c r="E318" s="12" t="s">
        <v>1128</v>
      </c>
      <c r="F318" s="12" t="s">
        <v>1198</v>
      </c>
      <c r="G318" s="12" t="s">
        <v>1199</v>
      </c>
      <c r="H318" s="34" t="s">
        <v>1200</v>
      </c>
      <c r="I318" s="12" t="s">
        <v>1103</v>
      </c>
      <c r="J318" s="12" t="s">
        <v>106</v>
      </c>
      <c r="K318" s="18">
        <v>0</v>
      </c>
      <c r="L318" s="18">
        <v>0</v>
      </c>
      <c r="M318" s="12" t="s">
        <v>121</v>
      </c>
      <c r="N318" s="35">
        <v>10692</v>
      </c>
      <c r="O318" s="35">
        <v>10691.76</v>
      </c>
      <c r="P318" s="35">
        <v>10691.76</v>
      </c>
      <c r="Q318" s="35">
        <v>10691.76</v>
      </c>
      <c r="R318" s="18">
        <f>N318-O318</f>
        <v>0.23999999999978172</v>
      </c>
      <c r="S318" s="18">
        <f>O318-P318</f>
        <v>0.0</v>
      </c>
      <c r="T318" s="18">
        <f>N318-Q318</f>
        <v>0.23999999999978172</v>
      </c>
      <c r="U318" s="36">
        <f>IF(N318&gt;0,Q318/N318,0)</f>
        <v>0.9999775533108867</v>
      </c>
      <c r="V318" s="17" t="s">
        <v>151</v>
      </c>
      <c r="W318" s="35">
        <v>147977.76</v>
      </c>
      <c r="X318" s="17" t="s">
        <v>151</v>
      </c>
      <c r="Y318" s="17" t="s">
        <v>151</v>
      </c>
      <c r="Z318" s="17" t="s">
        <v>89</v>
      </c>
      <c r="AA318" s="12" t="s">
        <v>99</v>
      </c>
      <c r="AB318" s="12" t="s">
        <v>99</v>
      </c>
      <c r="AC318" s="12" t="s">
        <v>99</v>
      </c>
      <c r="AD318" s="12" t="s">
        <v>99</v>
      </c>
      <c r="AE318" s="12" t="s">
        <v>1077</v>
      </c>
      <c r="AF318" s="12" t="s">
        <v>87</v>
      </c>
      <c r="AG318" s="17" t="s">
        <v>151</v>
      </c>
      <c r="AH318" s="12" t="s">
        <v>145</v>
      </c>
      <c r="AI318" s="12" t="s">
        <v>89</v>
      </c>
      <c r="AJ318" s="12" t="s">
        <v>89</v>
      </c>
      <c r="AK318" s="12" t="s">
        <v>89</v>
      </c>
      <c r="AL318" s="12" t="s">
        <v>1106</v>
      </c>
      <c r="AM318" s="12" t="s">
        <v>89</v>
      </c>
      <c r="AN318" s="17" t="s">
        <v>87</v>
      </c>
    </row>
    <row r="319" spans="1:40">
      <c r="A319" s="12" t="s">
        <v>74</v>
      </c>
      <c r="B319" s="12" t="s">
        <v>1095</v>
      </c>
      <c r="C319" s="12" t="s">
        <v>1096</v>
      </c>
      <c r="D319" s="12" t="s">
        <v>89</v>
      </c>
      <c r="E319" s="12" t="s">
        <v>1128</v>
      </c>
      <c r="F319" s="12" t="s">
        <v>1201</v>
      </c>
      <c r="G319" s="12" t="s">
        <v>1202</v>
      </c>
      <c r="H319" s="34" t="s">
        <v>1203</v>
      </c>
      <c r="I319" s="12" t="s">
        <v>1103</v>
      </c>
      <c r="J319" s="12" t="s">
        <v>1104</v>
      </c>
      <c r="K319" s="18">
        <v>3316</v>
      </c>
      <c r="L319" s="18">
        <v>0</v>
      </c>
      <c r="M319" s="12" t="s">
        <v>1103</v>
      </c>
      <c r="N319" s="35">
        <v>7816</v>
      </c>
      <c r="O319" s="35">
        <v>4500</v>
      </c>
      <c r="P319" s="35">
        <v>4500</v>
      </c>
      <c r="Q319" s="35">
        <v>3000</v>
      </c>
      <c r="R319" s="18">
        <f>N319-O319</f>
        <v>3316.0</v>
      </c>
      <c r="S319" s="18">
        <f>O319-P319</f>
        <v>0.0</v>
      </c>
      <c r="T319" s="18">
        <f>N319-Q319</f>
        <v>4816.0</v>
      </c>
      <c r="U319" s="36">
        <f>IF(N319&gt;0,Q319/N319,0)</f>
        <v>0.38382804503582396</v>
      </c>
      <c r="V319" s="17" t="s">
        <v>151</v>
      </c>
      <c r="W319" s="35">
        <v>105025</v>
      </c>
      <c r="X319" s="17" t="s">
        <v>151</v>
      </c>
      <c r="Y319" s="17" t="s">
        <v>151</v>
      </c>
      <c r="Z319" s="17" t="s">
        <v>89</v>
      </c>
      <c r="AA319" s="12" t="s">
        <v>99</v>
      </c>
      <c r="AB319" s="12" t="s">
        <v>99</v>
      </c>
      <c r="AC319" s="12" t="s">
        <v>99</v>
      </c>
      <c r="AD319" s="12" t="s">
        <v>99</v>
      </c>
      <c r="AE319" s="12" t="s">
        <v>1077</v>
      </c>
      <c r="AF319" s="12" t="s">
        <v>87</v>
      </c>
      <c r="AG319" s="17" t="s">
        <v>151</v>
      </c>
      <c r="AH319" s="12" t="s">
        <v>145</v>
      </c>
      <c r="AI319" s="12" t="s">
        <v>89</v>
      </c>
      <c r="AJ319" s="12" t="s">
        <v>89</v>
      </c>
      <c r="AK319" s="12" t="s">
        <v>89</v>
      </c>
      <c r="AL319" s="12" t="s">
        <v>1106</v>
      </c>
      <c r="AM319" s="12" t="s">
        <v>89</v>
      </c>
      <c r="AN319" s="17" t="s">
        <v>87</v>
      </c>
    </row>
    <row r="320" spans="1:40">
      <c r="A320" s="12" t="s">
        <v>74</v>
      </c>
      <c r="B320" s="12" t="s">
        <v>1095</v>
      </c>
      <c r="C320" s="12" t="s">
        <v>1096</v>
      </c>
      <c r="D320" s="12" t="s">
        <v>89</v>
      </c>
      <c r="E320" s="12" t="s">
        <v>1128</v>
      </c>
      <c r="F320" s="12" t="s">
        <v>1204</v>
      </c>
      <c r="G320" s="12" t="s">
        <v>1205</v>
      </c>
      <c r="H320" s="34" t="s">
        <v>1206</v>
      </c>
      <c r="I320" s="12" t="s">
        <v>1103</v>
      </c>
      <c r="J320" s="12" t="s">
        <v>106</v>
      </c>
      <c r="K320" s="18">
        <v>0</v>
      </c>
      <c r="L320" s="18">
        <v>0</v>
      </c>
      <c r="M320" s="12" t="s">
        <v>121</v>
      </c>
      <c r="N320" s="35">
        <v>3546</v>
      </c>
      <c r="O320" s="35">
        <v>3546</v>
      </c>
      <c r="P320" s="35">
        <v>3546</v>
      </c>
      <c r="Q320" s="35">
        <v>3546</v>
      </c>
      <c r="R320" s="18">
        <f>N320-O320</f>
        <v>0.0</v>
      </c>
      <c r="S320" s="18">
        <f>O320-P320</f>
        <v>0.0</v>
      </c>
      <c r="T320" s="18">
        <f>N320-Q320</f>
        <v>0.0</v>
      </c>
      <c r="U320" s="36">
        <f>IF(N320&gt;0,Q320/N320,0)</f>
        <v>1.0</v>
      </c>
      <c r="V320" s="17" t="s">
        <v>151</v>
      </c>
      <c r="W320" s="35">
        <v>126756</v>
      </c>
      <c r="X320" s="17" t="s">
        <v>151</v>
      </c>
      <c r="Y320" s="17" t="s">
        <v>151</v>
      </c>
      <c r="Z320" s="17" t="s">
        <v>89</v>
      </c>
      <c r="AA320" s="12" t="s">
        <v>99</v>
      </c>
      <c r="AB320" s="12" t="s">
        <v>99</v>
      </c>
      <c r="AC320" s="12" t="s">
        <v>99</v>
      </c>
      <c r="AD320" s="12" t="s">
        <v>99</v>
      </c>
      <c r="AE320" s="12" t="s">
        <v>1077</v>
      </c>
      <c r="AF320" s="12" t="s">
        <v>87</v>
      </c>
      <c r="AG320" s="17" t="s">
        <v>151</v>
      </c>
      <c r="AH320" s="12" t="s">
        <v>145</v>
      </c>
      <c r="AI320" s="12" t="s">
        <v>89</v>
      </c>
      <c r="AJ320" s="12" t="s">
        <v>89</v>
      </c>
      <c r="AK320" s="12" t="s">
        <v>89</v>
      </c>
      <c r="AL320" s="12" t="s">
        <v>1106</v>
      </c>
      <c r="AM320" s="12" t="s">
        <v>89</v>
      </c>
      <c r="AN320" s="17" t="s">
        <v>87</v>
      </c>
    </row>
    <row r="321" spans="1:40">
      <c r="A321" s="12" t="s">
        <v>74</v>
      </c>
      <c r="B321" s="12" t="s">
        <v>1095</v>
      </c>
      <c r="C321" s="12" t="s">
        <v>1096</v>
      </c>
      <c r="D321" s="12" t="s">
        <v>89</v>
      </c>
      <c r="E321" s="12" t="s">
        <v>1128</v>
      </c>
      <c r="F321" s="12" t="s">
        <v>1207</v>
      </c>
      <c r="G321" s="12" t="s">
        <v>1208</v>
      </c>
      <c r="H321" s="34" t="s">
        <v>1209</v>
      </c>
      <c r="I321" s="12" t="s">
        <v>1103</v>
      </c>
      <c r="J321" s="12" t="s">
        <v>106</v>
      </c>
      <c r="K321" s="18">
        <v>0</v>
      </c>
      <c r="L321" s="18">
        <v>0</v>
      </c>
      <c r="M321" s="12" t="s">
        <v>121</v>
      </c>
      <c r="N321" s="35">
        <v>2555</v>
      </c>
      <c r="O321" s="35">
        <v>2550</v>
      </c>
      <c r="P321" s="35">
        <v>2550</v>
      </c>
      <c r="Q321" s="35">
        <v>2550</v>
      </c>
      <c r="R321" s="18">
        <f>N321-O321</f>
        <v>5.0</v>
      </c>
      <c r="S321" s="18">
        <f>O321-P321</f>
        <v>0.0</v>
      </c>
      <c r="T321" s="18">
        <f>N321-Q321</f>
        <v>5.0</v>
      </c>
      <c r="U321" s="36">
        <f>IF(N321&gt;0,Q321/N321,0)</f>
        <v>0.9980430528375733</v>
      </c>
      <c r="V321" s="17" t="s">
        <v>151</v>
      </c>
      <c r="W321" s="35">
        <v>159803</v>
      </c>
      <c r="X321" s="17" t="s">
        <v>151</v>
      </c>
      <c r="Y321" s="17" t="s">
        <v>151</v>
      </c>
      <c r="Z321" s="17" t="s">
        <v>89</v>
      </c>
      <c r="AA321" s="12" t="s">
        <v>99</v>
      </c>
      <c r="AB321" s="12" t="s">
        <v>99</v>
      </c>
      <c r="AC321" s="12" t="s">
        <v>99</v>
      </c>
      <c r="AD321" s="12" t="s">
        <v>99</v>
      </c>
      <c r="AE321" s="12" t="s">
        <v>1077</v>
      </c>
      <c r="AF321" s="12" t="s">
        <v>87</v>
      </c>
      <c r="AG321" s="17" t="s">
        <v>151</v>
      </c>
      <c r="AH321" s="12" t="s">
        <v>145</v>
      </c>
      <c r="AI321" s="12" t="s">
        <v>89</v>
      </c>
      <c r="AJ321" s="12" t="s">
        <v>89</v>
      </c>
      <c r="AK321" s="12" t="s">
        <v>89</v>
      </c>
      <c r="AL321" s="12" t="s">
        <v>1106</v>
      </c>
      <c r="AM321" s="12" t="s">
        <v>89</v>
      </c>
      <c r="AN321" s="17" t="s">
        <v>87</v>
      </c>
    </row>
    <row r="322" spans="1:40">
      <c r="A322" s="12" t="s">
        <v>74</v>
      </c>
      <c r="B322" s="12" t="s">
        <v>1095</v>
      </c>
      <c r="C322" s="12" t="s">
        <v>1096</v>
      </c>
      <c r="D322" s="12" t="s">
        <v>89</v>
      </c>
      <c r="E322" s="12" t="s">
        <v>1128</v>
      </c>
      <c r="F322" s="12" t="s">
        <v>1210</v>
      </c>
      <c r="G322" s="12" t="s">
        <v>1211</v>
      </c>
      <c r="H322" s="34" t="s">
        <v>1212</v>
      </c>
      <c r="I322" s="12" t="s">
        <v>1103</v>
      </c>
      <c r="J322" s="12" t="s">
        <v>106</v>
      </c>
      <c r="K322" s="18">
        <v>0</v>
      </c>
      <c r="L322" s="18">
        <v>0</v>
      </c>
      <c r="M322" s="12" t="s">
        <v>121</v>
      </c>
      <c r="N322" s="35">
        <v>73376</v>
      </c>
      <c r="O322" s="35">
        <v>69875.75</v>
      </c>
      <c r="P322" s="35">
        <v>69875.75</v>
      </c>
      <c r="Q322" s="35">
        <v>69875.75</v>
      </c>
      <c r="R322" s="18">
        <f>N322-O322</f>
        <v>3500.25</v>
      </c>
      <c r="S322" s="18">
        <f>O322-P322</f>
        <v>0.0</v>
      </c>
      <c r="T322" s="18">
        <f>N322-Q322</f>
        <v>3500.25</v>
      </c>
      <c r="U322" s="36">
        <f>IF(N322&gt;0,Q322/N322,0)</f>
        <v>0.9522970726122983</v>
      </c>
      <c r="V322" s="17" t="s">
        <v>151</v>
      </c>
      <c r="W322" s="35">
        <v>156326.75</v>
      </c>
      <c r="X322" s="17" t="s">
        <v>151</v>
      </c>
      <c r="Y322" s="17" t="s">
        <v>151</v>
      </c>
      <c r="Z322" s="17" t="s">
        <v>89</v>
      </c>
      <c r="AA322" s="12" t="s">
        <v>99</v>
      </c>
      <c r="AB322" s="12" t="s">
        <v>99</v>
      </c>
      <c r="AC322" s="12" t="s">
        <v>99</v>
      </c>
      <c r="AD322" s="12" t="s">
        <v>99</v>
      </c>
      <c r="AE322" s="12" t="s">
        <v>1077</v>
      </c>
      <c r="AF322" s="12" t="s">
        <v>87</v>
      </c>
      <c r="AG322" s="17" t="s">
        <v>151</v>
      </c>
      <c r="AH322" s="12" t="s">
        <v>1105</v>
      </c>
      <c r="AI322" s="12" t="s">
        <v>89</v>
      </c>
      <c r="AJ322" s="12" t="s">
        <v>89</v>
      </c>
      <c r="AK322" s="12" t="s">
        <v>89</v>
      </c>
      <c r="AL322" s="12" t="s">
        <v>1106</v>
      </c>
      <c r="AM322" s="12" t="s">
        <v>89</v>
      </c>
      <c r="AN322" s="17" t="s">
        <v>87</v>
      </c>
    </row>
    <row r="323" spans="1:40">
      <c r="A323" s="12" t="s">
        <v>74</v>
      </c>
      <c r="B323" s="12" t="s">
        <v>1095</v>
      </c>
      <c r="C323" s="12" t="s">
        <v>1096</v>
      </c>
      <c r="D323" s="12" t="s">
        <v>89</v>
      </c>
      <c r="E323" s="12" t="s">
        <v>1128</v>
      </c>
      <c r="F323" s="12" t="s">
        <v>1213</v>
      </c>
      <c r="G323" s="12" t="s">
        <v>1214</v>
      </c>
      <c r="H323" s="34" t="s">
        <v>1215</v>
      </c>
      <c r="I323" s="12" t="s">
        <v>1103</v>
      </c>
      <c r="J323" s="12" t="s">
        <v>1104</v>
      </c>
      <c r="K323" s="18">
        <v>52986.5</v>
      </c>
      <c r="L323" s="18">
        <v>0</v>
      </c>
      <c r="M323" s="12" t="s">
        <v>1103</v>
      </c>
      <c r="N323" s="35">
        <v>54964</v>
      </c>
      <c r="O323" s="35">
        <v>1977.5</v>
      </c>
      <c r="P323" s="35">
        <v>1977.5</v>
      </c>
      <c r="Q323" s="35">
        <v>1977.5</v>
      </c>
      <c r="R323" s="18">
        <f>N323-O323</f>
        <v>52986.5</v>
      </c>
      <c r="S323" s="18">
        <f>O323-P323</f>
        <v>0.0</v>
      </c>
      <c r="T323" s="18">
        <f>N323-Q323</f>
        <v>52986.5</v>
      </c>
      <c r="U323" s="36">
        <f>IF(N323&gt;0,Q323/N323,0)</f>
        <v>0.03597809475292919</v>
      </c>
      <c r="V323" s="17" t="s">
        <v>151</v>
      </c>
      <c r="W323" s="35">
        <v>106956.5</v>
      </c>
      <c r="X323" s="17" t="s">
        <v>151</v>
      </c>
      <c r="Y323" s="17" t="s">
        <v>151</v>
      </c>
      <c r="Z323" s="17" t="s">
        <v>89</v>
      </c>
      <c r="AA323" s="12" t="s">
        <v>99</v>
      </c>
      <c r="AB323" s="12" t="s">
        <v>99</v>
      </c>
      <c r="AC323" s="12" t="s">
        <v>99</v>
      </c>
      <c r="AD323" s="12" t="s">
        <v>99</v>
      </c>
      <c r="AE323" s="12" t="s">
        <v>1077</v>
      </c>
      <c r="AF323" s="12" t="s">
        <v>87</v>
      </c>
      <c r="AG323" s="17" t="s">
        <v>151</v>
      </c>
      <c r="AH323" s="12" t="s">
        <v>1105</v>
      </c>
      <c r="AI323" s="12" t="s">
        <v>89</v>
      </c>
      <c r="AJ323" s="12" t="s">
        <v>89</v>
      </c>
      <c r="AK323" s="12" t="s">
        <v>89</v>
      </c>
      <c r="AL323" s="12" t="s">
        <v>1106</v>
      </c>
      <c r="AM323" s="12" t="s">
        <v>89</v>
      </c>
      <c r="AN323" s="17" t="s">
        <v>87</v>
      </c>
    </row>
    <row r="324" spans="1:40">
      <c r="A324" s="12" t="s">
        <v>74</v>
      </c>
      <c r="B324" s="12" t="s">
        <v>1095</v>
      </c>
      <c r="C324" s="12" t="s">
        <v>1096</v>
      </c>
      <c r="D324" s="12" t="s">
        <v>89</v>
      </c>
      <c r="E324" s="12" t="s">
        <v>1128</v>
      </c>
      <c r="F324" s="12" t="s">
        <v>1216</v>
      </c>
      <c r="G324" s="12" t="s">
        <v>1217</v>
      </c>
      <c r="H324" s="34" t="s">
        <v>1218</v>
      </c>
      <c r="I324" s="12" t="s">
        <v>1103</v>
      </c>
      <c r="J324" s="12" t="s">
        <v>106</v>
      </c>
      <c r="K324" s="18">
        <v>0</v>
      </c>
      <c r="L324" s="18">
        <v>0</v>
      </c>
      <c r="M324" s="12" t="s">
        <v>121</v>
      </c>
      <c r="N324" s="35">
        <v>73915</v>
      </c>
      <c r="O324" s="35">
        <v>71560</v>
      </c>
      <c r="P324" s="35">
        <v>69710</v>
      </c>
      <c r="Q324" s="35">
        <v>69710</v>
      </c>
      <c r="R324" s="18">
        <f>N324-O324</f>
        <v>2355.0</v>
      </c>
      <c r="S324" s="18">
        <f>O324-P324</f>
        <v>1850.0</v>
      </c>
      <c r="T324" s="18">
        <f>N324-Q324</f>
        <v>4205.0</v>
      </c>
      <c r="U324" s="36">
        <f>IF(N324&gt;0,Q324/N324,0)</f>
        <v>0.9431103294324562</v>
      </c>
      <c r="V324" s="17" t="s">
        <v>151</v>
      </c>
      <c r="W324" s="35">
        <v>148860</v>
      </c>
      <c r="X324" s="17" t="s">
        <v>151</v>
      </c>
      <c r="Y324" s="17" t="s">
        <v>151</v>
      </c>
      <c r="Z324" s="17" t="s">
        <v>89</v>
      </c>
      <c r="AA324" s="12" t="s">
        <v>99</v>
      </c>
      <c r="AB324" s="12" t="s">
        <v>99</v>
      </c>
      <c r="AC324" s="12" t="s">
        <v>99</v>
      </c>
      <c r="AD324" s="12" t="s">
        <v>99</v>
      </c>
      <c r="AE324" s="12" t="s">
        <v>1077</v>
      </c>
      <c r="AF324" s="12" t="s">
        <v>87</v>
      </c>
      <c r="AG324" s="17" t="s">
        <v>151</v>
      </c>
      <c r="AH324" s="12" t="s">
        <v>1105</v>
      </c>
      <c r="AI324" s="12" t="s">
        <v>89</v>
      </c>
      <c r="AJ324" s="12" t="s">
        <v>89</v>
      </c>
      <c r="AK324" s="12" t="s">
        <v>89</v>
      </c>
      <c r="AL324" s="12" t="s">
        <v>1106</v>
      </c>
      <c r="AM324" s="12" t="s">
        <v>89</v>
      </c>
      <c r="AN324" s="17" t="s">
        <v>87</v>
      </c>
    </row>
    <row r="325" spans="1:40">
      <c r="A325" s="12" t="s">
        <v>74</v>
      </c>
      <c r="B325" s="12" t="s">
        <v>1095</v>
      </c>
      <c r="C325" s="12" t="s">
        <v>1096</v>
      </c>
      <c r="D325" s="12" t="s">
        <v>89</v>
      </c>
      <c r="E325" s="12" t="s">
        <v>1128</v>
      </c>
      <c r="F325" s="12" t="s">
        <v>1219</v>
      </c>
      <c r="G325" s="12" t="s">
        <v>1220</v>
      </c>
      <c r="H325" s="34" t="s">
        <v>1221</v>
      </c>
      <c r="I325" s="12" t="s">
        <v>1103</v>
      </c>
      <c r="J325" s="12" t="s">
        <v>106</v>
      </c>
      <c r="K325" s="18">
        <v>0</v>
      </c>
      <c r="L325" s="18">
        <v>0</v>
      </c>
      <c r="M325" s="12" t="s">
        <v>121</v>
      </c>
      <c r="N325" s="35">
        <v>5098</v>
      </c>
      <c r="O325" s="35">
        <v>5097</v>
      </c>
      <c r="P325" s="35">
        <v>5097</v>
      </c>
      <c r="Q325" s="35">
        <v>5097</v>
      </c>
      <c r="R325" s="18">
        <f>N325-O325</f>
        <v>1.0</v>
      </c>
      <c r="S325" s="18">
        <f>O325-P325</f>
        <v>0.0</v>
      </c>
      <c r="T325" s="18">
        <f>N325-Q325</f>
        <v>1.0</v>
      </c>
      <c r="U325" s="36">
        <f>IF(N325&gt;0,Q325/N325,0)</f>
        <v>0.9998038446449589</v>
      </c>
      <c r="V325" s="17" t="s">
        <v>151</v>
      </c>
      <c r="W325" s="35">
        <v>156891</v>
      </c>
      <c r="X325" s="17" t="s">
        <v>151</v>
      </c>
      <c r="Y325" s="17" t="s">
        <v>151</v>
      </c>
      <c r="Z325" s="17" t="s">
        <v>89</v>
      </c>
      <c r="AA325" s="12" t="s">
        <v>99</v>
      </c>
      <c r="AB325" s="12" t="s">
        <v>99</v>
      </c>
      <c r="AC325" s="12" t="s">
        <v>99</v>
      </c>
      <c r="AD325" s="12" t="s">
        <v>99</v>
      </c>
      <c r="AE325" s="12" t="s">
        <v>1077</v>
      </c>
      <c r="AF325" s="12" t="s">
        <v>87</v>
      </c>
      <c r="AG325" s="17" t="s">
        <v>151</v>
      </c>
      <c r="AH325" s="12" t="s">
        <v>145</v>
      </c>
      <c r="AI325" s="12" t="s">
        <v>89</v>
      </c>
      <c r="AJ325" s="12" t="s">
        <v>89</v>
      </c>
      <c r="AK325" s="12" t="s">
        <v>89</v>
      </c>
      <c r="AL325" s="12" t="s">
        <v>1106</v>
      </c>
      <c r="AM325" s="12" t="s">
        <v>89</v>
      </c>
      <c r="AN325" s="17" t="s">
        <v>87</v>
      </c>
    </row>
    <row r="326" spans="1:40">
      <c r="A326" s="12" t="s">
        <v>74</v>
      </c>
      <c r="B326" s="12" t="s">
        <v>1095</v>
      </c>
      <c r="C326" s="12" t="s">
        <v>1096</v>
      </c>
      <c r="D326" s="12" t="s">
        <v>89</v>
      </c>
      <c r="E326" s="12" t="s">
        <v>1128</v>
      </c>
      <c r="F326" s="12" t="s">
        <v>1222</v>
      </c>
      <c r="G326" s="12" t="s">
        <v>1223</v>
      </c>
      <c r="H326" s="34" t="s">
        <v>1224</v>
      </c>
      <c r="I326" s="12" t="s">
        <v>1103</v>
      </c>
      <c r="J326" s="12" t="s">
        <v>106</v>
      </c>
      <c r="K326" s="18">
        <v>0</v>
      </c>
      <c r="L326" s="18">
        <v>0</v>
      </c>
      <c r="M326" s="12" t="s">
        <v>121</v>
      </c>
      <c r="N326" s="35">
        <v>4800</v>
      </c>
      <c r="O326" s="35">
        <v>4800</v>
      </c>
      <c r="P326" s="35">
        <v>4800</v>
      </c>
      <c r="Q326" s="35">
        <v>4800</v>
      </c>
      <c r="R326" s="18">
        <f>N326-O326</f>
        <v>0.0</v>
      </c>
      <c r="S326" s="18">
        <f>O326-P326</f>
        <v>0.0</v>
      </c>
      <c r="T326" s="18">
        <f>N326-Q326</f>
        <v>0.0</v>
      </c>
      <c r="U326" s="36">
        <f>IF(N326&gt;0,Q326/N326,0)</f>
        <v>1.0</v>
      </c>
      <c r="V326" s="17" t="s">
        <v>151</v>
      </c>
      <c r="W326" s="35">
        <v>157820</v>
      </c>
      <c r="X326" s="17" t="s">
        <v>151</v>
      </c>
      <c r="Y326" s="17" t="s">
        <v>151</v>
      </c>
      <c r="Z326" s="17" t="s">
        <v>89</v>
      </c>
      <c r="AA326" s="12" t="s">
        <v>99</v>
      </c>
      <c r="AB326" s="12" t="s">
        <v>99</v>
      </c>
      <c r="AC326" s="12" t="s">
        <v>99</v>
      </c>
      <c r="AD326" s="12" t="s">
        <v>99</v>
      </c>
      <c r="AE326" s="12" t="s">
        <v>1077</v>
      </c>
      <c r="AF326" s="12" t="s">
        <v>87</v>
      </c>
      <c r="AG326" s="17" t="s">
        <v>151</v>
      </c>
      <c r="AH326" s="12" t="s">
        <v>145</v>
      </c>
      <c r="AI326" s="12" t="s">
        <v>89</v>
      </c>
      <c r="AJ326" s="12" t="s">
        <v>89</v>
      </c>
      <c r="AK326" s="12" t="s">
        <v>89</v>
      </c>
      <c r="AL326" s="12" t="s">
        <v>1106</v>
      </c>
      <c r="AM326" s="12" t="s">
        <v>89</v>
      </c>
      <c r="AN326" s="17" t="s">
        <v>87</v>
      </c>
    </row>
    <row r="327" spans="1:40">
      <c r="A327" s="12" t="s">
        <v>74</v>
      </c>
      <c r="B327" s="12" t="s">
        <v>1095</v>
      </c>
      <c r="C327" s="12" t="s">
        <v>1096</v>
      </c>
      <c r="D327" s="12" t="s">
        <v>89</v>
      </c>
      <c r="E327" s="12" t="s">
        <v>1128</v>
      </c>
      <c r="F327" s="12" t="s">
        <v>1225</v>
      </c>
      <c r="G327" s="12" t="s">
        <v>1226</v>
      </c>
      <c r="H327" s="34" t="s">
        <v>1227</v>
      </c>
      <c r="I327" s="12" t="s">
        <v>1103</v>
      </c>
      <c r="J327" s="12" t="s">
        <v>106</v>
      </c>
      <c r="K327" s="18">
        <v>0</v>
      </c>
      <c r="L327" s="18">
        <v>0</v>
      </c>
      <c r="M327" s="12" t="s">
        <v>121</v>
      </c>
      <c r="N327" s="35">
        <v>12800</v>
      </c>
      <c r="O327" s="35">
        <v>12800</v>
      </c>
      <c r="P327" s="35">
        <v>12800</v>
      </c>
      <c r="Q327" s="35">
        <v>12800</v>
      </c>
      <c r="R327" s="18">
        <f>N327-O327</f>
        <v>0.0</v>
      </c>
      <c r="S327" s="18">
        <f>O327-P327</f>
        <v>0.0</v>
      </c>
      <c r="T327" s="18">
        <f>N327-Q327</f>
        <v>0.0</v>
      </c>
      <c r="U327" s="36">
        <f>IF(N327&gt;0,Q327/N327,0)</f>
        <v>1.0</v>
      </c>
      <c r="V327" s="17" t="s">
        <v>151</v>
      </c>
      <c r="W327" s="35">
        <v>128000</v>
      </c>
      <c r="X327" s="17" t="s">
        <v>151</v>
      </c>
      <c r="Y327" s="17" t="s">
        <v>151</v>
      </c>
      <c r="Z327" s="17" t="s">
        <v>89</v>
      </c>
      <c r="AA327" s="12" t="s">
        <v>99</v>
      </c>
      <c r="AB327" s="12" t="s">
        <v>99</v>
      </c>
      <c r="AC327" s="12" t="s">
        <v>99</v>
      </c>
      <c r="AD327" s="12" t="s">
        <v>99</v>
      </c>
      <c r="AE327" s="12" t="s">
        <v>1077</v>
      </c>
      <c r="AF327" s="12" t="s">
        <v>87</v>
      </c>
      <c r="AG327" s="17" t="s">
        <v>151</v>
      </c>
      <c r="AH327" s="12" t="s">
        <v>145</v>
      </c>
      <c r="AI327" s="12" t="s">
        <v>89</v>
      </c>
      <c r="AJ327" s="12" t="s">
        <v>89</v>
      </c>
      <c r="AK327" s="12" t="s">
        <v>89</v>
      </c>
      <c r="AL327" s="12" t="s">
        <v>1106</v>
      </c>
      <c r="AM327" s="12" t="s">
        <v>89</v>
      </c>
      <c r="AN327" s="17" t="s">
        <v>87</v>
      </c>
    </row>
    <row r="328" spans="1:40">
      <c r="A328" s="12" t="s">
        <v>74</v>
      </c>
      <c r="B328" s="12" t="s">
        <v>1095</v>
      </c>
      <c r="C328" s="12" t="s">
        <v>1096</v>
      </c>
      <c r="D328" s="12" t="s">
        <v>89</v>
      </c>
      <c r="E328" s="12" t="s">
        <v>1128</v>
      </c>
      <c r="F328" s="12" t="s">
        <v>1228</v>
      </c>
      <c r="G328" s="12" t="s">
        <v>1229</v>
      </c>
      <c r="H328" s="34" t="s">
        <v>1230</v>
      </c>
      <c r="I328" s="12" t="s">
        <v>1103</v>
      </c>
      <c r="J328" s="12" t="s">
        <v>106</v>
      </c>
      <c r="K328" s="18">
        <v>0</v>
      </c>
      <c r="L328" s="18">
        <v>0</v>
      </c>
      <c r="M328" s="12" t="s">
        <v>121</v>
      </c>
      <c r="N328" s="35">
        <v>57400</v>
      </c>
      <c r="O328" s="35">
        <v>57400</v>
      </c>
      <c r="P328" s="35">
        <v>57400</v>
      </c>
      <c r="Q328" s="35">
        <v>57400</v>
      </c>
      <c r="R328" s="18">
        <f>N328-O328</f>
        <v>0.0</v>
      </c>
      <c r="S328" s="18">
        <f>O328-P328</f>
        <v>0.0</v>
      </c>
      <c r="T328" s="18">
        <f>N328-Q328</f>
        <v>0.0</v>
      </c>
      <c r="U328" s="36">
        <f>IF(N328&gt;0,Q328/N328,0)</f>
        <v>1.0</v>
      </c>
      <c r="V328" s="17" t="s">
        <v>151</v>
      </c>
      <c r="W328" s="35">
        <v>158950</v>
      </c>
      <c r="X328" s="17" t="s">
        <v>151</v>
      </c>
      <c r="Y328" s="17" t="s">
        <v>151</v>
      </c>
      <c r="Z328" s="17" t="s">
        <v>89</v>
      </c>
      <c r="AA328" s="12" t="s">
        <v>99</v>
      </c>
      <c r="AB328" s="12" t="s">
        <v>99</v>
      </c>
      <c r="AC328" s="12" t="s">
        <v>99</v>
      </c>
      <c r="AD328" s="12" t="s">
        <v>99</v>
      </c>
      <c r="AE328" s="12" t="s">
        <v>1077</v>
      </c>
      <c r="AF328" s="12" t="s">
        <v>87</v>
      </c>
      <c r="AG328" s="17" t="s">
        <v>151</v>
      </c>
      <c r="AH328" s="12" t="s">
        <v>1105</v>
      </c>
      <c r="AI328" s="12" t="s">
        <v>89</v>
      </c>
      <c r="AJ328" s="12" t="s">
        <v>89</v>
      </c>
      <c r="AK328" s="12" t="s">
        <v>89</v>
      </c>
      <c r="AL328" s="12" t="s">
        <v>1106</v>
      </c>
      <c r="AM328" s="12" t="s">
        <v>89</v>
      </c>
      <c r="AN328" s="17" t="s">
        <v>87</v>
      </c>
    </row>
    <row r="329" spans="1:40">
      <c r="A329" s="12" t="s">
        <v>74</v>
      </c>
      <c r="B329" s="12" t="s">
        <v>1095</v>
      </c>
      <c r="C329" s="12" t="s">
        <v>1096</v>
      </c>
      <c r="D329" s="12" t="s">
        <v>89</v>
      </c>
      <c r="E329" s="12" t="s">
        <v>1128</v>
      </c>
      <c r="F329" s="12" t="s">
        <v>1231</v>
      </c>
      <c r="G329" s="12" t="s">
        <v>1232</v>
      </c>
      <c r="H329" s="34" t="s">
        <v>1233</v>
      </c>
      <c r="I329" s="12" t="s">
        <v>1103</v>
      </c>
      <c r="J329" s="12" t="s">
        <v>106</v>
      </c>
      <c r="K329" s="18">
        <v>0</v>
      </c>
      <c r="L329" s="18">
        <v>0</v>
      </c>
      <c r="M329" s="12" t="s">
        <v>121</v>
      </c>
      <c r="N329" s="35">
        <v>5898</v>
      </c>
      <c r="O329" s="35">
        <v>5898</v>
      </c>
      <c r="P329" s="35">
        <v>5898</v>
      </c>
      <c r="Q329" s="35">
        <v>5898</v>
      </c>
      <c r="R329" s="18">
        <f>N329-O329</f>
        <v>0.0</v>
      </c>
      <c r="S329" s="18">
        <f>O329-P329</f>
        <v>0.0</v>
      </c>
      <c r="T329" s="18">
        <f>N329-Q329</f>
        <v>0.0</v>
      </c>
      <c r="U329" s="36">
        <f>IF(N329&gt;0,Q329/N329,0)</f>
        <v>1.0</v>
      </c>
      <c r="V329" s="17" t="s">
        <v>151</v>
      </c>
      <c r="W329" s="35">
        <v>159017</v>
      </c>
      <c r="X329" s="17" t="s">
        <v>151</v>
      </c>
      <c r="Y329" s="17" t="s">
        <v>151</v>
      </c>
      <c r="Z329" s="17" t="s">
        <v>89</v>
      </c>
      <c r="AA329" s="12" t="s">
        <v>99</v>
      </c>
      <c r="AB329" s="12" t="s">
        <v>99</v>
      </c>
      <c r="AC329" s="12" t="s">
        <v>99</v>
      </c>
      <c r="AD329" s="12" t="s">
        <v>99</v>
      </c>
      <c r="AE329" s="12" t="s">
        <v>1077</v>
      </c>
      <c r="AF329" s="12" t="s">
        <v>87</v>
      </c>
      <c r="AG329" s="17" t="s">
        <v>151</v>
      </c>
      <c r="AH329" s="12" t="s">
        <v>145</v>
      </c>
      <c r="AI329" s="12" t="s">
        <v>89</v>
      </c>
      <c r="AJ329" s="12" t="s">
        <v>89</v>
      </c>
      <c r="AK329" s="12" t="s">
        <v>89</v>
      </c>
      <c r="AL329" s="12" t="s">
        <v>1106</v>
      </c>
      <c r="AM329" s="12" t="s">
        <v>89</v>
      </c>
      <c r="AN329" s="17" t="s">
        <v>87</v>
      </c>
    </row>
    <row r="330" spans="1:40">
      <c r="A330" s="12" t="s">
        <v>74</v>
      </c>
      <c r="B330" s="12" t="s">
        <v>1095</v>
      </c>
      <c r="C330" s="12" t="s">
        <v>1096</v>
      </c>
      <c r="D330" s="12" t="s">
        <v>89</v>
      </c>
      <c r="E330" s="12" t="s">
        <v>1128</v>
      </c>
      <c r="F330" s="12" t="s">
        <v>1234</v>
      </c>
      <c r="G330" s="12" t="s">
        <v>1235</v>
      </c>
      <c r="H330" s="34" t="s">
        <v>1236</v>
      </c>
      <c r="I330" s="12" t="s">
        <v>1103</v>
      </c>
      <c r="J330" s="12" t="s">
        <v>106</v>
      </c>
      <c r="K330" s="18">
        <v>0</v>
      </c>
      <c r="L330" s="18">
        <v>0</v>
      </c>
      <c r="M330" s="12" t="s">
        <v>121</v>
      </c>
      <c r="N330" s="35">
        <v>3000</v>
      </c>
      <c r="O330" s="35">
        <v>3000</v>
      </c>
      <c r="P330" s="35">
        <v>3000</v>
      </c>
      <c r="Q330" s="35">
        <v>3000</v>
      </c>
      <c r="R330" s="18">
        <f>N330-O330</f>
        <v>0.0</v>
      </c>
      <c r="S330" s="18">
        <f>O330-P330</f>
        <v>0.0</v>
      </c>
      <c r="T330" s="18">
        <f>N330-Q330</f>
        <v>0.0</v>
      </c>
      <c r="U330" s="36">
        <f>IF(N330&gt;0,Q330/N330,0)</f>
        <v>1.0</v>
      </c>
      <c r="V330" s="17" t="s">
        <v>151</v>
      </c>
      <c r="W330" s="35">
        <v>159980</v>
      </c>
      <c r="X330" s="17" t="s">
        <v>151</v>
      </c>
      <c r="Y330" s="17" t="s">
        <v>151</v>
      </c>
      <c r="Z330" s="17" t="s">
        <v>89</v>
      </c>
      <c r="AA330" s="12" t="s">
        <v>99</v>
      </c>
      <c r="AB330" s="12" t="s">
        <v>99</v>
      </c>
      <c r="AC330" s="12" t="s">
        <v>99</v>
      </c>
      <c r="AD330" s="12" t="s">
        <v>99</v>
      </c>
      <c r="AE330" s="12" t="s">
        <v>1077</v>
      </c>
      <c r="AF330" s="12" t="s">
        <v>87</v>
      </c>
      <c r="AG330" s="17" t="s">
        <v>151</v>
      </c>
      <c r="AH330" s="12" t="s">
        <v>145</v>
      </c>
      <c r="AI330" s="12" t="s">
        <v>89</v>
      </c>
      <c r="AJ330" s="12" t="s">
        <v>89</v>
      </c>
      <c r="AK330" s="12" t="s">
        <v>89</v>
      </c>
      <c r="AL330" s="12" t="s">
        <v>1106</v>
      </c>
      <c r="AM330" s="12" t="s">
        <v>89</v>
      </c>
      <c r="AN330" s="17" t="s">
        <v>87</v>
      </c>
    </row>
    <row r="331" spans="1:40">
      <c r="A331" s="12" t="s">
        <v>74</v>
      </c>
      <c r="B331" s="12" t="s">
        <v>1095</v>
      </c>
      <c r="C331" s="12" t="s">
        <v>1096</v>
      </c>
      <c r="D331" s="12" t="s">
        <v>89</v>
      </c>
      <c r="E331" s="12" t="s">
        <v>1128</v>
      </c>
      <c r="F331" s="12" t="s">
        <v>1237</v>
      </c>
      <c r="G331" s="12" t="s">
        <v>1238</v>
      </c>
      <c r="H331" s="34" t="s">
        <v>1239</v>
      </c>
      <c r="I331" s="12" t="s">
        <v>1103</v>
      </c>
      <c r="J331" s="12" t="s">
        <v>1104</v>
      </c>
      <c r="K331" s="18">
        <v>352</v>
      </c>
      <c r="L331" s="18">
        <v>10</v>
      </c>
      <c r="M331" s="12" t="s">
        <v>1103</v>
      </c>
      <c r="N331" s="35">
        <v>87790</v>
      </c>
      <c r="O331" s="35">
        <v>87438</v>
      </c>
      <c r="P331" s="35">
        <v>87428</v>
      </c>
      <c r="Q331" s="35">
        <v>77990</v>
      </c>
      <c r="R331" s="18">
        <f>N331-O331</f>
        <v>352.0</v>
      </c>
      <c r="S331" s="18">
        <f>O331-P331</f>
        <v>10.0</v>
      </c>
      <c r="T331" s="18">
        <f>N331-Q331</f>
        <v>9800.0</v>
      </c>
      <c r="U331" s="36">
        <f>IF(N331&gt;0,Q331/N331,0)</f>
        <v>0.8883699738011163</v>
      </c>
      <c r="V331" s="17" t="s">
        <v>151</v>
      </c>
      <c r="W331" s="35">
        <v>145990</v>
      </c>
      <c r="X331" s="17" t="s">
        <v>151</v>
      </c>
      <c r="Y331" s="17" t="s">
        <v>151</v>
      </c>
      <c r="Z331" s="17" t="s">
        <v>89</v>
      </c>
      <c r="AA331" s="12" t="s">
        <v>99</v>
      </c>
      <c r="AB331" s="12" t="s">
        <v>99</v>
      </c>
      <c r="AC331" s="12" t="s">
        <v>99</v>
      </c>
      <c r="AD331" s="12" t="s">
        <v>99</v>
      </c>
      <c r="AE331" s="12" t="s">
        <v>1077</v>
      </c>
      <c r="AF331" s="12" t="s">
        <v>87</v>
      </c>
      <c r="AG331" s="17" t="s">
        <v>151</v>
      </c>
      <c r="AH331" s="12" t="s">
        <v>1105</v>
      </c>
      <c r="AI331" s="12" t="s">
        <v>89</v>
      </c>
      <c r="AJ331" s="12" t="s">
        <v>89</v>
      </c>
      <c r="AK331" s="12" t="s">
        <v>89</v>
      </c>
      <c r="AL331" s="12" t="s">
        <v>1106</v>
      </c>
      <c r="AM331" s="12" t="s">
        <v>89</v>
      </c>
      <c r="AN331" s="17" t="s">
        <v>87</v>
      </c>
    </row>
    <row r="332" spans="1:40">
      <c r="A332" s="12" t="s">
        <v>74</v>
      </c>
      <c r="B332" s="12" t="s">
        <v>1095</v>
      </c>
      <c r="C332" s="12" t="s">
        <v>1096</v>
      </c>
      <c r="D332" s="12" t="s">
        <v>89</v>
      </c>
      <c r="E332" s="12" t="s">
        <v>1128</v>
      </c>
      <c r="F332" s="12" t="s">
        <v>1240</v>
      </c>
      <c r="G332" s="12" t="s">
        <v>1241</v>
      </c>
      <c r="H332" s="34" t="s">
        <v>1242</v>
      </c>
      <c r="I332" s="12" t="s">
        <v>1103</v>
      </c>
      <c r="J332" s="12" t="s">
        <v>106</v>
      </c>
      <c r="K332" s="18">
        <v>0</v>
      </c>
      <c r="L332" s="18">
        <v>0</v>
      </c>
      <c r="M332" s="12" t="s">
        <v>121</v>
      </c>
      <c r="N332" s="35">
        <v>14715</v>
      </c>
      <c r="O332" s="35">
        <v>14714</v>
      </c>
      <c r="P332" s="35">
        <v>14714</v>
      </c>
      <c r="Q332" s="35">
        <v>14714</v>
      </c>
      <c r="R332" s="18">
        <f>N332-O332</f>
        <v>1.0</v>
      </c>
      <c r="S332" s="18">
        <f>O332-P332</f>
        <v>0.0</v>
      </c>
      <c r="T332" s="18">
        <f>N332-Q332</f>
        <v>1.0</v>
      </c>
      <c r="U332" s="36">
        <f>IF(N332&gt;0,Q332/N332,0)</f>
        <v>0.999932042133877</v>
      </c>
      <c r="V332" s="17" t="s">
        <v>151</v>
      </c>
      <c r="W332" s="35">
        <v>349732</v>
      </c>
      <c r="X332" s="17" t="s">
        <v>151</v>
      </c>
      <c r="Y332" s="17" t="s">
        <v>151</v>
      </c>
      <c r="Z332" s="17" t="s">
        <v>89</v>
      </c>
      <c r="AA332" s="12" t="s">
        <v>99</v>
      </c>
      <c r="AB332" s="12" t="s">
        <v>99</v>
      </c>
      <c r="AC332" s="12" t="s">
        <v>99</v>
      </c>
      <c r="AD332" s="12" t="s">
        <v>99</v>
      </c>
      <c r="AE332" s="12" t="s">
        <v>1077</v>
      </c>
      <c r="AF332" s="12" t="s">
        <v>87</v>
      </c>
      <c r="AG332" s="17" t="s">
        <v>151</v>
      </c>
      <c r="AH332" s="12" t="s">
        <v>145</v>
      </c>
      <c r="AI332" s="12" t="s">
        <v>89</v>
      </c>
      <c r="AJ332" s="12" t="s">
        <v>89</v>
      </c>
      <c r="AK332" s="12" t="s">
        <v>89</v>
      </c>
      <c r="AL332" s="12" t="s">
        <v>1106</v>
      </c>
      <c r="AM332" s="12" t="s">
        <v>89</v>
      </c>
      <c r="AN332" s="17" t="s">
        <v>87</v>
      </c>
    </row>
    <row r="333" spans="1:40">
      <c r="A333" s="12" t="s">
        <v>74</v>
      </c>
      <c r="B333" s="12" t="s">
        <v>1095</v>
      </c>
      <c r="C333" s="12" t="s">
        <v>1096</v>
      </c>
      <c r="D333" s="12" t="s">
        <v>89</v>
      </c>
      <c r="E333" s="12" t="s">
        <v>1128</v>
      </c>
      <c r="F333" s="12" t="s">
        <v>1243</v>
      </c>
      <c r="G333" s="12" t="s">
        <v>1244</v>
      </c>
      <c r="H333" s="34" t="s">
        <v>1245</v>
      </c>
      <c r="I333" s="12" t="s">
        <v>1103</v>
      </c>
      <c r="J333" s="12" t="s">
        <v>1104</v>
      </c>
      <c r="K333" s="18">
        <v>5380</v>
      </c>
      <c r="L333" s="18">
        <v>34950</v>
      </c>
      <c r="M333" s="12" t="s">
        <v>1103</v>
      </c>
      <c r="N333" s="35">
        <v>159547</v>
      </c>
      <c r="O333" s="35">
        <v>154167</v>
      </c>
      <c r="P333" s="35">
        <v>119217</v>
      </c>
      <c r="Q333" s="35">
        <v>116817</v>
      </c>
      <c r="R333" s="18">
        <f>N333-O333</f>
        <v>5380.0</v>
      </c>
      <c r="S333" s="18">
        <f>O333-P333</f>
        <v>34950.0</v>
      </c>
      <c r="T333" s="18">
        <f>N333-Q333</f>
        <v>42730.0</v>
      </c>
      <c r="U333" s="36">
        <f>IF(N333&gt;0,Q333/N333,0)</f>
        <v>0.7321792324518794</v>
      </c>
      <c r="V333" s="17" t="s">
        <v>151</v>
      </c>
      <c r="W333" s="35">
        <v>116817</v>
      </c>
      <c r="X333" s="17" t="s">
        <v>151</v>
      </c>
      <c r="Y333" s="17" t="s">
        <v>151</v>
      </c>
      <c r="Z333" s="17" t="s">
        <v>89</v>
      </c>
      <c r="AA333" s="12" t="s">
        <v>99</v>
      </c>
      <c r="AB333" s="12" t="s">
        <v>99</v>
      </c>
      <c r="AC333" s="12" t="s">
        <v>99</v>
      </c>
      <c r="AD333" s="12" t="s">
        <v>99</v>
      </c>
      <c r="AE333" s="12" t="s">
        <v>1077</v>
      </c>
      <c r="AF333" s="12" t="s">
        <v>87</v>
      </c>
      <c r="AG333" s="17" t="s">
        <v>151</v>
      </c>
      <c r="AH333" s="12" t="s">
        <v>1105</v>
      </c>
      <c r="AI333" s="12" t="s">
        <v>89</v>
      </c>
      <c r="AJ333" s="12" t="s">
        <v>89</v>
      </c>
      <c r="AK333" s="12" t="s">
        <v>89</v>
      </c>
      <c r="AL333" s="12" t="s">
        <v>1106</v>
      </c>
      <c r="AM333" s="12" t="s">
        <v>89</v>
      </c>
      <c r="AN333" s="17" t="s">
        <v>87</v>
      </c>
    </row>
    <row r="334" spans="1:40">
      <c r="A334" s="12" t="s">
        <v>74</v>
      </c>
      <c r="B334" s="12" t="s">
        <v>1095</v>
      </c>
      <c r="C334" s="12" t="s">
        <v>1096</v>
      </c>
      <c r="D334" s="12" t="s">
        <v>89</v>
      </c>
      <c r="E334" s="12" t="s">
        <v>1128</v>
      </c>
      <c r="F334" s="12" t="s">
        <v>1246</v>
      </c>
      <c r="G334" s="12" t="s">
        <v>1247</v>
      </c>
      <c r="H334" s="34" t="s">
        <v>1248</v>
      </c>
      <c r="I334" s="12" t="s">
        <v>1103</v>
      </c>
      <c r="J334" s="12" t="s">
        <v>1104</v>
      </c>
      <c r="K334" s="18">
        <v>62844.38</v>
      </c>
      <c r="L334" s="18">
        <v>76650</v>
      </c>
      <c r="M334" s="12" t="s">
        <v>1103</v>
      </c>
      <c r="N334" s="35">
        <v>158642</v>
      </c>
      <c r="O334" s="35">
        <v>95797.62</v>
      </c>
      <c r="P334" s="35">
        <v>19147.62</v>
      </c>
      <c r="Q334" s="35">
        <v>0</v>
      </c>
      <c r="R334" s="18">
        <f>N334-O334</f>
        <v>62844.380000000005</v>
      </c>
      <c r="S334" s="18">
        <f>O334-P334</f>
        <v>76650.0</v>
      </c>
      <c r="T334" s="18">
        <f>N334-Q334</f>
        <v>158642.0</v>
      </c>
      <c r="U334" s="36">
        <f>IF(N334&gt;0,Q334/N334,0)</f>
        <v>0.0</v>
      </c>
      <c r="V334" s="17" t="s">
        <v>151</v>
      </c>
      <c r="W334" s="35">
        <v>0</v>
      </c>
      <c r="X334" s="17" t="s">
        <v>151</v>
      </c>
      <c r="Y334" s="17" t="s">
        <v>151</v>
      </c>
      <c r="Z334" s="17" t="s">
        <v>89</v>
      </c>
      <c r="AA334" s="12" t="s">
        <v>99</v>
      </c>
      <c r="AB334" s="12" t="s">
        <v>99</v>
      </c>
      <c r="AC334" s="12" t="s">
        <v>99</v>
      </c>
      <c r="AD334" s="12" t="s">
        <v>99</v>
      </c>
      <c r="AE334" s="12" t="s">
        <v>1077</v>
      </c>
      <c r="AF334" s="12" t="s">
        <v>87</v>
      </c>
      <c r="AG334" s="17" t="s">
        <v>151</v>
      </c>
      <c r="AH334" s="12" t="s">
        <v>1105</v>
      </c>
      <c r="AI334" s="12" t="s">
        <v>89</v>
      </c>
      <c r="AJ334" s="12" t="s">
        <v>89</v>
      </c>
      <c r="AK334" s="12" t="s">
        <v>89</v>
      </c>
      <c r="AL334" s="12" t="s">
        <v>1106</v>
      </c>
      <c r="AM334" s="12" t="s">
        <v>89</v>
      </c>
      <c r="AN334" s="17" t="s">
        <v>87</v>
      </c>
    </row>
    <row r="335" spans="1:40">
      <c r="A335" s="12" t="s">
        <v>74</v>
      </c>
      <c r="B335" s="12" t="s">
        <v>1095</v>
      </c>
      <c r="C335" s="12" t="s">
        <v>1096</v>
      </c>
      <c r="D335" s="12" t="s">
        <v>89</v>
      </c>
      <c r="E335" s="12" t="s">
        <v>1128</v>
      </c>
      <c r="F335" s="12" t="s">
        <v>1249</v>
      </c>
      <c r="G335" s="12" t="s">
        <v>1250</v>
      </c>
      <c r="H335" s="34" t="s">
        <v>1251</v>
      </c>
      <c r="I335" s="12" t="s">
        <v>1103</v>
      </c>
      <c r="J335" s="12" t="s">
        <v>106</v>
      </c>
      <c r="K335" s="18">
        <v>0</v>
      </c>
      <c r="L335" s="18">
        <v>0</v>
      </c>
      <c r="M335" s="12" t="s">
        <v>121</v>
      </c>
      <c r="N335" s="35">
        <v>159352</v>
      </c>
      <c r="O335" s="35">
        <v>154000</v>
      </c>
      <c r="P335" s="35">
        <v>153220</v>
      </c>
      <c r="Q335" s="35">
        <v>150220</v>
      </c>
      <c r="R335" s="18">
        <f>N335-O335</f>
        <v>5352.0</v>
      </c>
      <c r="S335" s="18">
        <f>O335-P335</f>
        <v>780.0</v>
      </c>
      <c r="T335" s="18">
        <f>N335-Q335</f>
        <v>9132.0</v>
      </c>
      <c r="U335" s="36">
        <f>IF(N335&gt;0,Q335/N335,0)</f>
        <v>0.9426929062703951</v>
      </c>
      <c r="V335" s="17" t="s">
        <v>151</v>
      </c>
      <c r="W335" s="35">
        <v>150220</v>
      </c>
      <c r="X335" s="17" t="s">
        <v>151</v>
      </c>
      <c r="Y335" s="17" t="s">
        <v>151</v>
      </c>
      <c r="Z335" s="17" t="s">
        <v>89</v>
      </c>
      <c r="AA335" s="12" t="s">
        <v>99</v>
      </c>
      <c r="AB335" s="12" t="s">
        <v>99</v>
      </c>
      <c r="AC335" s="12" t="s">
        <v>99</v>
      </c>
      <c r="AD335" s="12" t="s">
        <v>99</v>
      </c>
      <c r="AE335" s="12" t="s">
        <v>1077</v>
      </c>
      <c r="AF335" s="12" t="s">
        <v>87</v>
      </c>
      <c r="AG335" s="17" t="s">
        <v>151</v>
      </c>
      <c r="AH335" s="12" t="s">
        <v>1105</v>
      </c>
      <c r="AI335" s="12" t="s">
        <v>89</v>
      </c>
      <c r="AJ335" s="12" t="s">
        <v>89</v>
      </c>
      <c r="AK335" s="12" t="s">
        <v>89</v>
      </c>
      <c r="AL335" s="12" t="s">
        <v>1106</v>
      </c>
      <c r="AM335" s="12" t="s">
        <v>89</v>
      </c>
      <c r="AN335" s="17" t="s">
        <v>87</v>
      </c>
    </row>
    <row r="336" spans="1:40">
      <c r="A336" s="12" t="s">
        <v>74</v>
      </c>
      <c r="B336" s="12" t="s">
        <v>1095</v>
      </c>
      <c r="C336" s="12" t="s">
        <v>1096</v>
      </c>
      <c r="D336" s="12" t="s">
        <v>89</v>
      </c>
      <c r="E336" s="12" t="s">
        <v>1128</v>
      </c>
      <c r="F336" s="12" t="s">
        <v>1252</v>
      </c>
      <c r="G336" s="12" t="s">
        <v>1253</v>
      </c>
      <c r="H336" s="34" t="s">
        <v>1254</v>
      </c>
      <c r="I336" s="12" t="s">
        <v>1103</v>
      </c>
      <c r="J336" s="12" t="s">
        <v>1104</v>
      </c>
      <c r="K336" s="18">
        <v>10479.75</v>
      </c>
      <c r="L336" s="18">
        <v>1600</v>
      </c>
      <c r="M336" s="12" t="s">
        <v>1103</v>
      </c>
      <c r="N336" s="35">
        <v>159613</v>
      </c>
      <c r="O336" s="35">
        <v>149133.25</v>
      </c>
      <c r="P336" s="35">
        <v>147533.25</v>
      </c>
      <c r="Q336" s="35">
        <v>7133.25</v>
      </c>
      <c r="R336" s="18">
        <f>N336-O336</f>
        <v>10479.75</v>
      </c>
      <c r="S336" s="18">
        <f>O336-P336</f>
        <v>1600.0</v>
      </c>
      <c r="T336" s="18">
        <f>N336-Q336</f>
        <v>152479.75</v>
      </c>
      <c r="U336" s="36">
        <f>IF(N336&gt;0,Q336/N336,0)</f>
        <v>0.04469090863526154</v>
      </c>
      <c r="V336" s="17" t="s">
        <v>151</v>
      </c>
      <c r="W336" s="35">
        <v>7133.25</v>
      </c>
      <c r="X336" s="17" t="s">
        <v>151</v>
      </c>
      <c r="Y336" s="17" t="s">
        <v>151</v>
      </c>
      <c r="Z336" s="17" t="s">
        <v>89</v>
      </c>
      <c r="AA336" s="12" t="s">
        <v>99</v>
      </c>
      <c r="AB336" s="12" t="s">
        <v>99</v>
      </c>
      <c r="AC336" s="12" t="s">
        <v>99</v>
      </c>
      <c r="AD336" s="12" t="s">
        <v>99</v>
      </c>
      <c r="AE336" s="12" t="s">
        <v>1077</v>
      </c>
      <c r="AF336" s="12" t="s">
        <v>87</v>
      </c>
      <c r="AG336" s="17" t="s">
        <v>151</v>
      </c>
      <c r="AH336" s="12" t="s">
        <v>1105</v>
      </c>
      <c r="AI336" s="12" t="s">
        <v>89</v>
      </c>
      <c r="AJ336" s="12" t="s">
        <v>89</v>
      </c>
      <c r="AK336" s="12" t="s">
        <v>89</v>
      </c>
      <c r="AL336" s="12" t="s">
        <v>1106</v>
      </c>
      <c r="AM336" s="12" t="s">
        <v>89</v>
      </c>
      <c r="AN336" s="17" t="s">
        <v>87</v>
      </c>
    </row>
    <row r="337" spans="1:40">
      <c r="A337" s="12" t="s">
        <v>74</v>
      </c>
      <c r="B337" s="12" t="s">
        <v>1095</v>
      </c>
      <c r="C337" s="12" t="s">
        <v>1096</v>
      </c>
      <c r="D337" s="12" t="s">
        <v>89</v>
      </c>
      <c r="E337" s="12" t="s">
        <v>1128</v>
      </c>
      <c r="F337" s="12" t="s">
        <v>1255</v>
      </c>
      <c r="G337" s="12" t="s">
        <v>1256</v>
      </c>
      <c r="H337" s="34" t="s">
        <v>1257</v>
      </c>
      <c r="I337" s="12" t="s">
        <v>1103</v>
      </c>
      <c r="J337" s="12" t="s">
        <v>1104</v>
      </c>
      <c r="K337" s="18">
        <v>26910</v>
      </c>
      <c r="L337" s="18">
        <v>25500</v>
      </c>
      <c r="M337" s="12" t="s">
        <v>1103</v>
      </c>
      <c r="N337" s="35">
        <v>159555</v>
      </c>
      <c r="O337" s="35">
        <v>132645</v>
      </c>
      <c r="P337" s="35">
        <v>107145</v>
      </c>
      <c r="Q337" s="35">
        <v>100745</v>
      </c>
      <c r="R337" s="18">
        <f>N337-O337</f>
        <v>26910.0</v>
      </c>
      <c r="S337" s="18">
        <f>O337-P337</f>
        <v>25500.0</v>
      </c>
      <c r="T337" s="18">
        <f>N337-Q337</f>
        <v>58810.0</v>
      </c>
      <c r="U337" s="36">
        <f>IF(N337&gt;0,Q337/N337,0)</f>
        <v>0.6314123656419417</v>
      </c>
      <c r="V337" s="17" t="s">
        <v>151</v>
      </c>
      <c r="W337" s="35">
        <v>100745</v>
      </c>
      <c r="X337" s="17" t="s">
        <v>151</v>
      </c>
      <c r="Y337" s="17" t="s">
        <v>151</v>
      </c>
      <c r="Z337" s="17" t="s">
        <v>89</v>
      </c>
      <c r="AA337" s="12" t="s">
        <v>99</v>
      </c>
      <c r="AB337" s="12" t="s">
        <v>99</v>
      </c>
      <c r="AC337" s="12" t="s">
        <v>99</v>
      </c>
      <c r="AD337" s="12" t="s">
        <v>99</v>
      </c>
      <c r="AE337" s="12" t="s">
        <v>1077</v>
      </c>
      <c r="AF337" s="12" t="s">
        <v>87</v>
      </c>
      <c r="AG337" s="17" t="s">
        <v>151</v>
      </c>
      <c r="AH337" s="12" t="s">
        <v>1105</v>
      </c>
      <c r="AI337" s="12" t="s">
        <v>89</v>
      </c>
      <c r="AJ337" s="12" t="s">
        <v>89</v>
      </c>
      <c r="AK337" s="12" t="s">
        <v>89</v>
      </c>
      <c r="AL337" s="12" t="s">
        <v>1106</v>
      </c>
      <c r="AM337" s="12" t="s">
        <v>89</v>
      </c>
      <c r="AN337" s="17" t="s">
        <v>87</v>
      </c>
    </row>
    <row r="338" spans="1:40">
      <c r="A338" s="12" t="s">
        <v>74</v>
      </c>
      <c r="B338" s="12" t="s">
        <v>1095</v>
      </c>
      <c r="C338" s="12" t="s">
        <v>1096</v>
      </c>
      <c r="D338" s="12" t="s">
        <v>89</v>
      </c>
      <c r="E338" s="12" t="s">
        <v>1128</v>
      </c>
      <c r="F338" s="12" t="s">
        <v>1258</v>
      </c>
      <c r="G338" s="12" t="s">
        <v>1259</v>
      </c>
      <c r="H338" s="34" t="s">
        <v>1260</v>
      </c>
      <c r="I338" s="12" t="s">
        <v>1103</v>
      </c>
      <c r="J338" s="12" t="s">
        <v>106</v>
      </c>
      <c r="K338" s="18">
        <v>0</v>
      </c>
      <c r="L338" s="18">
        <v>0</v>
      </c>
      <c r="M338" s="12" t="s">
        <v>121</v>
      </c>
      <c r="N338" s="35">
        <v>154799</v>
      </c>
      <c r="O338" s="35">
        <v>147492</v>
      </c>
      <c r="P338" s="35">
        <v>146292</v>
      </c>
      <c r="Q338" s="35">
        <v>143262</v>
      </c>
      <c r="R338" s="18">
        <f>N338-O338</f>
        <v>7307.0</v>
      </c>
      <c r="S338" s="18">
        <f>O338-P338</f>
        <v>1200.0</v>
      </c>
      <c r="T338" s="18">
        <f>N338-Q338</f>
        <v>11537.0</v>
      </c>
      <c r="U338" s="36">
        <f>IF(N338&gt;0,Q338/N338,0)</f>
        <v>0.9254710947745141</v>
      </c>
      <c r="V338" s="17" t="s">
        <v>151</v>
      </c>
      <c r="W338" s="35">
        <v>143262</v>
      </c>
      <c r="X338" s="17" t="s">
        <v>151</v>
      </c>
      <c r="Y338" s="17" t="s">
        <v>151</v>
      </c>
      <c r="Z338" s="17" t="s">
        <v>89</v>
      </c>
      <c r="AA338" s="12" t="s">
        <v>99</v>
      </c>
      <c r="AB338" s="12" t="s">
        <v>99</v>
      </c>
      <c r="AC338" s="12" t="s">
        <v>99</v>
      </c>
      <c r="AD338" s="12" t="s">
        <v>99</v>
      </c>
      <c r="AE338" s="12" t="s">
        <v>1077</v>
      </c>
      <c r="AF338" s="12" t="s">
        <v>87</v>
      </c>
      <c r="AG338" s="17" t="s">
        <v>151</v>
      </c>
      <c r="AH338" s="12" t="s">
        <v>1105</v>
      </c>
      <c r="AI338" s="12" t="s">
        <v>89</v>
      </c>
      <c r="AJ338" s="12" t="s">
        <v>89</v>
      </c>
      <c r="AK338" s="12" t="s">
        <v>89</v>
      </c>
      <c r="AL338" s="12" t="s">
        <v>1106</v>
      </c>
      <c r="AM338" s="12" t="s">
        <v>89</v>
      </c>
      <c r="AN338" s="17" t="s">
        <v>87</v>
      </c>
    </row>
    <row r="339" spans="1:40">
      <c r="A339" s="12" t="s">
        <v>74</v>
      </c>
      <c r="B339" s="12" t="s">
        <v>1095</v>
      </c>
      <c r="C339" s="12" t="s">
        <v>1096</v>
      </c>
      <c r="D339" s="12" t="s">
        <v>89</v>
      </c>
      <c r="E339" s="12" t="s">
        <v>1128</v>
      </c>
      <c r="F339" s="12" t="s">
        <v>1261</v>
      </c>
      <c r="G339" s="12" t="s">
        <v>1262</v>
      </c>
      <c r="H339" s="34" t="s">
        <v>1263</v>
      </c>
      <c r="I339" s="12" t="s">
        <v>1103</v>
      </c>
      <c r="J339" s="12" t="s">
        <v>1104</v>
      </c>
      <c r="K339" s="18">
        <v>5737</v>
      </c>
      <c r="L339" s="18">
        <v>0</v>
      </c>
      <c r="M339" s="12" t="s">
        <v>1103</v>
      </c>
      <c r="N339" s="35">
        <v>155278</v>
      </c>
      <c r="O339" s="35">
        <v>149541</v>
      </c>
      <c r="P339" s="35">
        <v>149541</v>
      </c>
      <c r="Q339" s="35">
        <v>113190</v>
      </c>
      <c r="R339" s="18">
        <f>N339-O339</f>
        <v>5737.0</v>
      </c>
      <c r="S339" s="18">
        <f>O339-P339</f>
        <v>0.0</v>
      </c>
      <c r="T339" s="18">
        <f>N339-Q339</f>
        <v>42088.0</v>
      </c>
      <c r="U339" s="36">
        <f>IF(N339&gt;0,Q339/N339,0)</f>
        <v>0.7289506562423524</v>
      </c>
      <c r="V339" s="17" t="s">
        <v>151</v>
      </c>
      <c r="W339" s="35">
        <v>113190</v>
      </c>
      <c r="X339" s="17" t="s">
        <v>151</v>
      </c>
      <c r="Y339" s="17" t="s">
        <v>151</v>
      </c>
      <c r="Z339" s="17" t="s">
        <v>89</v>
      </c>
      <c r="AA339" s="12" t="s">
        <v>99</v>
      </c>
      <c r="AB339" s="12" t="s">
        <v>99</v>
      </c>
      <c r="AC339" s="12" t="s">
        <v>99</v>
      </c>
      <c r="AD339" s="12" t="s">
        <v>99</v>
      </c>
      <c r="AE339" s="12" t="s">
        <v>1077</v>
      </c>
      <c r="AF339" s="12" t="s">
        <v>87</v>
      </c>
      <c r="AG339" s="17" t="s">
        <v>151</v>
      </c>
      <c r="AH339" s="12" t="s">
        <v>1105</v>
      </c>
      <c r="AI339" s="12" t="s">
        <v>89</v>
      </c>
      <c r="AJ339" s="12" t="s">
        <v>89</v>
      </c>
      <c r="AK339" s="12" t="s">
        <v>89</v>
      </c>
      <c r="AL339" s="12" t="s">
        <v>1106</v>
      </c>
      <c r="AM339" s="12" t="s">
        <v>89</v>
      </c>
      <c r="AN339" s="17" t="s">
        <v>87</v>
      </c>
    </row>
    <row r="340" spans="1:40">
      <c r="A340" s="12" t="s">
        <v>74</v>
      </c>
      <c r="B340" s="12" t="s">
        <v>1095</v>
      </c>
      <c r="C340" s="12" t="s">
        <v>1096</v>
      </c>
      <c r="D340" s="12" t="s">
        <v>89</v>
      </c>
      <c r="E340" s="12" t="s">
        <v>1128</v>
      </c>
      <c r="F340" s="12" t="s">
        <v>1264</v>
      </c>
      <c r="G340" s="12" t="s">
        <v>1265</v>
      </c>
      <c r="H340" s="34" t="s">
        <v>1266</v>
      </c>
      <c r="I340" s="12" t="s">
        <v>1103</v>
      </c>
      <c r="J340" s="12" t="s">
        <v>1104</v>
      </c>
      <c r="K340" s="18">
        <v>9541</v>
      </c>
      <c r="L340" s="18">
        <v>145000</v>
      </c>
      <c r="M340" s="12" t="s">
        <v>1103</v>
      </c>
      <c r="N340" s="35">
        <v>159890</v>
      </c>
      <c r="O340" s="35">
        <v>150349</v>
      </c>
      <c r="P340" s="35">
        <v>5349</v>
      </c>
      <c r="Q340" s="35">
        <v>5349</v>
      </c>
      <c r="R340" s="18">
        <f>N340-O340</f>
        <v>9541.0</v>
      </c>
      <c r="S340" s="18">
        <f>O340-P340</f>
        <v>145000.0</v>
      </c>
      <c r="T340" s="18">
        <f>N340-Q340</f>
        <v>154541.0</v>
      </c>
      <c r="U340" s="36">
        <f>IF(N340&gt;0,Q340/N340,0)</f>
        <v>0.03345424979673525</v>
      </c>
      <c r="V340" s="17" t="s">
        <v>151</v>
      </c>
      <c r="W340" s="35">
        <v>5349</v>
      </c>
      <c r="X340" s="17" t="s">
        <v>151</v>
      </c>
      <c r="Y340" s="17" t="s">
        <v>151</v>
      </c>
      <c r="Z340" s="17" t="s">
        <v>89</v>
      </c>
      <c r="AA340" s="12" t="s">
        <v>99</v>
      </c>
      <c r="AB340" s="12" t="s">
        <v>99</v>
      </c>
      <c r="AC340" s="12" t="s">
        <v>99</v>
      </c>
      <c r="AD340" s="12" t="s">
        <v>99</v>
      </c>
      <c r="AE340" s="12" t="s">
        <v>1077</v>
      </c>
      <c r="AF340" s="12" t="s">
        <v>87</v>
      </c>
      <c r="AG340" s="17" t="s">
        <v>151</v>
      </c>
      <c r="AH340" s="12" t="s">
        <v>1105</v>
      </c>
      <c r="AI340" s="12" t="s">
        <v>89</v>
      </c>
      <c r="AJ340" s="12" t="s">
        <v>89</v>
      </c>
      <c r="AK340" s="12" t="s">
        <v>89</v>
      </c>
      <c r="AL340" s="12" t="s">
        <v>1106</v>
      </c>
      <c r="AM340" s="12" t="s">
        <v>89</v>
      </c>
      <c r="AN340" s="17" t="s">
        <v>87</v>
      </c>
    </row>
    <row r="341" spans="1:40">
      <c r="A341" s="12" t="s">
        <v>74</v>
      </c>
      <c r="B341" s="12" t="s">
        <v>1095</v>
      </c>
      <c r="C341" s="12" t="s">
        <v>1096</v>
      </c>
      <c r="D341" s="12" t="s">
        <v>89</v>
      </c>
      <c r="E341" s="12" t="s">
        <v>1128</v>
      </c>
      <c r="F341" s="12" t="s">
        <v>1267</v>
      </c>
      <c r="G341" s="12" t="s">
        <v>1268</v>
      </c>
      <c r="H341" s="34" t="s">
        <v>1269</v>
      </c>
      <c r="I341" s="12" t="s">
        <v>1103</v>
      </c>
      <c r="J341" s="12" t="s">
        <v>1104</v>
      </c>
      <c r="K341" s="18">
        <v>6511</v>
      </c>
      <c r="L341" s="18">
        <v>22800</v>
      </c>
      <c r="M341" s="12" t="s">
        <v>1103</v>
      </c>
      <c r="N341" s="35">
        <v>159321</v>
      </c>
      <c r="O341" s="35">
        <v>152810</v>
      </c>
      <c r="P341" s="35">
        <v>130010</v>
      </c>
      <c r="Q341" s="35">
        <v>130010</v>
      </c>
      <c r="R341" s="18">
        <f>N341-O341</f>
        <v>6511.0</v>
      </c>
      <c r="S341" s="18">
        <f>O341-P341</f>
        <v>22800.0</v>
      </c>
      <c r="T341" s="18">
        <f>N341-Q341</f>
        <v>29311.0</v>
      </c>
      <c r="U341" s="36">
        <f>IF(N341&gt;0,Q341/N341,0)</f>
        <v>0.8160255082506387</v>
      </c>
      <c r="V341" s="17" t="s">
        <v>151</v>
      </c>
      <c r="W341" s="35">
        <v>130010</v>
      </c>
      <c r="X341" s="17" t="s">
        <v>151</v>
      </c>
      <c r="Y341" s="17" t="s">
        <v>151</v>
      </c>
      <c r="Z341" s="17" t="s">
        <v>89</v>
      </c>
      <c r="AA341" s="12" t="s">
        <v>99</v>
      </c>
      <c r="AB341" s="12" t="s">
        <v>99</v>
      </c>
      <c r="AC341" s="12" t="s">
        <v>99</v>
      </c>
      <c r="AD341" s="12" t="s">
        <v>99</v>
      </c>
      <c r="AE341" s="12" t="s">
        <v>1077</v>
      </c>
      <c r="AF341" s="12" t="s">
        <v>87</v>
      </c>
      <c r="AG341" s="17" t="s">
        <v>151</v>
      </c>
      <c r="AH341" s="12" t="s">
        <v>1105</v>
      </c>
      <c r="AI341" s="12" t="s">
        <v>89</v>
      </c>
      <c r="AJ341" s="12" t="s">
        <v>89</v>
      </c>
      <c r="AK341" s="12" t="s">
        <v>89</v>
      </c>
      <c r="AL341" s="12" t="s">
        <v>1106</v>
      </c>
      <c r="AM341" s="12" t="s">
        <v>89</v>
      </c>
      <c r="AN341" s="17" t="s">
        <v>87</v>
      </c>
    </row>
    <row r="342" spans="1:40">
      <c r="A342" s="12" t="s">
        <v>74</v>
      </c>
      <c r="B342" s="12" t="s">
        <v>1095</v>
      </c>
      <c r="C342" s="12" t="s">
        <v>1096</v>
      </c>
      <c r="D342" s="12" t="s">
        <v>89</v>
      </c>
      <c r="E342" s="12" t="s">
        <v>1128</v>
      </c>
      <c r="F342" s="12" t="s">
        <v>1270</v>
      </c>
      <c r="G342" s="12" t="s">
        <v>1271</v>
      </c>
      <c r="H342" s="34" t="s">
        <v>1272</v>
      </c>
      <c r="I342" s="12" t="s">
        <v>1103</v>
      </c>
      <c r="J342" s="12" t="s">
        <v>1104</v>
      </c>
      <c r="K342" s="18">
        <v>5887</v>
      </c>
      <c r="L342" s="18">
        <v>31200</v>
      </c>
      <c r="M342" s="12" t="s">
        <v>1103</v>
      </c>
      <c r="N342" s="35">
        <v>146532</v>
      </c>
      <c r="O342" s="35">
        <v>140645</v>
      </c>
      <c r="P342" s="35">
        <v>109445</v>
      </c>
      <c r="Q342" s="35">
        <v>109445</v>
      </c>
      <c r="R342" s="18">
        <f>N342-O342</f>
        <v>5887.0</v>
      </c>
      <c r="S342" s="18">
        <f>O342-P342</f>
        <v>31200.0</v>
      </c>
      <c r="T342" s="18">
        <f>N342-Q342</f>
        <v>37087.0</v>
      </c>
      <c r="U342" s="36">
        <f>IF(N342&gt;0,Q342/N342,0)</f>
        <v>0.7469017006524172</v>
      </c>
      <c r="V342" s="17" t="s">
        <v>151</v>
      </c>
      <c r="W342" s="35">
        <v>109445</v>
      </c>
      <c r="X342" s="17" t="s">
        <v>151</v>
      </c>
      <c r="Y342" s="17" t="s">
        <v>151</v>
      </c>
      <c r="Z342" s="17" t="s">
        <v>89</v>
      </c>
      <c r="AA342" s="12" t="s">
        <v>99</v>
      </c>
      <c r="AB342" s="12" t="s">
        <v>99</v>
      </c>
      <c r="AC342" s="12" t="s">
        <v>99</v>
      </c>
      <c r="AD342" s="12" t="s">
        <v>99</v>
      </c>
      <c r="AE342" s="12" t="s">
        <v>1077</v>
      </c>
      <c r="AF342" s="12" t="s">
        <v>87</v>
      </c>
      <c r="AG342" s="17" t="s">
        <v>151</v>
      </c>
      <c r="AH342" s="12" t="s">
        <v>1105</v>
      </c>
      <c r="AI342" s="12" t="s">
        <v>89</v>
      </c>
      <c r="AJ342" s="12" t="s">
        <v>89</v>
      </c>
      <c r="AK342" s="12" t="s">
        <v>89</v>
      </c>
      <c r="AL342" s="12" t="s">
        <v>1106</v>
      </c>
      <c r="AM342" s="12" t="s">
        <v>89</v>
      </c>
      <c r="AN342" s="17" t="s">
        <v>87</v>
      </c>
    </row>
    <row r="343" spans="1:40">
      <c r="A343" s="12" t="s">
        <v>74</v>
      </c>
      <c r="B343" s="12" t="s">
        <v>1095</v>
      </c>
      <c r="C343" s="12" t="s">
        <v>1096</v>
      </c>
      <c r="D343" s="12" t="s">
        <v>89</v>
      </c>
      <c r="E343" s="12" t="s">
        <v>1128</v>
      </c>
      <c r="F343" s="12" t="s">
        <v>1273</v>
      </c>
      <c r="G343" s="12" t="s">
        <v>1274</v>
      </c>
      <c r="H343" s="34" t="s">
        <v>1275</v>
      </c>
      <c r="I343" s="12" t="s">
        <v>1103</v>
      </c>
      <c r="J343" s="12" t="s">
        <v>1104</v>
      </c>
      <c r="K343" s="18">
        <v>4603</v>
      </c>
      <c r="L343" s="18">
        <v>139383</v>
      </c>
      <c r="M343" s="12" t="s">
        <v>1103</v>
      </c>
      <c r="N343" s="35">
        <v>155656</v>
      </c>
      <c r="O343" s="35">
        <v>151053</v>
      </c>
      <c r="P343" s="35">
        <v>11670</v>
      </c>
      <c r="Q343" s="35">
        <v>0</v>
      </c>
      <c r="R343" s="18">
        <f>N343-O343</f>
        <v>4603.0</v>
      </c>
      <c r="S343" s="18">
        <f>O343-P343</f>
        <v>139383.0</v>
      </c>
      <c r="T343" s="18">
        <f>N343-Q343</f>
        <v>155656.0</v>
      </c>
      <c r="U343" s="36">
        <f>IF(N343&gt;0,Q343/N343,0)</f>
        <v>0.0</v>
      </c>
      <c r="V343" s="17" t="s">
        <v>151</v>
      </c>
      <c r="W343" s="35">
        <v>0</v>
      </c>
      <c r="X343" s="17" t="s">
        <v>151</v>
      </c>
      <c r="Y343" s="17" t="s">
        <v>151</v>
      </c>
      <c r="Z343" s="17" t="s">
        <v>89</v>
      </c>
      <c r="AA343" s="12" t="s">
        <v>99</v>
      </c>
      <c r="AB343" s="12" t="s">
        <v>99</v>
      </c>
      <c r="AC343" s="12" t="s">
        <v>99</v>
      </c>
      <c r="AD343" s="12" t="s">
        <v>99</v>
      </c>
      <c r="AE343" s="12" t="s">
        <v>1077</v>
      </c>
      <c r="AF343" s="12" t="s">
        <v>87</v>
      </c>
      <c r="AG343" s="17" t="s">
        <v>151</v>
      </c>
      <c r="AH343" s="12" t="s">
        <v>1105</v>
      </c>
      <c r="AI343" s="12" t="s">
        <v>89</v>
      </c>
      <c r="AJ343" s="12" t="s">
        <v>89</v>
      </c>
      <c r="AK343" s="12" t="s">
        <v>89</v>
      </c>
      <c r="AL343" s="12" t="s">
        <v>1106</v>
      </c>
      <c r="AM343" s="12" t="s">
        <v>89</v>
      </c>
      <c r="AN343" s="17" t="s">
        <v>87</v>
      </c>
    </row>
    <row r="344" spans="1:40">
      <c r="A344" s="12" t="s">
        <v>74</v>
      </c>
      <c r="B344" s="12" t="s">
        <v>1095</v>
      </c>
      <c r="C344" s="12" t="s">
        <v>1096</v>
      </c>
      <c r="D344" s="12" t="s">
        <v>89</v>
      </c>
      <c r="E344" s="12" t="s">
        <v>1128</v>
      </c>
      <c r="F344" s="12" t="s">
        <v>1276</v>
      </c>
      <c r="G344" s="12" t="s">
        <v>1277</v>
      </c>
      <c r="H344" s="34" t="s">
        <v>1278</v>
      </c>
      <c r="I344" s="12" t="s">
        <v>1103</v>
      </c>
      <c r="J344" s="12" t="s">
        <v>1104</v>
      </c>
      <c r="K344" s="18">
        <v>7335</v>
      </c>
      <c r="L344" s="18">
        <v>19600</v>
      </c>
      <c r="M344" s="12" t="s">
        <v>1103</v>
      </c>
      <c r="N344" s="35">
        <v>159060</v>
      </c>
      <c r="O344" s="35">
        <v>151725</v>
      </c>
      <c r="P344" s="35">
        <v>132125</v>
      </c>
      <c r="Q344" s="35">
        <v>124900</v>
      </c>
      <c r="R344" s="18">
        <f>N344-O344</f>
        <v>7335.0</v>
      </c>
      <c r="S344" s="18">
        <f>O344-P344</f>
        <v>19600.0</v>
      </c>
      <c r="T344" s="18">
        <f>N344-Q344</f>
        <v>34160.0</v>
      </c>
      <c r="U344" s="36">
        <f>IF(N344&gt;0,Q344/N344,0)</f>
        <v>0.7852382748648309</v>
      </c>
      <c r="V344" s="17" t="s">
        <v>151</v>
      </c>
      <c r="W344" s="35">
        <v>124900</v>
      </c>
      <c r="X344" s="17" t="s">
        <v>151</v>
      </c>
      <c r="Y344" s="17" t="s">
        <v>151</v>
      </c>
      <c r="Z344" s="17" t="s">
        <v>89</v>
      </c>
      <c r="AA344" s="12" t="s">
        <v>99</v>
      </c>
      <c r="AB344" s="12" t="s">
        <v>99</v>
      </c>
      <c r="AC344" s="12" t="s">
        <v>99</v>
      </c>
      <c r="AD344" s="12" t="s">
        <v>99</v>
      </c>
      <c r="AE344" s="12" t="s">
        <v>1077</v>
      </c>
      <c r="AF344" s="12" t="s">
        <v>87</v>
      </c>
      <c r="AG344" s="17" t="s">
        <v>151</v>
      </c>
      <c r="AH344" s="12" t="s">
        <v>1105</v>
      </c>
      <c r="AI344" s="12" t="s">
        <v>89</v>
      </c>
      <c r="AJ344" s="12" t="s">
        <v>89</v>
      </c>
      <c r="AK344" s="12" t="s">
        <v>89</v>
      </c>
      <c r="AL344" s="12" t="s">
        <v>1106</v>
      </c>
      <c r="AM344" s="12" t="s">
        <v>89</v>
      </c>
      <c r="AN344" s="17" t="s">
        <v>87</v>
      </c>
    </row>
    <row r="345" spans="1:40">
      <c r="A345" s="12" t="s">
        <v>74</v>
      </c>
      <c r="B345" s="12" t="s">
        <v>1095</v>
      </c>
      <c r="C345" s="12" t="s">
        <v>1096</v>
      </c>
      <c r="D345" s="12" t="s">
        <v>89</v>
      </c>
      <c r="E345" s="12" t="s">
        <v>1128</v>
      </c>
      <c r="F345" s="12" t="s">
        <v>1279</v>
      </c>
      <c r="G345" s="12" t="s">
        <v>1280</v>
      </c>
      <c r="H345" s="34" t="s">
        <v>1281</v>
      </c>
      <c r="I345" s="12" t="s">
        <v>1103</v>
      </c>
      <c r="J345" s="12" t="s">
        <v>1104</v>
      </c>
      <c r="K345" s="18">
        <v>72979.5</v>
      </c>
      <c r="L345" s="18">
        <v>10</v>
      </c>
      <c r="M345" s="12" t="s">
        <v>1103</v>
      </c>
      <c r="N345" s="35">
        <v>159862</v>
      </c>
      <c r="O345" s="35">
        <v>86882.5</v>
      </c>
      <c r="P345" s="35">
        <v>86872.5</v>
      </c>
      <c r="Q345" s="35">
        <v>86872.5</v>
      </c>
      <c r="R345" s="18">
        <f>N345-O345</f>
        <v>72979.5</v>
      </c>
      <c r="S345" s="18">
        <f>O345-P345</f>
        <v>10.0</v>
      </c>
      <c r="T345" s="18">
        <f>N345-Q345</f>
        <v>72989.5</v>
      </c>
      <c r="U345" s="36">
        <f>IF(N345&gt;0,Q345/N345,0)</f>
        <v>0.5434218263252055</v>
      </c>
      <c r="V345" s="17" t="s">
        <v>151</v>
      </c>
      <c r="W345" s="35">
        <v>86872.5</v>
      </c>
      <c r="X345" s="17" t="s">
        <v>151</v>
      </c>
      <c r="Y345" s="17" t="s">
        <v>151</v>
      </c>
      <c r="Z345" s="17" t="s">
        <v>89</v>
      </c>
      <c r="AA345" s="12" t="s">
        <v>99</v>
      </c>
      <c r="AB345" s="12" t="s">
        <v>99</v>
      </c>
      <c r="AC345" s="12" t="s">
        <v>99</v>
      </c>
      <c r="AD345" s="12" t="s">
        <v>99</v>
      </c>
      <c r="AE345" s="12" t="s">
        <v>1077</v>
      </c>
      <c r="AF345" s="12" t="s">
        <v>87</v>
      </c>
      <c r="AG345" s="17" t="s">
        <v>151</v>
      </c>
      <c r="AH345" s="12" t="s">
        <v>1105</v>
      </c>
      <c r="AI345" s="12" t="s">
        <v>89</v>
      </c>
      <c r="AJ345" s="12" t="s">
        <v>89</v>
      </c>
      <c r="AK345" s="12" t="s">
        <v>89</v>
      </c>
      <c r="AL345" s="12" t="s">
        <v>1106</v>
      </c>
      <c r="AM345" s="12" t="s">
        <v>89</v>
      </c>
      <c r="AN345" s="17" t="s">
        <v>87</v>
      </c>
    </row>
    <row r="346" spans="1:40">
      <c r="A346" s="12" t="s">
        <v>74</v>
      </c>
      <c r="B346" s="12" t="s">
        <v>1095</v>
      </c>
      <c r="C346" s="12" t="s">
        <v>1096</v>
      </c>
      <c r="D346" s="12" t="s">
        <v>89</v>
      </c>
      <c r="E346" s="12" t="s">
        <v>1128</v>
      </c>
      <c r="F346" s="12" t="s">
        <v>1282</v>
      </c>
      <c r="G346" s="12" t="s">
        <v>1283</v>
      </c>
      <c r="H346" s="34" t="s">
        <v>1284</v>
      </c>
      <c r="I346" s="12" t="s">
        <v>1103</v>
      </c>
      <c r="J346" s="12" t="s">
        <v>106</v>
      </c>
      <c r="K346" s="18">
        <v>0</v>
      </c>
      <c r="L346" s="18">
        <v>0</v>
      </c>
      <c r="M346" s="12" t="s">
        <v>121</v>
      </c>
      <c r="N346" s="35">
        <v>157300</v>
      </c>
      <c r="O346" s="35">
        <v>149830</v>
      </c>
      <c r="P346" s="35">
        <v>149790</v>
      </c>
      <c r="Q346" s="35">
        <v>149790</v>
      </c>
      <c r="R346" s="18">
        <f>N346-O346</f>
        <v>7470.0</v>
      </c>
      <c r="S346" s="18">
        <f>O346-P346</f>
        <v>40.0</v>
      </c>
      <c r="T346" s="18">
        <f>N346-Q346</f>
        <v>7510.0</v>
      </c>
      <c r="U346" s="36">
        <f>IF(N346&gt;0,Q346/N346,0)</f>
        <v>0.9522568340750159</v>
      </c>
      <c r="V346" s="17" t="s">
        <v>151</v>
      </c>
      <c r="W346" s="35">
        <v>149790</v>
      </c>
      <c r="X346" s="17" t="s">
        <v>151</v>
      </c>
      <c r="Y346" s="17" t="s">
        <v>151</v>
      </c>
      <c r="Z346" s="17" t="s">
        <v>89</v>
      </c>
      <c r="AA346" s="12" t="s">
        <v>99</v>
      </c>
      <c r="AB346" s="12" t="s">
        <v>99</v>
      </c>
      <c r="AC346" s="12" t="s">
        <v>99</v>
      </c>
      <c r="AD346" s="12" t="s">
        <v>99</v>
      </c>
      <c r="AE346" s="12" t="s">
        <v>1077</v>
      </c>
      <c r="AF346" s="12" t="s">
        <v>87</v>
      </c>
      <c r="AG346" s="17" t="s">
        <v>151</v>
      </c>
      <c r="AH346" s="12" t="s">
        <v>1105</v>
      </c>
      <c r="AI346" s="12" t="s">
        <v>89</v>
      </c>
      <c r="AJ346" s="12" t="s">
        <v>89</v>
      </c>
      <c r="AK346" s="12" t="s">
        <v>89</v>
      </c>
      <c r="AL346" s="12" t="s">
        <v>1106</v>
      </c>
      <c r="AM346" s="12" t="s">
        <v>89</v>
      </c>
      <c r="AN346" s="17" t="s">
        <v>87</v>
      </c>
    </row>
    <row r="347" spans="1:40">
      <c r="A347" s="12" t="s">
        <v>74</v>
      </c>
      <c r="B347" s="12" t="s">
        <v>1095</v>
      </c>
      <c r="C347" s="12" t="s">
        <v>1096</v>
      </c>
      <c r="D347" s="12" t="s">
        <v>89</v>
      </c>
      <c r="E347" s="12" t="s">
        <v>1128</v>
      </c>
      <c r="F347" s="12" t="s">
        <v>1285</v>
      </c>
      <c r="G347" s="12" t="s">
        <v>1286</v>
      </c>
      <c r="H347" s="34" t="s">
        <v>1287</v>
      </c>
      <c r="I347" s="12" t="s">
        <v>1103</v>
      </c>
      <c r="J347" s="12" t="s">
        <v>106</v>
      </c>
      <c r="K347" s="18">
        <v>0</v>
      </c>
      <c r="L347" s="18">
        <v>0</v>
      </c>
      <c r="M347" s="12" t="s">
        <v>121</v>
      </c>
      <c r="N347" s="35">
        <v>159720</v>
      </c>
      <c r="O347" s="35">
        <v>152944</v>
      </c>
      <c r="P347" s="35">
        <v>152929</v>
      </c>
      <c r="Q347" s="35">
        <v>146395</v>
      </c>
      <c r="R347" s="18">
        <f>N347-O347</f>
        <v>6776.0</v>
      </c>
      <c r="S347" s="18">
        <f>O347-P347</f>
        <v>15.0</v>
      </c>
      <c r="T347" s="18">
        <f>N347-Q347</f>
        <v>13325.0</v>
      </c>
      <c r="U347" s="36">
        <f>IF(N347&gt;0,Q347/N347,0)</f>
        <v>0.916572752316554</v>
      </c>
      <c r="V347" s="17" t="s">
        <v>151</v>
      </c>
      <c r="W347" s="35">
        <v>146395</v>
      </c>
      <c r="X347" s="17" t="s">
        <v>151</v>
      </c>
      <c r="Y347" s="17" t="s">
        <v>151</v>
      </c>
      <c r="Z347" s="17" t="s">
        <v>89</v>
      </c>
      <c r="AA347" s="12" t="s">
        <v>99</v>
      </c>
      <c r="AB347" s="12" t="s">
        <v>99</v>
      </c>
      <c r="AC347" s="12" t="s">
        <v>99</v>
      </c>
      <c r="AD347" s="12" t="s">
        <v>99</v>
      </c>
      <c r="AE347" s="12" t="s">
        <v>1077</v>
      </c>
      <c r="AF347" s="12" t="s">
        <v>87</v>
      </c>
      <c r="AG347" s="17" t="s">
        <v>151</v>
      </c>
      <c r="AH347" s="12" t="s">
        <v>1105</v>
      </c>
      <c r="AI347" s="12" t="s">
        <v>89</v>
      </c>
      <c r="AJ347" s="12" t="s">
        <v>89</v>
      </c>
      <c r="AK347" s="12" t="s">
        <v>89</v>
      </c>
      <c r="AL347" s="12" t="s">
        <v>1106</v>
      </c>
      <c r="AM347" s="12" t="s">
        <v>89</v>
      </c>
      <c r="AN347" s="17" t="s">
        <v>87</v>
      </c>
    </row>
    <row r="348" spans="1:40">
      <c r="A348" s="12" t="s">
        <v>74</v>
      </c>
      <c r="B348" s="12" t="s">
        <v>1095</v>
      </c>
      <c r="C348" s="12" t="s">
        <v>1096</v>
      </c>
      <c r="D348" s="12" t="s">
        <v>89</v>
      </c>
      <c r="E348" s="12" t="s">
        <v>1128</v>
      </c>
      <c r="F348" s="12" t="s">
        <v>1288</v>
      </c>
      <c r="G348" s="12" t="s">
        <v>1289</v>
      </c>
      <c r="H348" s="34" t="s">
        <v>1290</v>
      </c>
      <c r="I348" s="12" t="s">
        <v>1103</v>
      </c>
      <c r="J348" s="12" t="s">
        <v>1104</v>
      </c>
      <c r="K348" s="18">
        <v>109747</v>
      </c>
      <c r="L348" s="18">
        <v>0</v>
      </c>
      <c r="M348" s="12" t="s">
        <v>1103</v>
      </c>
      <c r="N348" s="35">
        <v>159007</v>
      </c>
      <c r="O348" s="35">
        <v>49260</v>
      </c>
      <c r="P348" s="35">
        <v>49260</v>
      </c>
      <c r="Q348" s="35">
        <v>49260</v>
      </c>
      <c r="R348" s="18">
        <f>N348-O348</f>
        <v>109747.0</v>
      </c>
      <c r="S348" s="18">
        <f>O348-P348</f>
        <v>0.0</v>
      </c>
      <c r="T348" s="18">
        <f>N348-Q348</f>
        <v>109747.0</v>
      </c>
      <c r="U348" s="36">
        <f>IF(N348&gt;0,Q348/N348,0)</f>
        <v>0.3097976818630626</v>
      </c>
      <c r="V348" s="17" t="s">
        <v>151</v>
      </c>
      <c r="W348" s="35">
        <v>49260</v>
      </c>
      <c r="X348" s="17" t="s">
        <v>151</v>
      </c>
      <c r="Y348" s="17" t="s">
        <v>151</v>
      </c>
      <c r="Z348" s="17" t="s">
        <v>89</v>
      </c>
      <c r="AA348" s="12" t="s">
        <v>99</v>
      </c>
      <c r="AB348" s="12" t="s">
        <v>99</v>
      </c>
      <c r="AC348" s="12" t="s">
        <v>99</v>
      </c>
      <c r="AD348" s="12" t="s">
        <v>99</v>
      </c>
      <c r="AE348" s="12" t="s">
        <v>1077</v>
      </c>
      <c r="AF348" s="12" t="s">
        <v>87</v>
      </c>
      <c r="AG348" s="17" t="s">
        <v>151</v>
      </c>
      <c r="AH348" s="12" t="s">
        <v>1105</v>
      </c>
      <c r="AI348" s="12" t="s">
        <v>89</v>
      </c>
      <c r="AJ348" s="12" t="s">
        <v>89</v>
      </c>
      <c r="AK348" s="12" t="s">
        <v>89</v>
      </c>
      <c r="AL348" s="12" t="s">
        <v>1106</v>
      </c>
      <c r="AM348" s="12" t="s">
        <v>89</v>
      </c>
      <c r="AN348" s="17" t="s">
        <v>87</v>
      </c>
    </row>
    <row r="349" spans="1:40">
      <c r="A349" s="12" t="s">
        <v>74</v>
      </c>
      <c r="B349" s="12" t="s">
        <v>1095</v>
      </c>
      <c r="C349" s="12" t="s">
        <v>1096</v>
      </c>
      <c r="D349" s="12" t="s">
        <v>89</v>
      </c>
      <c r="E349" s="12" t="s">
        <v>1128</v>
      </c>
      <c r="F349" s="12" t="s">
        <v>1291</v>
      </c>
      <c r="G349" s="12" t="s">
        <v>1292</v>
      </c>
      <c r="H349" s="34" t="s">
        <v>1293</v>
      </c>
      <c r="I349" s="12" t="s">
        <v>1103</v>
      </c>
      <c r="J349" s="12" t="s">
        <v>1104</v>
      </c>
      <c r="K349" s="18">
        <v>37066</v>
      </c>
      <c r="L349" s="18">
        <v>0</v>
      </c>
      <c r="M349" s="12" t="s">
        <v>1103</v>
      </c>
      <c r="N349" s="35">
        <v>159876</v>
      </c>
      <c r="O349" s="35">
        <v>122810</v>
      </c>
      <c r="P349" s="35">
        <v>122810</v>
      </c>
      <c r="Q349" s="35">
        <v>113200</v>
      </c>
      <c r="R349" s="18">
        <f>N349-O349</f>
        <v>37066.0</v>
      </c>
      <c r="S349" s="18">
        <f>O349-P349</f>
        <v>0.0</v>
      </c>
      <c r="T349" s="18">
        <f>N349-Q349</f>
        <v>46676.0</v>
      </c>
      <c r="U349" s="36">
        <f>IF(N349&gt;0,Q349/N349,0)</f>
        <v>0.7080487377717731</v>
      </c>
      <c r="V349" s="17" t="s">
        <v>151</v>
      </c>
      <c r="W349" s="35">
        <v>113200</v>
      </c>
      <c r="X349" s="17" t="s">
        <v>151</v>
      </c>
      <c r="Y349" s="17" t="s">
        <v>151</v>
      </c>
      <c r="Z349" s="17" t="s">
        <v>89</v>
      </c>
      <c r="AA349" s="12" t="s">
        <v>99</v>
      </c>
      <c r="AB349" s="12" t="s">
        <v>99</v>
      </c>
      <c r="AC349" s="12" t="s">
        <v>99</v>
      </c>
      <c r="AD349" s="12" t="s">
        <v>99</v>
      </c>
      <c r="AE349" s="12" t="s">
        <v>1077</v>
      </c>
      <c r="AF349" s="12" t="s">
        <v>87</v>
      </c>
      <c r="AG349" s="17" t="s">
        <v>151</v>
      </c>
      <c r="AH349" s="12" t="s">
        <v>1105</v>
      </c>
      <c r="AI349" s="12" t="s">
        <v>89</v>
      </c>
      <c r="AJ349" s="12" t="s">
        <v>89</v>
      </c>
      <c r="AK349" s="12" t="s">
        <v>89</v>
      </c>
      <c r="AL349" s="12" t="s">
        <v>1106</v>
      </c>
      <c r="AM349" s="12" t="s">
        <v>89</v>
      </c>
      <c r="AN349" s="17" t="s">
        <v>87</v>
      </c>
    </row>
    <row r="350" spans="1:40">
      <c r="A350" s="12" t="s">
        <v>74</v>
      </c>
      <c r="B350" s="12" t="s">
        <v>1095</v>
      </c>
      <c r="C350" s="12" t="s">
        <v>1096</v>
      </c>
      <c r="D350" s="12" t="s">
        <v>89</v>
      </c>
      <c r="E350" s="12" t="s">
        <v>1128</v>
      </c>
      <c r="F350" s="12" t="s">
        <v>1294</v>
      </c>
      <c r="G350" s="12" t="s">
        <v>1295</v>
      </c>
      <c r="H350" s="34" t="s">
        <v>1296</v>
      </c>
      <c r="I350" s="12" t="s">
        <v>1103</v>
      </c>
      <c r="J350" s="12" t="s">
        <v>106</v>
      </c>
      <c r="K350" s="18">
        <v>0</v>
      </c>
      <c r="L350" s="18">
        <v>0</v>
      </c>
      <c r="M350" s="12" t="s">
        <v>121</v>
      </c>
      <c r="N350" s="35">
        <v>158527</v>
      </c>
      <c r="O350" s="35">
        <v>152744</v>
      </c>
      <c r="P350" s="35">
        <v>152544</v>
      </c>
      <c r="Q350" s="35">
        <v>146576</v>
      </c>
      <c r="R350" s="18">
        <f>N350-O350</f>
        <v>5783.0</v>
      </c>
      <c r="S350" s="18">
        <f>O350-P350</f>
        <v>200.0</v>
      </c>
      <c r="T350" s="18">
        <f>N350-Q350</f>
        <v>11951.0</v>
      </c>
      <c r="U350" s="36">
        <f>IF(N350&gt;0,Q350/N350,0)</f>
        <v>0.9246122111690753</v>
      </c>
      <c r="V350" s="17" t="s">
        <v>151</v>
      </c>
      <c r="W350" s="35">
        <v>146576</v>
      </c>
      <c r="X350" s="17" t="s">
        <v>151</v>
      </c>
      <c r="Y350" s="17" t="s">
        <v>151</v>
      </c>
      <c r="Z350" s="17" t="s">
        <v>89</v>
      </c>
      <c r="AA350" s="12" t="s">
        <v>99</v>
      </c>
      <c r="AB350" s="12" t="s">
        <v>99</v>
      </c>
      <c r="AC350" s="12" t="s">
        <v>99</v>
      </c>
      <c r="AD350" s="12" t="s">
        <v>99</v>
      </c>
      <c r="AE350" s="12" t="s">
        <v>1077</v>
      </c>
      <c r="AF350" s="12" t="s">
        <v>87</v>
      </c>
      <c r="AG350" s="17" t="s">
        <v>151</v>
      </c>
      <c r="AH350" s="12" t="s">
        <v>1105</v>
      </c>
      <c r="AI350" s="12" t="s">
        <v>89</v>
      </c>
      <c r="AJ350" s="12" t="s">
        <v>89</v>
      </c>
      <c r="AK350" s="12" t="s">
        <v>89</v>
      </c>
      <c r="AL350" s="12" t="s">
        <v>1106</v>
      </c>
      <c r="AM350" s="12" t="s">
        <v>89</v>
      </c>
      <c r="AN350" s="17" t="s">
        <v>87</v>
      </c>
    </row>
    <row r="351" spans="1:40">
      <c r="A351" s="12" t="s">
        <v>74</v>
      </c>
      <c r="B351" s="12" t="s">
        <v>1095</v>
      </c>
      <c r="C351" s="12" t="s">
        <v>1096</v>
      </c>
      <c r="D351" s="12" t="s">
        <v>89</v>
      </c>
      <c r="E351" s="12" t="s">
        <v>1128</v>
      </c>
      <c r="F351" s="12" t="s">
        <v>1297</v>
      </c>
      <c r="G351" s="12" t="s">
        <v>1298</v>
      </c>
      <c r="H351" s="34" t="s">
        <v>1299</v>
      </c>
      <c r="I351" s="12" t="s">
        <v>1103</v>
      </c>
      <c r="J351" s="12" t="s">
        <v>1104</v>
      </c>
      <c r="K351" s="18">
        <v>22525</v>
      </c>
      <c r="L351" s="18">
        <v>93020</v>
      </c>
      <c r="M351" s="12" t="s">
        <v>1103</v>
      </c>
      <c r="N351" s="35">
        <v>158640</v>
      </c>
      <c r="O351" s="35">
        <v>136115</v>
      </c>
      <c r="P351" s="35">
        <v>43095</v>
      </c>
      <c r="Q351" s="35">
        <v>43095</v>
      </c>
      <c r="R351" s="18">
        <f>N351-O351</f>
        <v>22525.0</v>
      </c>
      <c r="S351" s="18">
        <f>O351-P351</f>
        <v>93020.0</v>
      </c>
      <c r="T351" s="18">
        <f>N351-Q351</f>
        <v>115545.0</v>
      </c>
      <c r="U351" s="36">
        <f>IF(N351&gt;0,Q351/N351,0)</f>
        <v>0.27165279878971255</v>
      </c>
      <c r="V351" s="17" t="s">
        <v>151</v>
      </c>
      <c r="W351" s="35">
        <v>43095</v>
      </c>
      <c r="X351" s="17" t="s">
        <v>151</v>
      </c>
      <c r="Y351" s="17" t="s">
        <v>151</v>
      </c>
      <c r="Z351" s="17" t="s">
        <v>89</v>
      </c>
      <c r="AA351" s="12" t="s">
        <v>99</v>
      </c>
      <c r="AB351" s="12" t="s">
        <v>99</v>
      </c>
      <c r="AC351" s="12" t="s">
        <v>99</v>
      </c>
      <c r="AD351" s="12" t="s">
        <v>99</v>
      </c>
      <c r="AE351" s="12" t="s">
        <v>1077</v>
      </c>
      <c r="AF351" s="12" t="s">
        <v>87</v>
      </c>
      <c r="AG351" s="17" t="s">
        <v>151</v>
      </c>
      <c r="AH351" s="12" t="s">
        <v>1105</v>
      </c>
      <c r="AI351" s="12" t="s">
        <v>89</v>
      </c>
      <c r="AJ351" s="12" t="s">
        <v>89</v>
      </c>
      <c r="AK351" s="12" t="s">
        <v>89</v>
      </c>
      <c r="AL351" s="12" t="s">
        <v>1106</v>
      </c>
      <c r="AM351" s="12" t="s">
        <v>89</v>
      </c>
      <c r="AN351" s="17" t="s">
        <v>87</v>
      </c>
    </row>
    <row r="352" spans="1:40">
      <c r="A352" s="12" t="s">
        <v>74</v>
      </c>
      <c r="B352" s="12" t="s">
        <v>1095</v>
      </c>
      <c r="C352" s="12" t="s">
        <v>1096</v>
      </c>
      <c r="D352" s="12" t="s">
        <v>89</v>
      </c>
      <c r="E352" s="12" t="s">
        <v>1128</v>
      </c>
      <c r="F352" s="12" t="s">
        <v>1300</v>
      </c>
      <c r="G352" s="12" t="s">
        <v>1301</v>
      </c>
      <c r="H352" s="34" t="s">
        <v>1302</v>
      </c>
      <c r="I352" s="12" t="s">
        <v>1103</v>
      </c>
      <c r="J352" s="12" t="s">
        <v>1104</v>
      </c>
      <c r="K352" s="18">
        <v>13041</v>
      </c>
      <c r="L352" s="18">
        <v>0</v>
      </c>
      <c r="M352" s="12" t="s">
        <v>1103</v>
      </c>
      <c r="N352" s="35">
        <v>159041</v>
      </c>
      <c r="O352" s="35">
        <v>146000</v>
      </c>
      <c r="P352" s="35">
        <v>146000</v>
      </c>
      <c r="Q352" s="35">
        <v>139000</v>
      </c>
      <c r="R352" s="18">
        <f>N352-O352</f>
        <v>13041.0</v>
      </c>
      <c r="S352" s="18">
        <f>O352-P352</f>
        <v>0.0</v>
      </c>
      <c r="T352" s="18">
        <f>N352-Q352</f>
        <v>20041.0</v>
      </c>
      <c r="U352" s="36">
        <f>IF(N352&gt;0,Q352/N352,0)</f>
        <v>0.8739884683823668</v>
      </c>
      <c r="V352" s="17" t="s">
        <v>151</v>
      </c>
      <c r="W352" s="35">
        <v>139000</v>
      </c>
      <c r="X352" s="17" t="s">
        <v>151</v>
      </c>
      <c r="Y352" s="17" t="s">
        <v>151</v>
      </c>
      <c r="Z352" s="17" t="s">
        <v>89</v>
      </c>
      <c r="AA352" s="12" t="s">
        <v>99</v>
      </c>
      <c r="AB352" s="12" t="s">
        <v>99</v>
      </c>
      <c r="AC352" s="12" t="s">
        <v>99</v>
      </c>
      <c r="AD352" s="12" t="s">
        <v>99</v>
      </c>
      <c r="AE352" s="12" t="s">
        <v>1077</v>
      </c>
      <c r="AF352" s="12" t="s">
        <v>87</v>
      </c>
      <c r="AG352" s="17" t="s">
        <v>151</v>
      </c>
      <c r="AH352" s="12" t="s">
        <v>1105</v>
      </c>
      <c r="AI352" s="12" t="s">
        <v>89</v>
      </c>
      <c r="AJ352" s="12" t="s">
        <v>89</v>
      </c>
      <c r="AK352" s="12" t="s">
        <v>89</v>
      </c>
      <c r="AL352" s="12" t="s">
        <v>1106</v>
      </c>
      <c r="AM352" s="12" t="s">
        <v>89</v>
      </c>
      <c r="AN352" s="17" t="s">
        <v>87</v>
      </c>
    </row>
    <row r="353" spans="1:40">
      <c r="A353" s="12" t="s">
        <v>74</v>
      </c>
      <c r="B353" s="12" t="s">
        <v>1095</v>
      </c>
      <c r="C353" s="12" t="s">
        <v>1096</v>
      </c>
      <c r="D353" s="12" t="s">
        <v>89</v>
      </c>
      <c r="E353" s="12" t="s">
        <v>1128</v>
      </c>
      <c r="F353" s="12" t="s">
        <v>1303</v>
      </c>
      <c r="G353" s="12" t="s">
        <v>1304</v>
      </c>
      <c r="H353" s="34" t="s">
        <v>1305</v>
      </c>
      <c r="I353" s="12" t="s">
        <v>1103</v>
      </c>
      <c r="J353" s="12" t="s">
        <v>106</v>
      </c>
      <c r="K353" s="18">
        <v>0</v>
      </c>
      <c r="L353" s="18">
        <v>0</v>
      </c>
      <c r="M353" s="12" t="s">
        <v>121</v>
      </c>
      <c r="N353" s="35">
        <v>159584</v>
      </c>
      <c r="O353" s="35">
        <v>152800</v>
      </c>
      <c r="P353" s="35">
        <v>152800</v>
      </c>
      <c r="Q353" s="35">
        <v>152800</v>
      </c>
      <c r="R353" s="18">
        <f>N353-O353</f>
        <v>6784.0</v>
      </c>
      <c r="S353" s="18">
        <f>O353-P353</f>
        <v>0.0</v>
      </c>
      <c r="T353" s="18">
        <f>N353-Q353</f>
        <v>6784.0</v>
      </c>
      <c r="U353" s="36">
        <f>IF(N353&gt;0,Q353/N353,0)</f>
        <v>0.957489472628835</v>
      </c>
      <c r="V353" s="17" t="s">
        <v>151</v>
      </c>
      <c r="W353" s="35">
        <v>152800</v>
      </c>
      <c r="X353" s="17" t="s">
        <v>151</v>
      </c>
      <c r="Y353" s="17" t="s">
        <v>151</v>
      </c>
      <c r="Z353" s="17" t="s">
        <v>89</v>
      </c>
      <c r="AA353" s="12" t="s">
        <v>99</v>
      </c>
      <c r="AB353" s="12" t="s">
        <v>99</v>
      </c>
      <c r="AC353" s="12" t="s">
        <v>99</v>
      </c>
      <c r="AD353" s="12" t="s">
        <v>99</v>
      </c>
      <c r="AE353" s="12" t="s">
        <v>1077</v>
      </c>
      <c r="AF353" s="12" t="s">
        <v>87</v>
      </c>
      <c r="AG353" s="17" t="s">
        <v>151</v>
      </c>
      <c r="AH353" s="12" t="s">
        <v>1105</v>
      </c>
      <c r="AI353" s="12" t="s">
        <v>89</v>
      </c>
      <c r="AJ353" s="12" t="s">
        <v>89</v>
      </c>
      <c r="AK353" s="12" t="s">
        <v>89</v>
      </c>
      <c r="AL353" s="12" t="s">
        <v>1106</v>
      </c>
      <c r="AM353" s="12" t="s">
        <v>89</v>
      </c>
      <c r="AN353" s="17" t="s">
        <v>87</v>
      </c>
    </row>
    <row r="354" spans="1:40">
      <c r="A354" s="12" t="s">
        <v>74</v>
      </c>
      <c r="B354" s="12" t="s">
        <v>1095</v>
      </c>
      <c r="C354" s="12" t="s">
        <v>1096</v>
      </c>
      <c r="D354" s="12" t="s">
        <v>89</v>
      </c>
      <c r="E354" s="12" t="s">
        <v>1128</v>
      </c>
      <c r="F354" s="12" t="s">
        <v>1306</v>
      </c>
      <c r="G354" s="12" t="s">
        <v>1307</v>
      </c>
      <c r="H354" s="34" t="s">
        <v>1308</v>
      </c>
      <c r="I354" s="12" t="s">
        <v>1103</v>
      </c>
      <c r="J354" s="12" t="s">
        <v>1104</v>
      </c>
      <c r="K354" s="18">
        <v>7745</v>
      </c>
      <c r="L354" s="18">
        <v>55000</v>
      </c>
      <c r="M354" s="12" t="s">
        <v>1103</v>
      </c>
      <c r="N354" s="35">
        <v>159830</v>
      </c>
      <c r="O354" s="35">
        <v>152085</v>
      </c>
      <c r="P354" s="35">
        <v>97085</v>
      </c>
      <c r="Q354" s="35">
        <v>97085</v>
      </c>
      <c r="R354" s="18">
        <f>N354-O354</f>
        <v>7745.0</v>
      </c>
      <c r="S354" s="18">
        <f>O354-P354</f>
        <v>55000.0</v>
      </c>
      <c r="T354" s="18">
        <f>N354-Q354</f>
        <v>62745.0</v>
      </c>
      <c r="U354" s="36">
        <f>IF(N354&gt;0,Q354/N354,0)</f>
        <v>0.6074266408058562</v>
      </c>
      <c r="V354" s="17" t="s">
        <v>151</v>
      </c>
      <c r="W354" s="35">
        <v>97085</v>
      </c>
      <c r="X354" s="17" t="s">
        <v>151</v>
      </c>
      <c r="Y354" s="17" t="s">
        <v>151</v>
      </c>
      <c r="Z354" s="17" t="s">
        <v>89</v>
      </c>
      <c r="AA354" s="12" t="s">
        <v>99</v>
      </c>
      <c r="AB354" s="12" t="s">
        <v>99</v>
      </c>
      <c r="AC354" s="12" t="s">
        <v>99</v>
      </c>
      <c r="AD354" s="12" t="s">
        <v>99</v>
      </c>
      <c r="AE354" s="12" t="s">
        <v>1077</v>
      </c>
      <c r="AF354" s="12" t="s">
        <v>87</v>
      </c>
      <c r="AG354" s="17" t="s">
        <v>151</v>
      </c>
      <c r="AH354" s="12" t="s">
        <v>1105</v>
      </c>
      <c r="AI354" s="12" t="s">
        <v>89</v>
      </c>
      <c r="AJ354" s="12" t="s">
        <v>89</v>
      </c>
      <c r="AK354" s="12" t="s">
        <v>89</v>
      </c>
      <c r="AL354" s="12" t="s">
        <v>1106</v>
      </c>
      <c r="AM354" s="12" t="s">
        <v>89</v>
      </c>
      <c r="AN354" s="17" t="s">
        <v>87</v>
      </c>
    </row>
    <row r="355" spans="1:40">
      <c r="A355" s="12" t="s">
        <v>74</v>
      </c>
      <c r="B355" s="12" t="s">
        <v>1095</v>
      </c>
      <c r="C355" s="12" t="s">
        <v>1096</v>
      </c>
      <c r="D355" s="12" t="s">
        <v>89</v>
      </c>
      <c r="E355" s="12" t="s">
        <v>1128</v>
      </c>
      <c r="F355" s="12" t="s">
        <v>1309</v>
      </c>
      <c r="G355" s="12" t="s">
        <v>1310</v>
      </c>
      <c r="H355" s="34" t="s">
        <v>1311</v>
      </c>
      <c r="I355" s="12" t="s">
        <v>1103</v>
      </c>
      <c r="J355" s="12" t="s">
        <v>1104</v>
      </c>
      <c r="K355" s="18">
        <v>5850</v>
      </c>
      <c r="L355" s="18">
        <v>94210</v>
      </c>
      <c r="M355" s="12" t="s">
        <v>1103</v>
      </c>
      <c r="N355" s="35">
        <v>159880</v>
      </c>
      <c r="O355" s="35">
        <v>154030</v>
      </c>
      <c r="P355" s="35">
        <v>59820</v>
      </c>
      <c r="Q355" s="35">
        <v>50840</v>
      </c>
      <c r="R355" s="18">
        <f>N355-O355</f>
        <v>5850.0</v>
      </c>
      <c r="S355" s="18">
        <f>O355-P355</f>
        <v>94210.0</v>
      </c>
      <c r="T355" s="18">
        <f>N355-Q355</f>
        <v>109040.0</v>
      </c>
      <c r="U355" s="36">
        <f>IF(N355&gt;0,Q355/N355,0)</f>
        <v>0.3179884913685264</v>
      </c>
      <c r="V355" s="17" t="s">
        <v>151</v>
      </c>
      <c r="W355" s="35">
        <v>50840</v>
      </c>
      <c r="X355" s="17" t="s">
        <v>151</v>
      </c>
      <c r="Y355" s="17" t="s">
        <v>151</v>
      </c>
      <c r="Z355" s="17" t="s">
        <v>89</v>
      </c>
      <c r="AA355" s="12" t="s">
        <v>99</v>
      </c>
      <c r="AB355" s="12" t="s">
        <v>99</v>
      </c>
      <c r="AC355" s="12" t="s">
        <v>99</v>
      </c>
      <c r="AD355" s="12" t="s">
        <v>99</v>
      </c>
      <c r="AE355" s="12" t="s">
        <v>1077</v>
      </c>
      <c r="AF355" s="12" t="s">
        <v>87</v>
      </c>
      <c r="AG355" s="17" t="s">
        <v>151</v>
      </c>
      <c r="AH355" s="12" t="s">
        <v>1105</v>
      </c>
      <c r="AI355" s="12" t="s">
        <v>89</v>
      </c>
      <c r="AJ355" s="12" t="s">
        <v>89</v>
      </c>
      <c r="AK355" s="12" t="s">
        <v>89</v>
      </c>
      <c r="AL355" s="12" t="s">
        <v>1106</v>
      </c>
      <c r="AM355" s="12" t="s">
        <v>89</v>
      </c>
      <c r="AN355" s="17" t="s">
        <v>87</v>
      </c>
    </row>
    <row r="356" spans="1:40">
      <c r="A356" s="12" t="s">
        <v>74</v>
      </c>
      <c r="B356" s="12" t="s">
        <v>1095</v>
      </c>
      <c r="C356" s="12" t="s">
        <v>1096</v>
      </c>
      <c r="D356" s="12" t="s">
        <v>89</v>
      </c>
      <c r="E356" s="12" t="s">
        <v>1128</v>
      </c>
      <c r="F356" s="12" t="s">
        <v>1312</v>
      </c>
      <c r="G356" s="12" t="s">
        <v>1313</v>
      </c>
      <c r="H356" s="34" t="s">
        <v>1314</v>
      </c>
      <c r="I356" s="12" t="s">
        <v>1103</v>
      </c>
      <c r="J356" s="12" t="s">
        <v>1104</v>
      </c>
      <c r="K356" s="18">
        <v>6749</v>
      </c>
      <c r="L356" s="18">
        <v>17250</v>
      </c>
      <c r="M356" s="12" t="s">
        <v>1103</v>
      </c>
      <c r="N356" s="35">
        <v>159978</v>
      </c>
      <c r="O356" s="35">
        <v>153229</v>
      </c>
      <c r="P356" s="35">
        <v>135979</v>
      </c>
      <c r="Q356" s="35">
        <v>129240</v>
      </c>
      <c r="R356" s="18">
        <f>N356-O356</f>
        <v>6749.0</v>
      </c>
      <c r="S356" s="18">
        <f>O356-P356</f>
        <v>17250.0</v>
      </c>
      <c r="T356" s="18">
        <f>N356-Q356</f>
        <v>30738.0</v>
      </c>
      <c r="U356" s="36">
        <f>IF(N356&gt;0,Q356/N356,0)</f>
        <v>0.8078610808986235</v>
      </c>
      <c r="V356" s="17" t="s">
        <v>151</v>
      </c>
      <c r="W356" s="35">
        <v>129240</v>
      </c>
      <c r="X356" s="17" t="s">
        <v>151</v>
      </c>
      <c r="Y356" s="17" t="s">
        <v>151</v>
      </c>
      <c r="Z356" s="17" t="s">
        <v>89</v>
      </c>
      <c r="AA356" s="12" t="s">
        <v>99</v>
      </c>
      <c r="AB356" s="12" t="s">
        <v>99</v>
      </c>
      <c r="AC356" s="12" t="s">
        <v>99</v>
      </c>
      <c r="AD356" s="12" t="s">
        <v>99</v>
      </c>
      <c r="AE356" s="12" t="s">
        <v>1077</v>
      </c>
      <c r="AF356" s="12" t="s">
        <v>87</v>
      </c>
      <c r="AG356" s="17" t="s">
        <v>151</v>
      </c>
      <c r="AH356" s="12" t="s">
        <v>1105</v>
      </c>
      <c r="AI356" s="12" t="s">
        <v>89</v>
      </c>
      <c r="AJ356" s="12" t="s">
        <v>89</v>
      </c>
      <c r="AK356" s="12" t="s">
        <v>89</v>
      </c>
      <c r="AL356" s="12" t="s">
        <v>1106</v>
      </c>
      <c r="AM356" s="12" t="s">
        <v>89</v>
      </c>
      <c r="AN356" s="17" t="s">
        <v>87</v>
      </c>
    </row>
    <row r="357" spans="1:40">
      <c r="A357" s="12" t="s">
        <v>74</v>
      </c>
      <c r="B357" s="12" t="s">
        <v>1095</v>
      </c>
      <c r="C357" s="12" t="s">
        <v>1096</v>
      </c>
      <c r="D357" s="12" t="s">
        <v>89</v>
      </c>
      <c r="E357" s="12" t="s">
        <v>1128</v>
      </c>
      <c r="F357" s="12" t="s">
        <v>1315</v>
      </c>
      <c r="G357" s="12" t="s">
        <v>1316</v>
      </c>
      <c r="H357" s="34" t="s">
        <v>1317</v>
      </c>
      <c r="I357" s="12" t="s">
        <v>82</v>
      </c>
      <c r="J357" s="12" t="s">
        <v>106</v>
      </c>
      <c r="K357" s="18">
        <v>0</v>
      </c>
      <c r="L357" s="18">
        <v>0</v>
      </c>
      <c r="M357" s="12" t="s">
        <v>126</v>
      </c>
      <c r="N357" s="35">
        <v>44000</v>
      </c>
      <c r="O357" s="35">
        <v>43500</v>
      </c>
      <c r="P357" s="35">
        <v>43500</v>
      </c>
      <c r="Q357" s="35">
        <v>17400</v>
      </c>
      <c r="R357" s="18">
        <f>N357-O357</f>
        <v>500.0</v>
      </c>
      <c r="S357" s="18">
        <f>O357-P357</f>
        <v>0.0</v>
      </c>
      <c r="T357" s="18">
        <f>N357-Q357</f>
        <v>26600.0</v>
      </c>
      <c r="U357" s="36">
        <f>IF(N357&gt;0,Q357/N357,0)</f>
        <v>0.39545454545454545</v>
      </c>
      <c r="V357" s="35">
        <v>14145384.23</v>
      </c>
      <c r="W357" s="35">
        <v>13827562.61</v>
      </c>
      <c r="X357" s="36">
        <v>0.977531778929981</v>
      </c>
      <c r="Y357" s="35">
        <v>44000</v>
      </c>
      <c r="Z357" s="17" t="s">
        <v>113</v>
      </c>
      <c r="AA357" s="35">
        <v>44000</v>
      </c>
      <c r="AB357" s="35">
        <v>291221</v>
      </c>
      <c r="AC357" s="35">
        <v>0</v>
      </c>
      <c r="AD357" s="35">
        <v>0</v>
      </c>
      <c r="AE357" s="12" t="s">
        <v>86</v>
      </c>
      <c r="AF357" s="12" t="s">
        <v>87</v>
      </c>
      <c r="AG357" s="18">
        <v>99.56999999999999</v>
      </c>
      <c r="AH357" s="12" t="s">
        <v>145</v>
      </c>
      <c r="AI357" s="12" t="s">
        <v>89</v>
      </c>
      <c r="AJ357" s="12" t="s">
        <v>89</v>
      </c>
      <c r="AK357" s="12" t="s">
        <v>89</v>
      </c>
      <c r="AL357" s="12" t="s">
        <v>177</v>
      </c>
      <c r="AM357" s="12" t="s">
        <v>91</v>
      </c>
      <c r="AN357" s="17" t="s">
        <v>92</v>
      </c>
    </row>
    <row r="358" spans="1:40">
      <c r="A358" s="12" t="s">
        <v>74</v>
      </c>
      <c r="B358" s="12" t="s">
        <v>1095</v>
      </c>
      <c r="C358" s="12" t="s">
        <v>1096</v>
      </c>
      <c r="D358" s="12" t="s">
        <v>89</v>
      </c>
      <c r="E358" s="12" t="s">
        <v>1128</v>
      </c>
      <c r="F358" s="12" t="s">
        <v>1318</v>
      </c>
      <c r="G358" s="12" t="s">
        <v>1319</v>
      </c>
      <c r="H358" s="34" t="s">
        <v>1320</v>
      </c>
      <c r="I358" s="12" t="s">
        <v>1103</v>
      </c>
      <c r="J358" s="12" t="s">
        <v>1104</v>
      </c>
      <c r="K358" s="18">
        <v>0</v>
      </c>
      <c r="L358" s="18">
        <v>2795</v>
      </c>
      <c r="M358" s="12" t="s">
        <v>1103</v>
      </c>
      <c r="N358" s="35">
        <v>2795</v>
      </c>
      <c r="O358" s="35">
        <v>2795</v>
      </c>
      <c r="P358" s="35">
        <v>0</v>
      </c>
      <c r="Q358" s="35">
        <v>0</v>
      </c>
      <c r="R358" s="18">
        <f>N358-O358</f>
        <v>0.0</v>
      </c>
      <c r="S358" s="18">
        <f>O358-P358</f>
        <v>2795.0</v>
      </c>
      <c r="T358" s="18">
        <f>N358-Q358</f>
        <v>2795.0</v>
      </c>
      <c r="U358" s="36">
        <f>IF(N358&gt;0,Q358/N358,0)</f>
        <v>0.0</v>
      </c>
      <c r="V358" s="17" t="s">
        <v>151</v>
      </c>
      <c r="W358" s="35">
        <v>157742</v>
      </c>
      <c r="X358" s="17" t="s">
        <v>151</v>
      </c>
      <c r="Y358" s="17" t="s">
        <v>151</v>
      </c>
      <c r="Z358" s="17" t="s">
        <v>89</v>
      </c>
      <c r="AA358" s="12" t="s">
        <v>99</v>
      </c>
      <c r="AB358" s="12" t="s">
        <v>99</v>
      </c>
      <c r="AC358" s="12" t="s">
        <v>99</v>
      </c>
      <c r="AD358" s="12" t="s">
        <v>99</v>
      </c>
      <c r="AE358" s="12" t="s">
        <v>1077</v>
      </c>
      <c r="AF358" s="12" t="s">
        <v>87</v>
      </c>
      <c r="AG358" s="17" t="s">
        <v>151</v>
      </c>
      <c r="AH358" s="12" t="s">
        <v>145</v>
      </c>
      <c r="AI358" s="12" t="s">
        <v>89</v>
      </c>
      <c r="AJ358" s="12" t="s">
        <v>89</v>
      </c>
      <c r="AK358" s="12" t="s">
        <v>89</v>
      </c>
      <c r="AL358" s="12" t="s">
        <v>89</v>
      </c>
      <c r="AM358" s="12" t="s">
        <v>89</v>
      </c>
      <c r="AN358" s="17" t="s">
        <v>87</v>
      </c>
    </row>
    <row r="359" spans="1:40">
      <c r="A359" s="12" t="s">
        <v>74</v>
      </c>
      <c r="B359" s="12" t="s">
        <v>1095</v>
      </c>
      <c r="C359" s="12" t="s">
        <v>1096</v>
      </c>
      <c r="D359" s="12" t="s">
        <v>89</v>
      </c>
      <c r="E359" s="12" t="s">
        <v>1321</v>
      </c>
      <c r="F359" s="12" t="s">
        <v>1322</v>
      </c>
      <c r="G359" s="12" t="s">
        <v>1323</v>
      </c>
      <c r="H359" s="34" t="s">
        <v>1324</v>
      </c>
      <c r="I359" s="12" t="s">
        <v>1103</v>
      </c>
      <c r="J359" s="12" t="s">
        <v>1104</v>
      </c>
      <c r="K359" s="18">
        <v>15750</v>
      </c>
      <c r="L359" s="18">
        <v>160000</v>
      </c>
      <c r="M359" s="12" t="s">
        <v>1103</v>
      </c>
      <c r="N359" s="35">
        <v>179500</v>
      </c>
      <c r="O359" s="35">
        <v>163750</v>
      </c>
      <c r="P359" s="35">
        <v>3750</v>
      </c>
      <c r="Q359" s="35">
        <v>3750</v>
      </c>
      <c r="R359" s="18">
        <f>N359-O359</f>
        <v>15750.0</v>
      </c>
      <c r="S359" s="18">
        <f>O359-P359</f>
        <v>160000.0</v>
      </c>
      <c r="T359" s="18">
        <f>N359-Q359</f>
        <v>175750.0</v>
      </c>
      <c r="U359" s="36">
        <f>IF(N359&gt;0,Q359/N359,0)</f>
        <v>0.020891364902506964</v>
      </c>
      <c r="V359" s="17" t="s">
        <v>151</v>
      </c>
      <c r="W359" s="35">
        <v>169450</v>
      </c>
      <c r="X359" s="17" t="s">
        <v>151</v>
      </c>
      <c r="Y359" s="17" t="s">
        <v>151</v>
      </c>
      <c r="Z359" s="17" t="s">
        <v>89</v>
      </c>
      <c r="AA359" s="12" t="s">
        <v>99</v>
      </c>
      <c r="AB359" s="12" t="s">
        <v>99</v>
      </c>
      <c r="AC359" s="12" t="s">
        <v>99</v>
      </c>
      <c r="AD359" s="12" t="s">
        <v>99</v>
      </c>
      <c r="AE359" s="12" t="s">
        <v>1077</v>
      </c>
      <c r="AF359" s="12" t="s">
        <v>87</v>
      </c>
      <c r="AG359" s="17" t="s">
        <v>151</v>
      </c>
      <c r="AH359" s="12" t="s">
        <v>1105</v>
      </c>
      <c r="AI359" s="12" t="s">
        <v>89</v>
      </c>
      <c r="AJ359" s="12" t="s">
        <v>89</v>
      </c>
      <c r="AK359" s="12" t="s">
        <v>89</v>
      </c>
      <c r="AL359" s="12" t="s">
        <v>1106</v>
      </c>
      <c r="AM359" s="12" t="s">
        <v>89</v>
      </c>
      <c r="AN359" s="17" t="s">
        <v>87</v>
      </c>
    </row>
    <row r="360" spans="1:40">
      <c r="A360" s="12" t="s">
        <v>74</v>
      </c>
      <c r="B360" s="12" t="s">
        <v>1095</v>
      </c>
      <c r="C360" s="12" t="s">
        <v>1096</v>
      </c>
      <c r="D360" s="12" t="s">
        <v>89</v>
      </c>
      <c r="E360" s="12" t="s">
        <v>1321</v>
      </c>
      <c r="F360" s="12" t="s">
        <v>1325</v>
      </c>
      <c r="G360" s="12" t="s">
        <v>1326</v>
      </c>
      <c r="H360" s="34" t="s">
        <v>1327</v>
      </c>
      <c r="I360" s="12" t="s">
        <v>1103</v>
      </c>
      <c r="J360" s="12" t="s">
        <v>1104</v>
      </c>
      <c r="K360" s="18">
        <v>8294</v>
      </c>
      <c r="L360" s="18">
        <v>6300</v>
      </c>
      <c r="M360" s="12" t="s">
        <v>1103</v>
      </c>
      <c r="N360" s="35">
        <v>175166</v>
      </c>
      <c r="O360" s="35">
        <v>166872</v>
      </c>
      <c r="P360" s="35">
        <v>160572</v>
      </c>
      <c r="Q360" s="35">
        <v>5872</v>
      </c>
      <c r="R360" s="18">
        <f>N360-O360</f>
        <v>8294.0</v>
      </c>
      <c r="S360" s="18">
        <f>O360-P360</f>
        <v>6300.0</v>
      </c>
      <c r="T360" s="18">
        <f>N360-Q360</f>
        <v>169294.0</v>
      </c>
      <c r="U360" s="36">
        <f>IF(N360&gt;0,Q360/N360,0)</f>
        <v>0.03352248724067456</v>
      </c>
      <c r="V360" s="17" t="s">
        <v>151</v>
      </c>
      <c r="W360" s="35">
        <v>180449</v>
      </c>
      <c r="X360" s="17" t="s">
        <v>151</v>
      </c>
      <c r="Y360" s="17" t="s">
        <v>151</v>
      </c>
      <c r="Z360" s="17" t="s">
        <v>89</v>
      </c>
      <c r="AA360" s="12" t="s">
        <v>99</v>
      </c>
      <c r="AB360" s="12" t="s">
        <v>99</v>
      </c>
      <c r="AC360" s="12" t="s">
        <v>99</v>
      </c>
      <c r="AD360" s="12" t="s">
        <v>99</v>
      </c>
      <c r="AE360" s="12" t="s">
        <v>1077</v>
      </c>
      <c r="AF360" s="12" t="s">
        <v>87</v>
      </c>
      <c r="AG360" s="17" t="s">
        <v>151</v>
      </c>
      <c r="AH360" s="12" t="s">
        <v>1105</v>
      </c>
      <c r="AI360" s="12" t="s">
        <v>89</v>
      </c>
      <c r="AJ360" s="12" t="s">
        <v>89</v>
      </c>
      <c r="AK360" s="12" t="s">
        <v>89</v>
      </c>
      <c r="AL360" s="12" t="s">
        <v>1106</v>
      </c>
      <c r="AM360" s="12" t="s">
        <v>89</v>
      </c>
      <c r="AN360" s="17" t="s">
        <v>87</v>
      </c>
    </row>
    <row r="361" spans="1:40">
      <c r="A361" s="12" t="s">
        <v>74</v>
      </c>
      <c r="B361" s="12" t="s">
        <v>1095</v>
      </c>
      <c r="C361" s="12" t="s">
        <v>1096</v>
      </c>
      <c r="D361" s="12" t="s">
        <v>89</v>
      </c>
      <c r="E361" s="12" t="s">
        <v>1321</v>
      </c>
      <c r="F361" s="12" t="s">
        <v>1328</v>
      </c>
      <c r="G361" s="12" t="s">
        <v>1329</v>
      </c>
      <c r="H361" s="34" t="s">
        <v>1330</v>
      </c>
      <c r="I361" s="12" t="s">
        <v>1103</v>
      </c>
      <c r="J361" s="12" t="s">
        <v>1104</v>
      </c>
      <c r="K361" s="18">
        <v>23958.66999999998</v>
      </c>
      <c r="L361" s="18">
        <v>308833.33</v>
      </c>
      <c r="M361" s="12" t="s">
        <v>1103</v>
      </c>
      <c r="N361" s="35">
        <v>349792</v>
      </c>
      <c r="O361" s="35">
        <v>325833.33</v>
      </c>
      <c r="P361" s="35">
        <v>17000</v>
      </c>
      <c r="Q361" s="35">
        <v>0</v>
      </c>
      <c r="R361" s="18">
        <f>N361-O361</f>
        <v>23958.669999999984</v>
      </c>
      <c r="S361" s="18">
        <f>O361-P361</f>
        <v>308833.33</v>
      </c>
      <c r="T361" s="18">
        <f>N361-Q361</f>
        <v>349792.0</v>
      </c>
      <c r="U361" s="36">
        <f>IF(N361&gt;0,Q361/N361,0)</f>
        <v>0.0</v>
      </c>
      <c r="V361" s="17" t="s">
        <v>151</v>
      </c>
      <c r="W361" s="35">
        <v>0</v>
      </c>
      <c r="X361" s="17" t="s">
        <v>151</v>
      </c>
      <c r="Y361" s="17" t="s">
        <v>151</v>
      </c>
      <c r="Z361" s="17" t="s">
        <v>89</v>
      </c>
      <c r="AA361" s="12" t="s">
        <v>99</v>
      </c>
      <c r="AB361" s="12" t="s">
        <v>99</v>
      </c>
      <c r="AC361" s="12" t="s">
        <v>99</v>
      </c>
      <c r="AD361" s="12" t="s">
        <v>99</v>
      </c>
      <c r="AE361" s="12" t="s">
        <v>1077</v>
      </c>
      <c r="AF361" s="12" t="s">
        <v>87</v>
      </c>
      <c r="AG361" s="17" t="s">
        <v>151</v>
      </c>
      <c r="AH361" s="12" t="s">
        <v>1105</v>
      </c>
      <c r="AI361" s="12" t="s">
        <v>89</v>
      </c>
      <c r="AJ361" s="12" t="s">
        <v>89</v>
      </c>
      <c r="AK361" s="12" t="s">
        <v>89</v>
      </c>
      <c r="AL361" s="12" t="s">
        <v>1106</v>
      </c>
      <c r="AM361" s="12" t="s">
        <v>89</v>
      </c>
      <c r="AN361" s="17" t="s">
        <v>87</v>
      </c>
    </row>
    <row r="362" spans="1:40">
      <c r="A362" s="12" t="s">
        <v>74</v>
      </c>
      <c r="B362" s="12" t="s">
        <v>1095</v>
      </c>
      <c r="C362" s="12" t="s">
        <v>1096</v>
      </c>
      <c r="D362" s="12" t="s">
        <v>89</v>
      </c>
      <c r="E362" s="12" t="s">
        <v>1321</v>
      </c>
      <c r="F362" s="12" t="s">
        <v>1331</v>
      </c>
      <c r="G362" s="12" t="s">
        <v>1332</v>
      </c>
      <c r="H362" s="34" t="s">
        <v>1333</v>
      </c>
      <c r="I362" s="12" t="s">
        <v>1103</v>
      </c>
      <c r="J362" s="12" t="s">
        <v>1104</v>
      </c>
      <c r="K362" s="18">
        <v>112484.66</v>
      </c>
      <c r="L362" s="18">
        <v>205833.34</v>
      </c>
      <c r="M362" s="12" t="s">
        <v>1103</v>
      </c>
      <c r="N362" s="35">
        <v>349668</v>
      </c>
      <c r="O362" s="35">
        <v>237183.34</v>
      </c>
      <c r="P362" s="35">
        <v>31350</v>
      </c>
      <c r="Q362" s="35">
        <v>20700</v>
      </c>
      <c r="R362" s="18">
        <f>N362-O362</f>
        <v>112484.66</v>
      </c>
      <c r="S362" s="18">
        <f>O362-P362</f>
        <v>205833.34</v>
      </c>
      <c r="T362" s="18">
        <f>N362-Q362</f>
        <v>328968.0</v>
      </c>
      <c r="U362" s="36">
        <f>IF(N362&gt;0,Q362/N362,0)</f>
        <v>0.05919901163389272</v>
      </c>
      <c r="V362" s="17" t="s">
        <v>151</v>
      </c>
      <c r="W362" s="35">
        <v>20700</v>
      </c>
      <c r="X362" s="17" t="s">
        <v>151</v>
      </c>
      <c r="Y362" s="17" t="s">
        <v>151</v>
      </c>
      <c r="Z362" s="17" t="s">
        <v>89</v>
      </c>
      <c r="AA362" s="12" t="s">
        <v>99</v>
      </c>
      <c r="AB362" s="12" t="s">
        <v>99</v>
      </c>
      <c r="AC362" s="12" t="s">
        <v>99</v>
      </c>
      <c r="AD362" s="12" t="s">
        <v>99</v>
      </c>
      <c r="AE362" s="12" t="s">
        <v>1077</v>
      </c>
      <c r="AF362" s="12" t="s">
        <v>87</v>
      </c>
      <c r="AG362" s="17" t="s">
        <v>151</v>
      </c>
      <c r="AH362" s="12" t="s">
        <v>1105</v>
      </c>
      <c r="AI362" s="12" t="s">
        <v>89</v>
      </c>
      <c r="AJ362" s="12" t="s">
        <v>89</v>
      </c>
      <c r="AK362" s="12" t="s">
        <v>89</v>
      </c>
      <c r="AL362" s="12" t="s">
        <v>1106</v>
      </c>
      <c r="AM362" s="12" t="s">
        <v>89</v>
      </c>
      <c r="AN362" s="17" t="s">
        <v>87</v>
      </c>
    </row>
    <row r="363" spans="1:40">
      <c r="A363" s="12" t="s">
        <v>74</v>
      </c>
      <c r="B363" s="12" t="s">
        <v>1095</v>
      </c>
      <c r="C363" s="12" t="s">
        <v>1096</v>
      </c>
      <c r="D363" s="12" t="s">
        <v>89</v>
      </c>
      <c r="E363" s="12" t="s">
        <v>1334</v>
      </c>
      <c r="F363" s="12" t="s">
        <v>1335</v>
      </c>
      <c r="G363" s="12" t="s">
        <v>1336</v>
      </c>
      <c r="H363" s="34" t="s">
        <v>1337</v>
      </c>
      <c r="I363" s="12" t="s">
        <v>1103</v>
      </c>
      <c r="J363" s="12" t="s">
        <v>106</v>
      </c>
      <c r="K363" s="18">
        <v>0</v>
      </c>
      <c r="L363" s="18">
        <v>0</v>
      </c>
      <c r="M363" s="12" t="s">
        <v>121</v>
      </c>
      <c r="N363" s="35">
        <v>5365</v>
      </c>
      <c r="O363" s="35">
        <v>5364</v>
      </c>
      <c r="P363" s="35">
        <v>5364</v>
      </c>
      <c r="Q363" s="35">
        <v>5364</v>
      </c>
      <c r="R363" s="18">
        <f>N363-O363</f>
        <v>1.0</v>
      </c>
      <c r="S363" s="18">
        <f>O363-P363</f>
        <v>0.0</v>
      </c>
      <c r="T363" s="18">
        <f>N363-Q363</f>
        <v>1.0</v>
      </c>
      <c r="U363" s="36">
        <f>IF(N363&gt;0,Q363/N363,0)</f>
        <v>0.9998136067101584</v>
      </c>
      <c r="V363" s="17" t="s">
        <v>151</v>
      </c>
      <c r="W363" s="35">
        <v>158204</v>
      </c>
      <c r="X363" s="17" t="s">
        <v>151</v>
      </c>
      <c r="Y363" s="17" t="s">
        <v>151</v>
      </c>
      <c r="Z363" s="17" t="s">
        <v>89</v>
      </c>
      <c r="AA363" s="12" t="s">
        <v>99</v>
      </c>
      <c r="AB363" s="12" t="s">
        <v>99</v>
      </c>
      <c r="AC363" s="12" t="s">
        <v>99</v>
      </c>
      <c r="AD363" s="12" t="s">
        <v>99</v>
      </c>
      <c r="AE363" s="12" t="s">
        <v>1077</v>
      </c>
      <c r="AF363" s="12" t="s">
        <v>87</v>
      </c>
      <c r="AG363" s="17" t="s">
        <v>151</v>
      </c>
      <c r="AH363" s="12" t="s">
        <v>145</v>
      </c>
      <c r="AI363" s="12" t="s">
        <v>89</v>
      </c>
      <c r="AJ363" s="12" t="s">
        <v>89</v>
      </c>
      <c r="AK363" s="12" t="s">
        <v>89</v>
      </c>
      <c r="AL363" s="12" t="s">
        <v>1106</v>
      </c>
      <c r="AM363" s="12" t="s">
        <v>89</v>
      </c>
      <c r="AN363" s="17" t="s">
        <v>87</v>
      </c>
    </row>
    <row r="364" spans="1:40">
      <c r="A364" s="12" t="s">
        <v>74</v>
      </c>
      <c r="B364" s="12" t="s">
        <v>1095</v>
      </c>
      <c r="C364" s="12" t="s">
        <v>1096</v>
      </c>
      <c r="D364" s="12" t="s">
        <v>89</v>
      </c>
      <c r="E364" s="12" t="s">
        <v>1334</v>
      </c>
      <c r="F364" s="12" t="s">
        <v>1338</v>
      </c>
      <c r="G364" s="12" t="s">
        <v>1339</v>
      </c>
      <c r="H364" s="34" t="s">
        <v>1340</v>
      </c>
      <c r="I364" s="12" t="s">
        <v>1103</v>
      </c>
      <c r="J364" s="12" t="s">
        <v>1104</v>
      </c>
      <c r="K364" s="18">
        <v>20990</v>
      </c>
      <c r="L364" s="18">
        <v>1020</v>
      </c>
      <c r="M364" s="12" t="s">
        <v>1103</v>
      </c>
      <c r="N364" s="35">
        <v>335890</v>
      </c>
      <c r="O364" s="35">
        <v>314900</v>
      </c>
      <c r="P364" s="35">
        <v>313880</v>
      </c>
      <c r="Q364" s="35">
        <v>0</v>
      </c>
      <c r="R364" s="18">
        <f>N364-O364</f>
        <v>20990.0</v>
      </c>
      <c r="S364" s="18">
        <f>O364-P364</f>
        <v>1020.0</v>
      </c>
      <c r="T364" s="18">
        <f>N364-Q364</f>
        <v>335890.0</v>
      </c>
      <c r="U364" s="36">
        <f>IF(N364&gt;0,Q364/N364,0)</f>
        <v>0.0</v>
      </c>
      <c r="V364" s="17" t="s">
        <v>151</v>
      </c>
      <c r="W364" s="35">
        <v>10500</v>
      </c>
      <c r="X364" s="17" t="s">
        <v>151</v>
      </c>
      <c r="Y364" s="17" t="s">
        <v>151</v>
      </c>
      <c r="Z364" s="17" t="s">
        <v>89</v>
      </c>
      <c r="AA364" s="12" t="s">
        <v>99</v>
      </c>
      <c r="AB364" s="12" t="s">
        <v>99</v>
      </c>
      <c r="AC364" s="12" t="s">
        <v>99</v>
      </c>
      <c r="AD364" s="12" t="s">
        <v>99</v>
      </c>
      <c r="AE364" s="12" t="s">
        <v>1077</v>
      </c>
      <c r="AF364" s="12" t="s">
        <v>87</v>
      </c>
      <c r="AG364" s="17" t="s">
        <v>151</v>
      </c>
      <c r="AH364" s="12" t="s">
        <v>1105</v>
      </c>
      <c r="AI364" s="12" t="s">
        <v>89</v>
      </c>
      <c r="AJ364" s="12" t="s">
        <v>89</v>
      </c>
      <c r="AK364" s="12" t="s">
        <v>89</v>
      </c>
      <c r="AL364" s="12" t="s">
        <v>1106</v>
      </c>
      <c r="AM364" s="12" t="s">
        <v>89</v>
      </c>
      <c r="AN364" s="17" t="s">
        <v>87</v>
      </c>
    </row>
    <row r="365" spans="1:40">
      <c r="A365" s="12" t="s">
        <v>74</v>
      </c>
      <c r="B365" s="12" t="s">
        <v>1095</v>
      </c>
      <c r="C365" s="12" t="s">
        <v>1096</v>
      </c>
      <c r="D365" s="12" t="s">
        <v>89</v>
      </c>
      <c r="E365" s="12" t="s">
        <v>1334</v>
      </c>
      <c r="F365" s="12" t="s">
        <v>1341</v>
      </c>
      <c r="G365" s="12" t="s">
        <v>1342</v>
      </c>
      <c r="H365" s="34" t="s">
        <v>1343</v>
      </c>
      <c r="I365" s="12" t="s">
        <v>1103</v>
      </c>
      <c r="J365" s="12" t="s">
        <v>106</v>
      </c>
      <c r="K365" s="18">
        <v>0</v>
      </c>
      <c r="L365" s="18">
        <v>0</v>
      </c>
      <c r="M365" s="12" t="s">
        <v>121</v>
      </c>
      <c r="N365" s="35">
        <v>157066</v>
      </c>
      <c r="O365" s="35">
        <v>157066</v>
      </c>
      <c r="P365" s="35">
        <v>157066</v>
      </c>
      <c r="Q365" s="35">
        <v>157066</v>
      </c>
      <c r="R365" s="18">
        <f>N365-O365</f>
        <v>0.0</v>
      </c>
      <c r="S365" s="18">
        <f>O365-P365</f>
        <v>0.0</v>
      </c>
      <c r="T365" s="18">
        <f>N365-Q365</f>
        <v>0.0</v>
      </c>
      <c r="U365" s="36">
        <f>IF(N365&gt;0,Q365/N365,0)</f>
        <v>1.0</v>
      </c>
      <c r="V365" s="17" t="s">
        <v>151</v>
      </c>
      <c r="W365" s="35">
        <v>340164</v>
      </c>
      <c r="X365" s="17" t="s">
        <v>151</v>
      </c>
      <c r="Y365" s="17" t="s">
        <v>151</v>
      </c>
      <c r="Z365" s="17" t="s">
        <v>89</v>
      </c>
      <c r="AA365" s="12" t="s">
        <v>99</v>
      </c>
      <c r="AB365" s="12" t="s">
        <v>99</v>
      </c>
      <c r="AC365" s="12" t="s">
        <v>99</v>
      </c>
      <c r="AD365" s="12" t="s">
        <v>99</v>
      </c>
      <c r="AE365" s="12" t="s">
        <v>1077</v>
      </c>
      <c r="AF365" s="12" t="s">
        <v>87</v>
      </c>
      <c r="AG365" s="17" t="s">
        <v>151</v>
      </c>
      <c r="AH365" s="12" t="s">
        <v>1105</v>
      </c>
      <c r="AI365" s="12" t="s">
        <v>89</v>
      </c>
      <c r="AJ365" s="12" t="s">
        <v>89</v>
      </c>
      <c r="AK365" s="12" t="s">
        <v>89</v>
      </c>
      <c r="AL365" s="12" t="s">
        <v>1106</v>
      </c>
      <c r="AM365" s="12" t="s">
        <v>89</v>
      </c>
      <c r="AN365" s="17" t="s">
        <v>87</v>
      </c>
    </row>
    <row r="366" spans="1:40">
      <c r="A366" s="12" t="s">
        <v>74</v>
      </c>
      <c r="B366" s="12" t="s">
        <v>1095</v>
      </c>
      <c r="C366" s="12" t="s">
        <v>1096</v>
      </c>
      <c r="D366" s="12" t="s">
        <v>89</v>
      </c>
      <c r="E366" s="12" t="s">
        <v>1334</v>
      </c>
      <c r="F366" s="12" t="s">
        <v>1344</v>
      </c>
      <c r="G366" s="12" t="s">
        <v>1345</v>
      </c>
      <c r="H366" s="34" t="s">
        <v>1346</v>
      </c>
      <c r="I366" s="12" t="s">
        <v>1103</v>
      </c>
      <c r="J366" s="12" t="s">
        <v>106</v>
      </c>
      <c r="K366" s="18">
        <v>0</v>
      </c>
      <c r="L366" s="18">
        <v>0</v>
      </c>
      <c r="M366" s="12" t="s">
        <v>121</v>
      </c>
      <c r="N366" s="35">
        <v>159345</v>
      </c>
      <c r="O366" s="35">
        <v>150543</v>
      </c>
      <c r="P366" s="35">
        <v>150263</v>
      </c>
      <c r="Q366" s="35">
        <v>150263</v>
      </c>
      <c r="R366" s="18">
        <f>N366-O366</f>
        <v>8802.0</v>
      </c>
      <c r="S366" s="18">
        <f>O366-P366</f>
        <v>280.0</v>
      </c>
      <c r="T366" s="18">
        <f>N366-Q366</f>
        <v>9082.0</v>
      </c>
      <c r="U366" s="36">
        <f>IF(N366&gt;0,Q366/N366,0)</f>
        <v>0.9430041733345885</v>
      </c>
      <c r="V366" s="17" t="s">
        <v>151</v>
      </c>
      <c r="W366" s="35">
        <v>150263</v>
      </c>
      <c r="X366" s="17" t="s">
        <v>151</v>
      </c>
      <c r="Y366" s="17" t="s">
        <v>151</v>
      </c>
      <c r="Z366" s="17" t="s">
        <v>89</v>
      </c>
      <c r="AA366" s="12" t="s">
        <v>99</v>
      </c>
      <c r="AB366" s="12" t="s">
        <v>99</v>
      </c>
      <c r="AC366" s="12" t="s">
        <v>99</v>
      </c>
      <c r="AD366" s="12" t="s">
        <v>99</v>
      </c>
      <c r="AE366" s="12" t="s">
        <v>1077</v>
      </c>
      <c r="AF366" s="12" t="s">
        <v>87</v>
      </c>
      <c r="AG366" s="17" t="s">
        <v>151</v>
      </c>
      <c r="AH366" s="12" t="s">
        <v>1105</v>
      </c>
      <c r="AI366" s="12" t="s">
        <v>89</v>
      </c>
      <c r="AJ366" s="12" t="s">
        <v>89</v>
      </c>
      <c r="AK366" s="12" t="s">
        <v>89</v>
      </c>
      <c r="AL366" s="12" t="s">
        <v>1106</v>
      </c>
      <c r="AM366" s="12" t="s">
        <v>89</v>
      </c>
      <c r="AN366" s="17" t="s">
        <v>87</v>
      </c>
    </row>
    <row r="367" spans="1:40">
      <c r="A367" s="12" t="s">
        <v>74</v>
      </c>
      <c r="B367" s="12" t="s">
        <v>1095</v>
      </c>
      <c r="C367" s="12" t="s">
        <v>1096</v>
      </c>
      <c r="D367" s="12" t="s">
        <v>89</v>
      </c>
      <c r="E367" s="12" t="s">
        <v>1334</v>
      </c>
      <c r="F367" s="12" t="s">
        <v>1347</v>
      </c>
      <c r="G367" s="12" t="s">
        <v>1348</v>
      </c>
      <c r="H367" s="34" t="s">
        <v>1349</v>
      </c>
      <c r="I367" s="12" t="s">
        <v>1103</v>
      </c>
      <c r="J367" s="12" t="s">
        <v>1104</v>
      </c>
      <c r="K367" s="18">
        <v>14203</v>
      </c>
      <c r="L367" s="18">
        <v>0</v>
      </c>
      <c r="M367" s="12" t="s">
        <v>1103</v>
      </c>
      <c r="N367" s="35">
        <v>160000</v>
      </c>
      <c r="O367" s="35">
        <v>145797</v>
      </c>
      <c r="P367" s="35">
        <v>145797</v>
      </c>
      <c r="Q367" s="35">
        <v>139797</v>
      </c>
      <c r="R367" s="18">
        <f>N367-O367</f>
        <v>14203.0</v>
      </c>
      <c r="S367" s="18">
        <f>O367-P367</f>
        <v>0.0</v>
      </c>
      <c r="T367" s="18">
        <f>N367-Q367</f>
        <v>20203.0</v>
      </c>
      <c r="U367" s="36">
        <f>IF(N367&gt;0,Q367/N367,0)</f>
        <v>0.87373125</v>
      </c>
      <c r="V367" s="17" t="s">
        <v>151</v>
      </c>
      <c r="W367" s="35">
        <v>139797</v>
      </c>
      <c r="X367" s="17" t="s">
        <v>151</v>
      </c>
      <c r="Y367" s="17" t="s">
        <v>151</v>
      </c>
      <c r="Z367" s="17" t="s">
        <v>89</v>
      </c>
      <c r="AA367" s="12" t="s">
        <v>99</v>
      </c>
      <c r="AB367" s="12" t="s">
        <v>99</v>
      </c>
      <c r="AC367" s="12" t="s">
        <v>99</v>
      </c>
      <c r="AD367" s="12" t="s">
        <v>99</v>
      </c>
      <c r="AE367" s="12" t="s">
        <v>1077</v>
      </c>
      <c r="AF367" s="12" t="s">
        <v>87</v>
      </c>
      <c r="AG367" s="17" t="s">
        <v>151</v>
      </c>
      <c r="AH367" s="12" t="s">
        <v>1105</v>
      </c>
      <c r="AI367" s="12" t="s">
        <v>89</v>
      </c>
      <c r="AJ367" s="12" t="s">
        <v>89</v>
      </c>
      <c r="AK367" s="12" t="s">
        <v>89</v>
      </c>
      <c r="AL367" s="12" t="s">
        <v>1106</v>
      </c>
      <c r="AM367" s="12" t="s">
        <v>89</v>
      </c>
      <c r="AN367" s="17" t="s">
        <v>87</v>
      </c>
    </row>
    <row r="368" spans="1:40">
      <c r="A368" s="12" t="s">
        <v>74</v>
      </c>
      <c r="B368" s="12" t="s">
        <v>1095</v>
      </c>
      <c r="C368" s="12" t="s">
        <v>1096</v>
      </c>
      <c r="D368" s="12" t="s">
        <v>89</v>
      </c>
      <c r="E368" s="12" t="s">
        <v>1334</v>
      </c>
      <c r="F368" s="12" t="s">
        <v>1350</v>
      </c>
      <c r="G368" s="12" t="s">
        <v>1351</v>
      </c>
      <c r="H368" s="34" t="s">
        <v>1352</v>
      </c>
      <c r="I368" s="12" t="s">
        <v>1103</v>
      </c>
      <c r="J368" s="12" t="s">
        <v>1104</v>
      </c>
      <c r="K368" s="18">
        <v>25860</v>
      </c>
      <c r="L368" s="18">
        <v>85900</v>
      </c>
      <c r="M368" s="12" t="s">
        <v>1103</v>
      </c>
      <c r="N368" s="35">
        <v>141150</v>
      </c>
      <c r="O368" s="35">
        <v>115290</v>
      </c>
      <c r="P368" s="35">
        <v>29390</v>
      </c>
      <c r="Q368" s="35">
        <v>0</v>
      </c>
      <c r="R368" s="18">
        <f>N368-O368</f>
        <v>25860.0</v>
      </c>
      <c r="S368" s="18">
        <f>O368-P368</f>
        <v>85900.0</v>
      </c>
      <c r="T368" s="18">
        <f>N368-Q368</f>
        <v>141150.0</v>
      </c>
      <c r="U368" s="36">
        <f>IF(N368&gt;0,Q368/N368,0)</f>
        <v>0.0</v>
      </c>
      <c r="V368" s="17" t="s">
        <v>151</v>
      </c>
      <c r="W368" s="35">
        <v>0</v>
      </c>
      <c r="X368" s="17" t="s">
        <v>151</v>
      </c>
      <c r="Y368" s="17" t="s">
        <v>151</v>
      </c>
      <c r="Z368" s="17" t="s">
        <v>89</v>
      </c>
      <c r="AA368" s="12" t="s">
        <v>99</v>
      </c>
      <c r="AB368" s="12" t="s">
        <v>99</v>
      </c>
      <c r="AC368" s="12" t="s">
        <v>99</v>
      </c>
      <c r="AD368" s="12" t="s">
        <v>99</v>
      </c>
      <c r="AE368" s="12" t="s">
        <v>1077</v>
      </c>
      <c r="AF368" s="12" t="s">
        <v>87</v>
      </c>
      <c r="AG368" s="17" t="s">
        <v>151</v>
      </c>
      <c r="AH368" s="12" t="s">
        <v>1105</v>
      </c>
      <c r="AI368" s="12" t="s">
        <v>89</v>
      </c>
      <c r="AJ368" s="12" t="s">
        <v>89</v>
      </c>
      <c r="AK368" s="12" t="s">
        <v>89</v>
      </c>
      <c r="AL368" s="12" t="s">
        <v>1106</v>
      </c>
      <c r="AM368" s="12" t="s">
        <v>89</v>
      </c>
      <c r="AN368" s="17" t="s">
        <v>87</v>
      </c>
    </row>
    <row r="369" spans="1:40">
      <c r="A369" s="12" t="s">
        <v>74</v>
      </c>
      <c r="B369" s="12" t="s">
        <v>1095</v>
      </c>
      <c r="C369" s="12" t="s">
        <v>1096</v>
      </c>
      <c r="D369" s="12" t="s">
        <v>89</v>
      </c>
      <c r="E369" s="12" t="s">
        <v>1334</v>
      </c>
      <c r="F369" s="12" t="s">
        <v>1353</v>
      </c>
      <c r="G369" s="12" t="s">
        <v>1354</v>
      </c>
      <c r="H369" s="34" t="s">
        <v>1355</v>
      </c>
      <c r="I369" s="12" t="s">
        <v>1103</v>
      </c>
      <c r="J369" s="12" t="s">
        <v>1104</v>
      </c>
      <c r="K369" s="18">
        <v>29880</v>
      </c>
      <c r="L369" s="18">
        <v>234000</v>
      </c>
      <c r="M369" s="12" t="s">
        <v>1103</v>
      </c>
      <c r="N369" s="35">
        <v>350000</v>
      </c>
      <c r="O369" s="35">
        <v>320120</v>
      </c>
      <c r="P369" s="35">
        <v>86120</v>
      </c>
      <c r="Q369" s="35">
        <v>86120</v>
      </c>
      <c r="R369" s="18">
        <f>N369-O369</f>
        <v>29880.0</v>
      </c>
      <c r="S369" s="18">
        <f>O369-P369</f>
        <v>234000.0</v>
      </c>
      <c r="T369" s="18">
        <f>N369-Q369</f>
        <v>263880.0</v>
      </c>
      <c r="U369" s="36">
        <f>IF(N369&gt;0,Q369/N369,0)</f>
        <v>0.24605714285714286</v>
      </c>
      <c r="V369" s="17" t="s">
        <v>151</v>
      </c>
      <c r="W369" s="35">
        <v>86120</v>
      </c>
      <c r="X369" s="17" t="s">
        <v>151</v>
      </c>
      <c r="Y369" s="17" t="s">
        <v>151</v>
      </c>
      <c r="Z369" s="17" t="s">
        <v>89</v>
      </c>
      <c r="AA369" s="12" t="s">
        <v>99</v>
      </c>
      <c r="AB369" s="12" t="s">
        <v>99</v>
      </c>
      <c r="AC369" s="12" t="s">
        <v>99</v>
      </c>
      <c r="AD369" s="12" t="s">
        <v>99</v>
      </c>
      <c r="AE369" s="12" t="s">
        <v>1077</v>
      </c>
      <c r="AF369" s="12" t="s">
        <v>87</v>
      </c>
      <c r="AG369" s="17" t="s">
        <v>151</v>
      </c>
      <c r="AH369" s="12" t="s">
        <v>1105</v>
      </c>
      <c r="AI369" s="12" t="s">
        <v>89</v>
      </c>
      <c r="AJ369" s="12" t="s">
        <v>89</v>
      </c>
      <c r="AK369" s="12" t="s">
        <v>89</v>
      </c>
      <c r="AL369" s="12" t="s">
        <v>1106</v>
      </c>
      <c r="AM369" s="12" t="s">
        <v>89</v>
      </c>
      <c r="AN369" s="17" t="s">
        <v>87</v>
      </c>
    </row>
    <row r="370" spans="1:40">
      <c r="A370" s="12" t="s">
        <v>74</v>
      </c>
      <c r="B370" s="12" t="s">
        <v>1095</v>
      </c>
      <c r="C370" s="12" t="s">
        <v>1356</v>
      </c>
      <c r="D370" s="12" t="s">
        <v>89</v>
      </c>
      <c r="E370" s="12" t="s">
        <v>1357</v>
      </c>
      <c r="F370" s="12" t="s">
        <v>1358</v>
      </c>
      <c r="G370" s="12" t="s">
        <v>1359</v>
      </c>
      <c r="H370" s="34" t="s">
        <v>1360</v>
      </c>
      <c r="I370" s="12" t="s">
        <v>82</v>
      </c>
      <c r="J370" s="12" t="s">
        <v>83</v>
      </c>
      <c r="K370" s="18">
        <v>0</v>
      </c>
      <c r="L370" s="18">
        <v>0</v>
      </c>
      <c r="M370" s="12" t="s">
        <v>84</v>
      </c>
      <c r="N370" s="35">
        <v>10918999</v>
      </c>
      <c r="O370" s="35">
        <v>10081158.89</v>
      </c>
      <c r="P370" s="35">
        <v>10081158.89</v>
      </c>
      <c r="Q370" s="35">
        <v>5853517.839999999</v>
      </c>
      <c r="R370" s="18">
        <f>N370-O370</f>
        <v>837840.1099999994</v>
      </c>
      <c r="S370" s="18">
        <f>O370-P370</f>
        <v>1.862645149230957e-09</v>
      </c>
      <c r="T370" s="18">
        <f>N370-Q370</f>
        <v>5065481.160000001</v>
      </c>
      <c r="U370" s="36">
        <f>IF(N370&gt;0,Q370/N370,0)</f>
        <v>0.5360855734119949</v>
      </c>
      <c r="V370" s="35">
        <v>80710511.34999999</v>
      </c>
      <c r="W370" s="35">
        <v>58673790.04</v>
      </c>
      <c r="X370" s="36">
        <v>0.7269659064054487</v>
      </c>
      <c r="Y370" s="35">
        <v>10918999</v>
      </c>
      <c r="Z370" s="17" t="s">
        <v>333</v>
      </c>
      <c r="AA370" s="35">
        <v>10517000</v>
      </c>
      <c r="AB370" s="35">
        <v>7783178</v>
      </c>
      <c r="AC370" s="35">
        <v>1598000</v>
      </c>
      <c r="AD370" s="35">
        <v>2000000</v>
      </c>
      <c r="AE370" s="12" t="s">
        <v>86</v>
      </c>
      <c r="AF370" s="12" t="s">
        <v>87</v>
      </c>
      <c r="AG370" s="18">
        <v>71.95999999999999</v>
      </c>
      <c r="AH370" s="12" t="s">
        <v>109</v>
      </c>
      <c r="AI370" s="12" t="s">
        <v>89</v>
      </c>
      <c r="AJ370" s="12" t="s">
        <v>89</v>
      </c>
      <c r="AK370" s="12" t="s">
        <v>89</v>
      </c>
      <c r="AL370" s="12" t="s">
        <v>1361</v>
      </c>
      <c r="AM370" s="12" t="s">
        <v>91</v>
      </c>
      <c r="AN370" s="17" t="s">
        <v>92</v>
      </c>
    </row>
    <row r="371" spans="1:40">
      <c r="A371" s="12" t="s">
        <v>74</v>
      </c>
      <c r="B371" s="12" t="s">
        <v>1095</v>
      </c>
      <c r="C371" s="12" t="s">
        <v>1356</v>
      </c>
      <c r="D371" s="12" t="s">
        <v>89</v>
      </c>
      <c r="E371" s="12" t="s">
        <v>1357</v>
      </c>
      <c r="F371" s="12" t="s">
        <v>1362</v>
      </c>
      <c r="G371" s="12" t="s">
        <v>1363</v>
      </c>
      <c r="H371" s="34" t="s">
        <v>1364</v>
      </c>
      <c r="I371" s="12" t="s">
        <v>82</v>
      </c>
      <c r="J371" s="12" t="s">
        <v>272</v>
      </c>
      <c r="K371" s="18">
        <v>16045.8</v>
      </c>
      <c r="L371" s="18">
        <v>0</v>
      </c>
      <c r="M371" s="12" t="s">
        <v>1365</v>
      </c>
      <c r="N371" s="35">
        <v>19658</v>
      </c>
      <c r="O371" s="35">
        <v>3612</v>
      </c>
      <c r="P371" s="35">
        <v>0</v>
      </c>
      <c r="Q371" s="35">
        <v>0</v>
      </c>
      <c r="R371" s="18">
        <f>N371-O371</f>
        <v>16046.0</v>
      </c>
      <c r="S371" s="18">
        <f>O371-P371</f>
        <v>3612.0</v>
      </c>
      <c r="T371" s="18">
        <f>N371-Q371</f>
        <v>19658.0</v>
      </c>
      <c r="U371" s="36">
        <f>IF(N371&gt;0,Q371/N371,0)</f>
        <v>0.0</v>
      </c>
      <c r="V371" s="35">
        <v>7957851.46</v>
      </c>
      <c r="W371" s="35">
        <v>235440.83</v>
      </c>
      <c r="X371" s="36">
        <v>0.0295859794799437</v>
      </c>
      <c r="Y371" s="35">
        <v>3612.2</v>
      </c>
      <c r="Z371" s="17" t="s">
        <v>236</v>
      </c>
      <c r="AA371" s="35">
        <v>200000</v>
      </c>
      <c r="AB371" s="35">
        <v>2915452</v>
      </c>
      <c r="AC371" s="35">
        <v>2124684</v>
      </c>
      <c r="AD371" s="35">
        <v>2000000</v>
      </c>
      <c r="AE371" s="12" t="s">
        <v>86</v>
      </c>
      <c r="AF371" s="12" t="s">
        <v>87</v>
      </c>
      <c r="AG371" s="18">
        <v>-1</v>
      </c>
      <c r="AH371" s="12" t="s">
        <v>169</v>
      </c>
      <c r="AI371" s="12" t="s">
        <v>89</v>
      </c>
      <c r="AJ371" s="12" t="s">
        <v>89</v>
      </c>
      <c r="AK371" s="12" t="s">
        <v>89</v>
      </c>
      <c r="AL371" s="12" t="s">
        <v>1361</v>
      </c>
      <c r="AM371" s="12" t="s">
        <v>91</v>
      </c>
      <c r="AN371" s="17" t="s">
        <v>92</v>
      </c>
    </row>
    <row r="372" spans="1:40">
      <c r="A372" s="12" t="s">
        <v>74</v>
      </c>
      <c r="B372" s="12" t="s">
        <v>1095</v>
      </c>
      <c r="C372" s="12" t="s">
        <v>1356</v>
      </c>
      <c r="D372" s="12" t="s">
        <v>89</v>
      </c>
      <c r="E372" s="12" t="s">
        <v>1357</v>
      </c>
      <c r="F372" s="12" t="s">
        <v>1366</v>
      </c>
      <c r="G372" s="12" t="s">
        <v>1367</v>
      </c>
      <c r="H372" s="34" t="s">
        <v>1368</v>
      </c>
      <c r="I372" s="12" t="s">
        <v>82</v>
      </c>
      <c r="J372" s="12" t="s">
        <v>83</v>
      </c>
      <c r="K372" s="18">
        <v>0.2900000000372529</v>
      </c>
      <c r="L372" s="18">
        <v>0</v>
      </c>
      <c r="M372" s="12" t="s">
        <v>84</v>
      </c>
      <c r="N372" s="35">
        <v>5182053</v>
      </c>
      <c r="O372" s="35">
        <v>4958489.89</v>
      </c>
      <c r="P372" s="35">
        <v>4606628.67</v>
      </c>
      <c r="Q372" s="35">
        <v>2773279.980000001</v>
      </c>
      <c r="R372" s="18">
        <f>N372-O372</f>
        <v>223563.11000000034</v>
      </c>
      <c r="S372" s="18">
        <f>O372-P372</f>
        <v>351861.21999999974</v>
      </c>
      <c r="T372" s="18">
        <f>N372-Q372</f>
        <v>2408773.019999999</v>
      </c>
      <c r="U372" s="36">
        <f>IF(N372&gt;0,Q372/N372,0)</f>
        <v>0.5351701304482993</v>
      </c>
      <c r="V372" s="35">
        <v>14704478</v>
      </c>
      <c r="W372" s="35">
        <v>12295705.09</v>
      </c>
      <c r="X372" s="36">
        <v>0.8361877987100256</v>
      </c>
      <c r="Y372" s="35">
        <v>5182052.71</v>
      </c>
      <c r="Z372" s="17" t="s">
        <v>333</v>
      </c>
      <c r="AA372" s="35">
        <v>409040</v>
      </c>
      <c r="AB372" s="35">
        <v>29865</v>
      </c>
      <c r="AC372" s="35">
        <v>0</v>
      </c>
      <c r="AD372" s="35">
        <v>0</v>
      </c>
      <c r="AE372" s="12" t="s">
        <v>86</v>
      </c>
      <c r="AF372" s="12" t="s">
        <v>87</v>
      </c>
      <c r="AG372" s="18">
        <v>75.15000000000001</v>
      </c>
      <c r="AH372" s="12" t="s">
        <v>109</v>
      </c>
      <c r="AI372" s="12" t="s">
        <v>89</v>
      </c>
      <c r="AJ372" s="12" t="s">
        <v>89</v>
      </c>
      <c r="AK372" s="12" t="s">
        <v>89</v>
      </c>
      <c r="AL372" s="12" t="s">
        <v>1361</v>
      </c>
      <c r="AM372" s="12" t="s">
        <v>91</v>
      </c>
      <c r="AN372" s="17" t="s">
        <v>92</v>
      </c>
    </row>
    <row r="373" spans="1:40">
      <c r="A373" s="12" t="s">
        <v>74</v>
      </c>
      <c r="B373" s="12" t="s">
        <v>1095</v>
      </c>
      <c r="C373" s="12" t="s">
        <v>1356</v>
      </c>
      <c r="D373" s="12" t="s">
        <v>89</v>
      </c>
      <c r="E373" s="12" t="s">
        <v>1128</v>
      </c>
      <c r="F373" s="12" t="s">
        <v>1369</v>
      </c>
      <c r="G373" s="12" t="s">
        <v>1370</v>
      </c>
      <c r="H373" s="34" t="s">
        <v>1371</v>
      </c>
      <c r="I373" s="12" t="s">
        <v>82</v>
      </c>
      <c r="J373" s="12" t="s">
        <v>83</v>
      </c>
      <c r="K373" s="18">
        <v>0</v>
      </c>
      <c r="L373" s="18">
        <v>0</v>
      </c>
      <c r="M373" s="12" t="s">
        <v>84</v>
      </c>
      <c r="N373" s="35">
        <v>1800000</v>
      </c>
      <c r="O373" s="35">
        <v>26893</v>
      </c>
      <c r="P373" s="35">
        <v>26893</v>
      </c>
      <c r="Q373" s="35">
        <v>26892.69</v>
      </c>
      <c r="R373" s="18">
        <f>N373-O373</f>
        <v>1773107.0</v>
      </c>
      <c r="S373" s="18">
        <f>O373-P373</f>
        <v>0.0</v>
      </c>
      <c r="T373" s="18">
        <f>N373-Q373</f>
        <v>1773107.31</v>
      </c>
      <c r="U373" s="36">
        <f>IF(N373&gt;0,Q373/N373,0)</f>
        <v>0.014940383333333333</v>
      </c>
      <c r="V373" s="35">
        <v>72255763.79000001</v>
      </c>
      <c r="W373" s="35">
        <v>522502.71</v>
      </c>
      <c r="X373" s="36">
        <v>0.00723129453753436</v>
      </c>
      <c r="Y373" s="35">
        <v>9659580.32</v>
      </c>
      <c r="Z373" s="17" t="s">
        <v>236</v>
      </c>
      <c r="AA373" s="35">
        <v>300000</v>
      </c>
      <c r="AB373" s="35">
        <v>4508196</v>
      </c>
      <c r="AC373" s="35">
        <v>5000000</v>
      </c>
      <c r="AD373" s="35">
        <v>1000000</v>
      </c>
      <c r="AE373" s="12" t="s">
        <v>86</v>
      </c>
      <c r="AF373" s="12" t="s">
        <v>87</v>
      </c>
      <c r="AG373" s="18">
        <v>-1</v>
      </c>
      <c r="AH373" s="12" t="s">
        <v>1372</v>
      </c>
      <c r="AI373" s="12" t="s">
        <v>89</v>
      </c>
      <c r="AJ373" s="12" t="s">
        <v>89</v>
      </c>
      <c r="AK373" s="12" t="s">
        <v>89</v>
      </c>
      <c r="AL373" s="12" t="s">
        <v>1361</v>
      </c>
      <c r="AM373" s="12" t="s">
        <v>91</v>
      </c>
      <c r="AN373" s="17" t="s">
        <v>92</v>
      </c>
    </row>
    <row r="374" spans="1:40">
      <c r="A374" s="12" t="s">
        <v>74</v>
      </c>
      <c r="B374" s="12" t="s">
        <v>1095</v>
      </c>
      <c r="C374" s="12" t="s">
        <v>1356</v>
      </c>
      <c r="D374" s="12" t="s">
        <v>89</v>
      </c>
      <c r="E374" s="12" t="s">
        <v>1087</v>
      </c>
      <c r="F374" s="12" t="s">
        <v>1373</v>
      </c>
      <c r="G374" s="12" t="s">
        <v>1374</v>
      </c>
      <c r="H374" s="34" t="s">
        <v>1375</v>
      </c>
      <c r="I374" s="12" t="s">
        <v>82</v>
      </c>
      <c r="J374" s="12" t="s">
        <v>83</v>
      </c>
      <c r="K374" s="18">
        <v>0</v>
      </c>
      <c r="L374" s="18">
        <v>0</v>
      </c>
      <c r="M374" s="12" t="s">
        <v>84</v>
      </c>
      <c r="N374" s="35">
        <v>32099</v>
      </c>
      <c r="O374" s="35">
        <v>0</v>
      </c>
      <c r="P374" s="35">
        <v>0</v>
      </c>
      <c r="Q374" s="35">
        <v>0</v>
      </c>
      <c r="R374" s="18">
        <f>N374-O374</f>
        <v>32099.0</v>
      </c>
      <c r="S374" s="18">
        <f>O374-P374</f>
        <v>0.0</v>
      </c>
      <c r="T374" s="18">
        <f>N374-Q374</f>
        <v>32099.0</v>
      </c>
      <c r="U374" s="36">
        <f>IF(N374&gt;0,Q374/N374,0)</f>
        <v>0.0</v>
      </c>
      <c r="V374" s="35">
        <v>28966077.23</v>
      </c>
      <c r="W374" s="35">
        <v>1421462.42</v>
      </c>
      <c r="X374" s="36">
        <v>0.04907334910119619</v>
      </c>
      <c r="Y374" s="35">
        <v>32099</v>
      </c>
      <c r="Z374" s="17" t="s">
        <v>463</v>
      </c>
      <c r="AA374" s="35">
        <v>500000</v>
      </c>
      <c r="AB374" s="35">
        <v>0</v>
      </c>
      <c r="AC374" s="35">
        <v>0</v>
      </c>
      <c r="AD374" s="35">
        <v>0</v>
      </c>
      <c r="AE374" s="12" t="s">
        <v>203</v>
      </c>
      <c r="AF374" s="12" t="s">
        <v>87</v>
      </c>
      <c r="AG374" s="18">
        <v>0</v>
      </c>
      <c r="AH374" s="12" t="s">
        <v>145</v>
      </c>
      <c r="AI374" s="12" t="s">
        <v>89</v>
      </c>
      <c r="AJ374" s="12" t="s">
        <v>89</v>
      </c>
      <c r="AK374" s="12" t="s">
        <v>89</v>
      </c>
      <c r="AL374" s="12" t="s">
        <v>1361</v>
      </c>
      <c r="AM374" s="12" t="s">
        <v>91</v>
      </c>
      <c r="AN374" s="17" t="s">
        <v>92</v>
      </c>
    </row>
    <row r="375" spans="1:40">
      <c r="A375" s="12" t="s">
        <v>74</v>
      </c>
      <c r="B375" s="12" t="s">
        <v>1095</v>
      </c>
      <c r="C375" s="12" t="s">
        <v>1356</v>
      </c>
      <c r="D375" s="12" t="s">
        <v>89</v>
      </c>
      <c r="E375" s="12" t="s">
        <v>1087</v>
      </c>
      <c r="F375" s="12" t="s">
        <v>1376</v>
      </c>
      <c r="G375" s="12" t="s">
        <v>1377</v>
      </c>
      <c r="H375" s="34" t="s">
        <v>1378</v>
      </c>
      <c r="I375" s="12" t="s">
        <v>82</v>
      </c>
      <c r="J375" s="12" t="s">
        <v>83</v>
      </c>
      <c r="K375" s="18">
        <v>3758</v>
      </c>
      <c r="L375" s="18">
        <v>0</v>
      </c>
      <c r="M375" s="12" t="s">
        <v>84</v>
      </c>
      <c r="N375" s="35">
        <v>30000</v>
      </c>
      <c r="O375" s="35">
        <v>23434</v>
      </c>
      <c r="P375" s="35">
        <v>23434</v>
      </c>
      <c r="Q375" s="35">
        <v>13106.35</v>
      </c>
      <c r="R375" s="18">
        <f>N375-O375</f>
        <v>6566.0</v>
      </c>
      <c r="S375" s="18">
        <f>O375-P375</f>
        <v>0.0</v>
      </c>
      <c r="T375" s="18">
        <f>N375-Q375</f>
        <v>16893.65</v>
      </c>
      <c r="U375" s="36">
        <f>IF(N375&gt;0,Q375/N375,0)</f>
        <v>0.43687833333333337</v>
      </c>
      <c r="V375" s="35">
        <v>11587172.15</v>
      </c>
      <c r="W375" s="35">
        <v>3355736.57</v>
      </c>
      <c r="X375" s="36">
        <v>0.2896078979891569</v>
      </c>
      <c r="Y375" s="35">
        <v>26242</v>
      </c>
      <c r="Z375" s="17" t="s">
        <v>236</v>
      </c>
      <c r="AA375" s="35">
        <v>2080646</v>
      </c>
      <c r="AB375" s="35">
        <v>70728</v>
      </c>
      <c r="AC375" s="35">
        <v>300000</v>
      </c>
      <c r="AD375" s="35">
        <v>300000</v>
      </c>
      <c r="AE375" s="12" t="s">
        <v>86</v>
      </c>
      <c r="AF375" s="12" t="s">
        <v>87</v>
      </c>
      <c r="AG375" s="18">
        <v>25.66</v>
      </c>
      <c r="AH375" s="12" t="s">
        <v>136</v>
      </c>
      <c r="AI375" s="12" t="s">
        <v>89</v>
      </c>
      <c r="AJ375" s="12" t="s">
        <v>89</v>
      </c>
      <c r="AK375" s="12" t="s">
        <v>89</v>
      </c>
      <c r="AL375" s="12" t="s">
        <v>1361</v>
      </c>
      <c r="AM375" s="12" t="s">
        <v>91</v>
      </c>
      <c r="AN375" s="17" t="s">
        <v>92</v>
      </c>
    </row>
    <row r="376" spans="1:40">
      <c r="A376" s="12" t="s">
        <v>74</v>
      </c>
      <c r="B376" s="12" t="s">
        <v>1095</v>
      </c>
      <c r="C376" s="12" t="s">
        <v>1356</v>
      </c>
      <c r="D376" s="12" t="s">
        <v>89</v>
      </c>
      <c r="E376" s="12" t="s">
        <v>1087</v>
      </c>
      <c r="F376" s="12" t="s">
        <v>1379</v>
      </c>
      <c r="G376" s="12" t="s">
        <v>1380</v>
      </c>
      <c r="H376" s="34" t="s">
        <v>1381</v>
      </c>
      <c r="I376" s="12" t="s">
        <v>82</v>
      </c>
      <c r="J376" s="12" t="s">
        <v>83</v>
      </c>
      <c r="K376" s="18">
        <v>1</v>
      </c>
      <c r="L376" s="18">
        <v>0</v>
      </c>
      <c r="M376" s="12" t="s">
        <v>84</v>
      </c>
      <c r="N376" s="35">
        <v>90586</v>
      </c>
      <c r="O376" s="35">
        <v>90435.2</v>
      </c>
      <c r="P376" s="35">
        <v>90256.60000000001</v>
      </c>
      <c r="Q376" s="35">
        <v>78301.59999999999</v>
      </c>
      <c r="R376" s="18">
        <f>N376-O376</f>
        <v>150.8000000000029</v>
      </c>
      <c r="S376" s="18">
        <f>O376-P376</f>
        <v>178.59999999999127</v>
      </c>
      <c r="T376" s="18">
        <f>N376-Q376</f>
        <v>12284.400000000009</v>
      </c>
      <c r="U376" s="36">
        <f>IF(N376&gt;0,Q376/N376,0)</f>
        <v>0.8643896407833439</v>
      </c>
      <c r="V376" s="35">
        <v>49368509.96</v>
      </c>
      <c r="W376" s="35">
        <v>740816.9399999999</v>
      </c>
      <c r="X376" s="36">
        <v>0.01500585982036392</v>
      </c>
      <c r="Y376" s="35">
        <v>90585</v>
      </c>
      <c r="Z376" s="17" t="s">
        <v>113</v>
      </c>
      <c r="AA376" s="35">
        <v>100000</v>
      </c>
      <c r="AB376" s="35">
        <v>0</v>
      </c>
      <c r="AC376" s="35">
        <v>2000000</v>
      </c>
      <c r="AD376" s="35">
        <v>2000000</v>
      </c>
      <c r="AE376" s="12" t="s">
        <v>86</v>
      </c>
      <c r="AF376" s="12" t="s">
        <v>87</v>
      </c>
      <c r="AG376" s="18">
        <v>-1</v>
      </c>
      <c r="AH376" s="12" t="s">
        <v>169</v>
      </c>
      <c r="AI376" s="12" t="s">
        <v>89</v>
      </c>
      <c r="AJ376" s="12" t="s">
        <v>89</v>
      </c>
      <c r="AK376" s="12" t="s">
        <v>89</v>
      </c>
      <c r="AL376" s="12" t="s">
        <v>1361</v>
      </c>
      <c r="AM376" s="12" t="s">
        <v>91</v>
      </c>
      <c r="AN376" s="17" t="s">
        <v>92</v>
      </c>
    </row>
    <row r="377" spans="1:40">
      <c r="A377" s="12" t="s">
        <v>74</v>
      </c>
      <c r="B377" s="12" t="s">
        <v>1095</v>
      </c>
      <c r="C377" s="12" t="s">
        <v>1356</v>
      </c>
      <c r="D377" s="12" t="s">
        <v>89</v>
      </c>
      <c r="E377" s="12" t="s">
        <v>1087</v>
      </c>
      <c r="F377" s="12" t="s">
        <v>1382</v>
      </c>
      <c r="G377" s="12" t="s">
        <v>1383</v>
      </c>
      <c r="H377" s="34" t="s">
        <v>1384</v>
      </c>
      <c r="I377" s="12" t="s">
        <v>82</v>
      </c>
      <c r="J377" s="12" t="s">
        <v>149</v>
      </c>
      <c r="K377" s="18">
        <v>0</v>
      </c>
      <c r="L377" s="18">
        <v>0</v>
      </c>
      <c r="M377" s="12" t="s">
        <v>150</v>
      </c>
      <c r="N377" s="35">
        <v>0</v>
      </c>
      <c r="O377" s="35">
        <v>0</v>
      </c>
      <c r="P377" s="35">
        <v>0</v>
      </c>
      <c r="Q377" s="35">
        <v>0</v>
      </c>
      <c r="R377" s="18">
        <f>N377-O377</f>
        <v>0.0</v>
      </c>
      <c r="S377" s="18">
        <f>O377-P377</f>
        <v>0.0</v>
      </c>
      <c r="T377" s="18">
        <f>N377-Q377</f>
        <v>0.0</v>
      </c>
      <c r="U377" s="36">
        <f>IF(N377&gt;0,Q377/N377,0)</f>
        <v>0</v>
      </c>
      <c r="V377" s="35">
        <v>33995063.27</v>
      </c>
      <c r="W377" s="35">
        <v>383394.03</v>
      </c>
      <c r="X377" s="36">
        <v>0.01127793253258446</v>
      </c>
      <c r="Y377" s="17" t="s">
        <v>151</v>
      </c>
      <c r="Z377" s="17" t="s">
        <v>1385</v>
      </c>
      <c r="AA377" s="35">
        <v>800000</v>
      </c>
      <c r="AB377" s="35">
        <v>0</v>
      </c>
      <c r="AC377" s="35">
        <v>0</v>
      </c>
      <c r="AD377" s="35">
        <v>0</v>
      </c>
      <c r="AE377" s="12" t="s">
        <v>203</v>
      </c>
      <c r="AF377" s="12" t="s">
        <v>87</v>
      </c>
      <c r="AG377" s="18">
        <v>-1</v>
      </c>
      <c r="AH377" s="12" t="s">
        <v>145</v>
      </c>
      <c r="AI377" s="12" t="s">
        <v>89</v>
      </c>
      <c r="AJ377" s="12" t="s">
        <v>89</v>
      </c>
      <c r="AK377" s="12" t="s">
        <v>89</v>
      </c>
      <c r="AL377" s="12" t="s">
        <v>1361</v>
      </c>
      <c r="AM377" s="12" t="s">
        <v>91</v>
      </c>
      <c r="AN377" s="17" t="s">
        <v>92</v>
      </c>
    </row>
    <row r="378" spans="1:40">
      <c r="A378" s="12" t="s">
        <v>74</v>
      </c>
      <c r="B378" s="12" t="s">
        <v>1095</v>
      </c>
      <c r="C378" s="12" t="s">
        <v>1356</v>
      </c>
      <c r="D378" s="12" t="s">
        <v>89</v>
      </c>
      <c r="E378" s="12" t="s">
        <v>1087</v>
      </c>
      <c r="F378" s="12" t="s">
        <v>1386</v>
      </c>
      <c r="G378" s="12" t="s">
        <v>1387</v>
      </c>
      <c r="H378" s="34" t="s">
        <v>1388</v>
      </c>
      <c r="I378" s="12" t="s">
        <v>82</v>
      </c>
      <c r="J378" s="12" t="s">
        <v>149</v>
      </c>
      <c r="K378" s="18">
        <v>0</v>
      </c>
      <c r="L378" s="18">
        <v>0</v>
      </c>
      <c r="M378" s="12" t="s">
        <v>150</v>
      </c>
      <c r="N378" s="35">
        <v>0</v>
      </c>
      <c r="O378" s="35">
        <v>0</v>
      </c>
      <c r="P378" s="35">
        <v>0</v>
      </c>
      <c r="Q378" s="35">
        <v>0</v>
      </c>
      <c r="R378" s="18">
        <f>N378-O378</f>
        <v>0.0</v>
      </c>
      <c r="S378" s="18">
        <f>O378-P378</f>
        <v>0.0</v>
      </c>
      <c r="T378" s="18">
        <f>N378-Q378</f>
        <v>0.0</v>
      </c>
      <c r="U378" s="36">
        <f>IF(N378&gt;0,Q378/N378,0)</f>
        <v>0</v>
      </c>
      <c r="V378" s="35">
        <v>22722337.99</v>
      </c>
      <c r="W378" s="35">
        <v>411526.52</v>
      </c>
      <c r="X378" s="36">
        <v>0.0181110993147409</v>
      </c>
      <c r="Y378" s="17" t="s">
        <v>151</v>
      </c>
      <c r="Z378" s="17" t="s">
        <v>1385</v>
      </c>
      <c r="AA378" s="35">
        <v>200000</v>
      </c>
      <c r="AB378" s="35">
        <v>0</v>
      </c>
      <c r="AC378" s="35">
        <v>0</v>
      </c>
      <c r="AD378" s="35">
        <v>0</v>
      </c>
      <c r="AE378" s="12" t="s">
        <v>203</v>
      </c>
      <c r="AF378" s="12" t="s">
        <v>87</v>
      </c>
      <c r="AG378" s="18">
        <v>-1</v>
      </c>
      <c r="AH378" s="12" t="s">
        <v>305</v>
      </c>
      <c r="AI378" s="12" t="s">
        <v>89</v>
      </c>
      <c r="AJ378" s="12" t="s">
        <v>89</v>
      </c>
      <c r="AK378" s="12" t="s">
        <v>89</v>
      </c>
      <c r="AL378" s="12" t="s">
        <v>1361</v>
      </c>
      <c r="AM378" s="12" t="s">
        <v>91</v>
      </c>
      <c r="AN378" s="17" t="s">
        <v>92</v>
      </c>
    </row>
    <row r="379" spans="1:40">
      <c r="A379" s="12" t="s">
        <v>74</v>
      </c>
      <c r="B379" s="12" t="s">
        <v>1095</v>
      </c>
      <c r="C379" s="12" t="s">
        <v>1356</v>
      </c>
      <c r="D379" s="12" t="s">
        <v>89</v>
      </c>
      <c r="E379" s="12" t="s">
        <v>1087</v>
      </c>
      <c r="F379" s="12" t="s">
        <v>1389</v>
      </c>
      <c r="G379" s="12" t="s">
        <v>1390</v>
      </c>
      <c r="H379" s="34" t="s">
        <v>1391</v>
      </c>
      <c r="I379" s="12" t="s">
        <v>82</v>
      </c>
      <c r="J379" s="12" t="s">
        <v>106</v>
      </c>
      <c r="K379" s="18">
        <v>0</v>
      </c>
      <c r="L379" s="18">
        <v>0</v>
      </c>
      <c r="M379" s="12" t="s">
        <v>1392</v>
      </c>
      <c r="N379" s="35">
        <v>70632</v>
      </c>
      <c r="O379" s="35">
        <v>12544</v>
      </c>
      <c r="P379" s="35">
        <v>12544</v>
      </c>
      <c r="Q379" s="35">
        <v>12544</v>
      </c>
      <c r="R379" s="18">
        <f>N379-O379</f>
        <v>58088.0</v>
      </c>
      <c r="S379" s="18">
        <f>O379-P379</f>
        <v>0.0</v>
      </c>
      <c r="T379" s="18">
        <f>N379-Q379</f>
        <v>58088.0</v>
      </c>
      <c r="U379" s="36">
        <f>IF(N379&gt;0,Q379/N379,0)</f>
        <v>0.17759655680144976</v>
      </c>
      <c r="V379" s="35">
        <v>30205985.64</v>
      </c>
      <c r="W379" s="35">
        <v>30476133.59</v>
      </c>
      <c r="X379" s="36">
        <v>1.008943523751208</v>
      </c>
      <c r="Y379" s="35">
        <v>228660.05</v>
      </c>
      <c r="Z379" s="17" t="s">
        <v>236</v>
      </c>
      <c r="AA379" s="35">
        <v>70632</v>
      </c>
      <c r="AB379" s="35">
        <v>0</v>
      </c>
      <c r="AC379" s="35">
        <v>0</v>
      </c>
      <c r="AD379" s="35">
        <v>0</v>
      </c>
      <c r="AE379" s="12" t="s">
        <v>86</v>
      </c>
      <c r="AF379" s="12" t="s">
        <v>87</v>
      </c>
      <c r="AG379" s="18">
        <v>98.87</v>
      </c>
      <c r="AH379" s="12" t="s">
        <v>136</v>
      </c>
      <c r="AI379" s="12" t="s">
        <v>89</v>
      </c>
      <c r="AJ379" s="12" t="s">
        <v>89</v>
      </c>
      <c r="AK379" s="12" t="s">
        <v>89</v>
      </c>
      <c r="AL379" s="12" t="s">
        <v>89</v>
      </c>
      <c r="AM379" s="12" t="s">
        <v>91</v>
      </c>
      <c r="AN379" s="17" t="s">
        <v>92</v>
      </c>
    </row>
    <row r="380" spans="1:40">
      <c r="A380" s="12" t="s">
        <v>74</v>
      </c>
      <c r="B380" s="12" t="s">
        <v>1095</v>
      </c>
      <c r="C380" s="12" t="s">
        <v>1356</v>
      </c>
      <c r="D380" s="12" t="s">
        <v>89</v>
      </c>
      <c r="E380" s="12" t="s">
        <v>1087</v>
      </c>
      <c r="F380" s="12" t="s">
        <v>1393</v>
      </c>
      <c r="G380" s="12" t="s">
        <v>1394</v>
      </c>
      <c r="H380" s="34" t="s">
        <v>1395</v>
      </c>
      <c r="I380" s="12" t="s">
        <v>82</v>
      </c>
      <c r="J380" s="12" t="s">
        <v>83</v>
      </c>
      <c r="K380" s="18">
        <v>0</v>
      </c>
      <c r="L380" s="18">
        <v>0</v>
      </c>
      <c r="M380" s="12" t="s">
        <v>84</v>
      </c>
      <c r="N380" s="35">
        <v>11000</v>
      </c>
      <c r="O380" s="35">
        <v>11000</v>
      </c>
      <c r="P380" s="35">
        <v>0</v>
      </c>
      <c r="Q380" s="35">
        <v>0</v>
      </c>
      <c r="R380" s="18">
        <f>N380-O380</f>
        <v>0.0</v>
      </c>
      <c r="S380" s="18">
        <f>O380-P380</f>
        <v>11000.0</v>
      </c>
      <c r="T380" s="18">
        <f>N380-Q380</f>
        <v>11000.0</v>
      </c>
      <c r="U380" s="36">
        <f>IF(N380&gt;0,Q380/N380,0)</f>
        <v>0.0</v>
      </c>
      <c r="V380" s="35">
        <v>28123054.7</v>
      </c>
      <c r="W380" s="35">
        <v>0</v>
      </c>
      <c r="X380" s="36">
        <v>0</v>
      </c>
      <c r="Y380" s="35">
        <v>11000</v>
      </c>
      <c r="Z380" s="17" t="s">
        <v>1385</v>
      </c>
      <c r="AA380" s="35">
        <v>11000</v>
      </c>
      <c r="AB380" s="35">
        <v>164792</v>
      </c>
      <c r="AC380" s="35">
        <v>9322563</v>
      </c>
      <c r="AD380" s="35">
        <v>9322563</v>
      </c>
      <c r="AE380" s="12" t="s">
        <v>86</v>
      </c>
      <c r="AF380" s="12" t="s">
        <v>87</v>
      </c>
      <c r="AG380" s="18">
        <v>-1</v>
      </c>
      <c r="AH380" s="12" t="s">
        <v>593</v>
      </c>
      <c r="AI380" s="12" t="s">
        <v>89</v>
      </c>
      <c r="AJ380" s="12" t="s">
        <v>89</v>
      </c>
      <c r="AK380" s="12" t="s">
        <v>89</v>
      </c>
      <c r="AL380" s="12" t="s">
        <v>89</v>
      </c>
      <c r="AM380" s="12" t="s">
        <v>275</v>
      </c>
      <c r="AN380" s="17" t="s">
        <v>92</v>
      </c>
    </row>
    <row r="381" spans="1:40">
      <c r="A381" s="12" t="s">
        <v>74</v>
      </c>
      <c r="B381" s="12" t="s">
        <v>1095</v>
      </c>
      <c r="C381" s="12" t="s">
        <v>1396</v>
      </c>
      <c r="D381" s="12" t="s">
        <v>89</v>
      </c>
      <c r="E381" s="12" t="s">
        <v>353</v>
      </c>
      <c r="F381" s="12" t="s">
        <v>1397</v>
      </c>
      <c r="G381" s="12" t="s">
        <v>1398</v>
      </c>
      <c r="H381" s="34" t="s">
        <v>1399</v>
      </c>
      <c r="I381" s="12" t="s">
        <v>82</v>
      </c>
      <c r="J381" s="12" t="s">
        <v>106</v>
      </c>
      <c r="K381" s="18">
        <v>0</v>
      </c>
      <c r="L381" s="18">
        <v>0</v>
      </c>
      <c r="M381" s="12" t="s">
        <v>121</v>
      </c>
      <c r="N381" s="35">
        <v>550560</v>
      </c>
      <c r="O381" s="35">
        <v>519500</v>
      </c>
      <c r="P381" s="35">
        <v>519158.94</v>
      </c>
      <c r="Q381" s="35">
        <v>517920.09</v>
      </c>
      <c r="R381" s="18">
        <f>N381-O381</f>
        <v>31060.0</v>
      </c>
      <c r="S381" s="18">
        <f>O381-P381</f>
        <v>341.0599999999977</v>
      </c>
      <c r="T381" s="18">
        <f>N381-Q381</f>
        <v>32639.909999999974</v>
      </c>
      <c r="U381" s="36">
        <f>IF(N381&gt;0,Q381/N381,0)</f>
        <v>0.9407150719267655</v>
      </c>
      <c r="V381" s="35">
        <v>34453764.33</v>
      </c>
      <c r="W381" s="35">
        <v>34503317.72</v>
      </c>
      <c r="X381" s="36">
        <v>1.001438257646548</v>
      </c>
      <c r="Y381" s="35">
        <v>870674.7</v>
      </c>
      <c r="Z381" s="17" t="s">
        <v>85</v>
      </c>
      <c r="AA381" s="35">
        <v>100560</v>
      </c>
      <c r="AB381" s="35">
        <v>93700</v>
      </c>
      <c r="AC381" s="35">
        <v>0</v>
      </c>
      <c r="AD381" s="35">
        <v>0</v>
      </c>
      <c r="AE381" s="12" t="s">
        <v>86</v>
      </c>
      <c r="AF381" s="12" t="s">
        <v>87</v>
      </c>
      <c r="AG381" s="18">
        <v>96.98</v>
      </c>
      <c r="AH381" s="12" t="s">
        <v>1400</v>
      </c>
      <c r="AI381" s="12" t="s">
        <v>89</v>
      </c>
      <c r="AJ381" s="12" t="s">
        <v>89</v>
      </c>
      <c r="AK381" s="12" t="s">
        <v>89</v>
      </c>
      <c r="AL381" s="12" t="s">
        <v>1401</v>
      </c>
      <c r="AM381" s="12" t="s">
        <v>91</v>
      </c>
      <c r="AN381" s="17" t="s">
        <v>92</v>
      </c>
    </row>
    <row r="382" spans="1:40">
      <c r="A382" s="12" t="s">
        <v>74</v>
      </c>
      <c r="B382" s="12" t="s">
        <v>1095</v>
      </c>
      <c r="C382" s="12" t="s">
        <v>1396</v>
      </c>
      <c r="D382" s="12" t="s">
        <v>89</v>
      </c>
      <c r="E382" s="12" t="s">
        <v>353</v>
      </c>
      <c r="F382" s="12" t="s">
        <v>1402</v>
      </c>
      <c r="G382" s="12" t="s">
        <v>1403</v>
      </c>
      <c r="H382" s="34" t="s">
        <v>1404</v>
      </c>
      <c r="I382" s="12" t="s">
        <v>82</v>
      </c>
      <c r="J382" s="12" t="s">
        <v>83</v>
      </c>
      <c r="K382" s="18">
        <v>0</v>
      </c>
      <c r="L382" s="18">
        <v>0</v>
      </c>
      <c r="M382" s="12" t="s">
        <v>84</v>
      </c>
      <c r="N382" s="35">
        <v>12532522</v>
      </c>
      <c r="O382" s="35">
        <v>12187040.85</v>
      </c>
      <c r="P382" s="35">
        <v>5937862.78</v>
      </c>
      <c r="Q382" s="35">
        <v>3196291.429999999</v>
      </c>
      <c r="R382" s="18">
        <f>N382-O382</f>
        <v>345481.1500000004</v>
      </c>
      <c r="S382" s="18">
        <f>O382-P382</f>
        <v>6249178.069999999</v>
      </c>
      <c r="T382" s="18">
        <f>N382-Q382</f>
        <v>9336230.57</v>
      </c>
      <c r="U382" s="36">
        <f>IF(N382&gt;0,Q382/N382,0)</f>
        <v>0.25503976214843266</v>
      </c>
      <c r="V382" s="35">
        <v>33162359.85</v>
      </c>
      <c r="W382" s="35">
        <v>4300567.83</v>
      </c>
      <c r="X382" s="36">
        <v>0.1296822014311506</v>
      </c>
      <c r="Y382" s="35">
        <v>12532522</v>
      </c>
      <c r="Z382" s="17" t="s">
        <v>1385</v>
      </c>
      <c r="AA382" s="35">
        <v>1000000</v>
      </c>
      <c r="AB382" s="35">
        <v>4832260</v>
      </c>
      <c r="AC382" s="35">
        <v>1000000</v>
      </c>
      <c r="AD382" s="35">
        <v>1000000</v>
      </c>
      <c r="AE382" s="12" t="s">
        <v>86</v>
      </c>
      <c r="AF382" s="12" t="s">
        <v>87</v>
      </c>
      <c r="AG382" s="18">
        <v>5.91</v>
      </c>
      <c r="AH382" s="12" t="s">
        <v>1405</v>
      </c>
      <c r="AI382" s="12" t="s">
        <v>89</v>
      </c>
      <c r="AJ382" s="12" t="s">
        <v>89</v>
      </c>
      <c r="AK382" s="12" t="s">
        <v>89</v>
      </c>
      <c r="AL382" s="12" t="s">
        <v>1401</v>
      </c>
      <c r="AM382" s="12" t="s">
        <v>91</v>
      </c>
      <c r="AN382" s="17" t="s">
        <v>92</v>
      </c>
    </row>
    <row r="383" spans="1:40">
      <c r="A383" s="12" t="s">
        <v>74</v>
      </c>
      <c r="B383" s="12" t="s">
        <v>1095</v>
      </c>
      <c r="C383" s="12" t="s">
        <v>1396</v>
      </c>
      <c r="D383" s="12" t="s">
        <v>89</v>
      </c>
      <c r="E383" s="12" t="s">
        <v>353</v>
      </c>
      <c r="F383" s="12" t="s">
        <v>1406</v>
      </c>
      <c r="G383" s="12" t="s">
        <v>1407</v>
      </c>
      <c r="H383" s="34" t="s">
        <v>1408</v>
      </c>
      <c r="I383" s="12" t="s">
        <v>82</v>
      </c>
      <c r="J383" s="12" t="s">
        <v>83</v>
      </c>
      <c r="K383" s="18">
        <v>0</v>
      </c>
      <c r="L383" s="18">
        <v>0</v>
      </c>
      <c r="M383" s="12" t="s">
        <v>84</v>
      </c>
      <c r="N383" s="35">
        <v>100000</v>
      </c>
      <c r="O383" s="35">
        <v>0</v>
      </c>
      <c r="P383" s="35">
        <v>0</v>
      </c>
      <c r="Q383" s="35">
        <v>0</v>
      </c>
      <c r="R383" s="18">
        <f>N383-O383</f>
        <v>100000.0</v>
      </c>
      <c r="S383" s="18">
        <f>O383-P383</f>
        <v>0.0</v>
      </c>
      <c r="T383" s="18">
        <f>N383-Q383</f>
        <v>100000.0</v>
      </c>
      <c r="U383" s="36">
        <f>IF(N383&gt;0,Q383/N383,0)</f>
        <v>0.0</v>
      </c>
      <c r="V383" s="35">
        <v>14088781.36</v>
      </c>
      <c r="W383" s="35">
        <v>317339.89</v>
      </c>
      <c r="X383" s="36">
        <v>0.02252429659395325</v>
      </c>
      <c r="Y383" s="35">
        <v>100000</v>
      </c>
      <c r="Z383" s="17" t="s">
        <v>333</v>
      </c>
      <c r="AA383" s="35">
        <v>100000</v>
      </c>
      <c r="AB383" s="35">
        <v>0</v>
      </c>
      <c r="AC383" s="35">
        <v>0</v>
      </c>
      <c r="AD383" s="35">
        <v>0</v>
      </c>
      <c r="AE383" s="12" t="s">
        <v>203</v>
      </c>
      <c r="AF383" s="12" t="s">
        <v>87</v>
      </c>
      <c r="AG383" s="18">
        <v>-1</v>
      </c>
      <c r="AH383" s="12" t="s">
        <v>305</v>
      </c>
      <c r="AI383" s="12" t="s">
        <v>89</v>
      </c>
      <c r="AJ383" s="12" t="s">
        <v>89</v>
      </c>
      <c r="AK383" s="12" t="s">
        <v>89</v>
      </c>
      <c r="AL383" s="12" t="s">
        <v>1401</v>
      </c>
      <c r="AM383" s="12" t="s">
        <v>91</v>
      </c>
      <c r="AN383" s="17" t="s">
        <v>92</v>
      </c>
    </row>
    <row r="384" spans="1:40">
      <c r="A384" s="12" t="s">
        <v>74</v>
      </c>
      <c r="B384" s="12" t="s">
        <v>1095</v>
      </c>
      <c r="C384" s="12" t="s">
        <v>1409</v>
      </c>
      <c r="D384" s="12" t="s">
        <v>89</v>
      </c>
      <c r="E384" s="12" t="s">
        <v>353</v>
      </c>
      <c r="F384" s="12" t="s">
        <v>1410</v>
      </c>
      <c r="G384" s="12" t="s">
        <v>1411</v>
      </c>
      <c r="H384" s="34" t="s">
        <v>1412</v>
      </c>
      <c r="I384" s="12" t="s">
        <v>82</v>
      </c>
      <c r="J384" s="12" t="s">
        <v>106</v>
      </c>
      <c r="K384" s="18">
        <v>0</v>
      </c>
      <c r="L384" s="18">
        <v>0</v>
      </c>
      <c r="M384" s="12" t="s">
        <v>121</v>
      </c>
      <c r="N384" s="35">
        <v>1332387</v>
      </c>
      <c r="O384" s="35">
        <v>1332216.61</v>
      </c>
      <c r="P384" s="35">
        <v>1328895.11</v>
      </c>
      <c r="Q384" s="35">
        <v>1212326</v>
      </c>
      <c r="R384" s="18">
        <f>N384-O384</f>
        <v>170.39000000013039</v>
      </c>
      <c r="S384" s="18">
        <f>O384-P384</f>
        <v>3321.5</v>
      </c>
      <c r="T384" s="18">
        <f>N384-Q384</f>
        <v>120061.0</v>
      </c>
      <c r="U384" s="36">
        <f>IF(N384&gt;0,Q384/N384,0)</f>
        <v>0.9098902946366183</v>
      </c>
      <c r="V384" s="35">
        <v>101756958.37</v>
      </c>
      <c r="W384" s="35">
        <v>96277327.69</v>
      </c>
      <c r="X384" s="36">
        <v>0.9461498184716229</v>
      </c>
      <c r="Y384" s="35">
        <v>1332387</v>
      </c>
      <c r="Z384" s="17" t="s">
        <v>113</v>
      </c>
      <c r="AA384" s="35">
        <v>630478</v>
      </c>
      <c r="AB384" s="35">
        <v>188781</v>
      </c>
      <c r="AC384" s="35">
        <v>2845395</v>
      </c>
      <c r="AD384" s="35">
        <v>2772809</v>
      </c>
      <c r="AE384" s="12" t="s">
        <v>86</v>
      </c>
      <c r="AF384" s="12" t="s">
        <v>87</v>
      </c>
      <c r="AG384" s="18">
        <v>100</v>
      </c>
      <c r="AH384" s="12" t="s">
        <v>136</v>
      </c>
      <c r="AI384" s="12" t="s">
        <v>89</v>
      </c>
      <c r="AJ384" s="12" t="s">
        <v>89</v>
      </c>
      <c r="AK384" s="12" t="s">
        <v>89</v>
      </c>
      <c r="AL384" s="12" t="s">
        <v>1413</v>
      </c>
      <c r="AM384" s="12" t="s">
        <v>91</v>
      </c>
      <c r="AN384" s="17" t="s">
        <v>92</v>
      </c>
    </row>
    <row r="385" spans="1:40">
      <c r="A385" s="12" t="s">
        <v>74</v>
      </c>
      <c r="B385" s="12" t="s">
        <v>1095</v>
      </c>
      <c r="C385" s="12" t="s">
        <v>1409</v>
      </c>
      <c r="D385" s="12" t="s">
        <v>89</v>
      </c>
      <c r="E385" s="12" t="s">
        <v>1128</v>
      </c>
      <c r="F385" s="12" t="s">
        <v>1414</v>
      </c>
      <c r="G385" s="12" t="s">
        <v>1415</v>
      </c>
      <c r="H385" s="34" t="s">
        <v>1416</v>
      </c>
      <c r="I385" s="12" t="s">
        <v>82</v>
      </c>
      <c r="J385" s="12" t="s">
        <v>83</v>
      </c>
      <c r="K385" s="18">
        <v>0</v>
      </c>
      <c r="L385" s="18">
        <v>0</v>
      </c>
      <c r="M385" s="12" t="s">
        <v>84</v>
      </c>
      <c r="N385" s="35">
        <v>4271598</v>
      </c>
      <c r="O385" s="35">
        <v>4119206.34</v>
      </c>
      <c r="P385" s="35">
        <v>2749274.33</v>
      </c>
      <c r="Q385" s="35">
        <v>2292215.36</v>
      </c>
      <c r="R385" s="18">
        <f>N385-O385</f>
        <v>152391.65999999968</v>
      </c>
      <c r="S385" s="18">
        <f>O385-P385</f>
        <v>1369932.0100000007</v>
      </c>
      <c r="T385" s="18">
        <f>N385-Q385</f>
        <v>1979382.6399999997</v>
      </c>
      <c r="U385" s="36">
        <f>IF(N385&gt;0,Q385/N385,0)</f>
        <v>0.5366177622519723</v>
      </c>
      <c r="V385" s="35">
        <v>42349048.83</v>
      </c>
      <c r="W385" s="35">
        <v>2620799.71</v>
      </c>
      <c r="X385" s="36">
        <v>0.06188568060927568</v>
      </c>
      <c r="Y385" s="35">
        <v>4271598</v>
      </c>
      <c r="Z385" s="17" t="s">
        <v>113</v>
      </c>
      <c r="AA385" s="35">
        <v>1500000</v>
      </c>
      <c r="AB385" s="35">
        <v>4950944</v>
      </c>
      <c r="AC385" s="35">
        <v>5144103</v>
      </c>
      <c r="AD385" s="35">
        <v>4718085</v>
      </c>
      <c r="AE385" s="12" t="s">
        <v>86</v>
      </c>
      <c r="AF385" s="12" t="s">
        <v>87</v>
      </c>
      <c r="AG385" s="18">
        <v>2.95</v>
      </c>
      <c r="AH385" s="12" t="s">
        <v>1417</v>
      </c>
      <c r="AI385" s="12" t="s">
        <v>89</v>
      </c>
      <c r="AJ385" s="12" t="s">
        <v>89</v>
      </c>
      <c r="AK385" s="12" t="s">
        <v>89</v>
      </c>
      <c r="AL385" s="12" t="s">
        <v>1413</v>
      </c>
      <c r="AM385" s="12" t="s">
        <v>91</v>
      </c>
      <c r="AN385" s="17" t="s">
        <v>92</v>
      </c>
    </row>
    <row r="386" spans="1:40">
      <c r="A386" s="12" t="s">
        <v>74</v>
      </c>
      <c r="B386" s="12" t="s">
        <v>1095</v>
      </c>
      <c r="C386" s="12" t="s">
        <v>1418</v>
      </c>
      <c r="D386" s="12" t="s">
        <v>89</v>
      </c>
      <c r="E386" s="12" t="s">
        <v>78</v>
      </c>
      <c r="F386" s="12" t="s">
        <v>1419</v>
      </c>
      <c r="G386" s="12" t="s">
        <v>1420</v>
      </c>
      <c r="H386" s="34" t="s">
        <v>1421</v>
      </c>
      <c r="I386" s="12" t="s">
        <v>82</v>
      </c>
      <c r="J386" s="12" t="s">
        <v>149</v>
      </c>
      <c r="K386" s="18">
        <v>0</v>
      </c>
      <c r="L386" s="18">
        <v>0</v>
      </c>
      <c r="M386" s="12" t="s">
        <v>150</v>
      </c>
      <c r="N386" s="35">
        <v>0</v>
      </c>
      <c r="O386" s="35">
        <v>0</v>
      </c>
      <c r="P386" s="35">
        <v>0</v>
      </c>
      <c r="Q386" s="35">
        <v>0</v>
      </c>
      <c r="R386" s="18">
        <f>N386-O386</f>
        <v>0.0</v>
      </c>
      <c r="S386" s="18">
        <f>O386-P386</f>
        <v>0.0</v>
      </c>
      <c r="T386" s="18">
        <f>N386-Q386</f>
        <v>0.0</v>
      </c>
      <c r="U386" s="36">
        <f>IF(N386&gt;0,Q386/N386,0)</f>
        <v>0</v>
      </c>
      <c r="V386" s="35">
        <v>9190453.52</v>
      </c>
      <c r="W386" s="35">
        <v>9186355.689999999</v>
      </c>
      <c r="X386" s="36">
        <v>0.9995541210244867</v>
      </c>
      <c r="Y386" s="17" t="s">
        <v>151</v>
      </c>
      <c r="Z386" s="17" t="s">
        <v>1422</v>
      </c>
      <c r="AA386" s="35">
        <v>4098</v>
      </c>
      <c r="AB386" s="35">
        <v>0</v>
      </c>
      <c r="AC386" s="35">
        <v>0</v>
      </c>
      <c r="AD386" s="35">
        <v>0</v>
      </c>
      <c r="AE386" s="12" t="s">
        <v>313</v>
      </c>
      <c r="AF386" s="12" t="s">
        <v>314</v>
      </c>
      <c r="AG386" s="18">
        <v>100</v>
      </c>
      <c r="AH386" s="12" t="s">
        <v>305</v>
      </c>
      <c r="AI386" s="12" t="s">
        <v>89</v>
      </c>
      <c r="AJ386" s="12" t="s">
        <v>89</v>
      </c>
      <c r="AK386" s="12" t="s">
        <v>89</v>
      </c>
      <c r="AL386" s="12" t="s">
        <v>753</v>
      </c>
      <c r="AM386" s="12" t="s">
        <v>91</v>
      </c>
      <c r="AN386" s="17" t="s">
        <v>92</v>
      </c>
    </row>
    <row r="387" spans="1:40">
      <c r="A387" s="12" t="s">
        <v>74</v>
      </c>
      <c r="B387" s="12" t="s">
        <v>1095</v>
      </c>
      <c r="C387" s="12" t="s">
        <v>1418</v>
      </c>
      <c r="D387" s="12" t="s">
        <v>89</v>
      </c>
      <c r="E387" s="12" t="s">
        <v>78</v>
      </c>
      <c r="F387" s="12" t="s">
        <v>1423</v>
      </c>
      <c r="G387" s="12" t="s">
        <v>1424</v>
      </c>
      <c r="H387" s="34" t="s">
        <v>1425</v>
      </c>
      <c r="I387" s="12" t="s">
        <v>82</v>
      </c>
      <c r="J387" s="12" t="s">
        <v>149</v>
      </c>
      <c r="K387" s="18">
        <v>0</v>
      </c>
      <c r="L387" s="18">
        <v>0</v>
      </c>
      <c r="M387" s="12" t="s">
        <v>150</v>
      </c>
      <c r="N387" s="35">
        <v>0</v>
      </c>
      <c r="O387" s="35">
        <v>0</v>
      </c>
      <c r="P387" s="35">
        <v>0</v>
      </c>
      <c r="Q387" s="35">
        <v>0</v>
      </c>
      <c r="R387" s="18">
        <f>N387-O387</f>
        <v>0.0</v>
      </c>
      <c r="S387" s="18">
        <f>O387-P387</f>
        <v>0.0</v>
      </c>
      <c r="T387" s="18">
        <f>N387-Q387</f>
        <v>0.0</v>
      </c>
      <c r="U387" s="36">
        <f>IF(N387&gt;0,Q387/N387,0)</f>
        <v>0</v>
      </c>
      <c r="V387" s="35">
        <v>10250390.9</v>
      </c>
      <c r="W387" s="35">
        <v>10162474.37</v>
      </c>
      <c r="X387" s="36">
        <v>0.991423104654477</v>
      </c>
      <c r="Y387" s="17" t="s">
        <v>151</v>
      </c>
      <c r="Z387" s="17" t="s">
        <v>1426</v>
      </c>
      <c r="AA387" s="35">
        <v>87917</v>
      </c>
      <c r="AB387" s="35">
        <v>0</v>
      </c>
      <c r="AC387" s="35">
        <v>0</v>
      </c>
      <c r="AD387" s="35">
        <v>0</v>
      </c>
      <c r="AE387" s="12" t="s">
        <v>313</v>
      </c>
      <c r="AF387" s="12" t="s">
        <v>314</v>
      </c>
      <c r="AG387" s="18">
        <v>92.37</v>
      </c>
      <c r="AH387" s="12" t="s">
        <v>305</v>
      </c>
      <c r="AI387" s="12" t="s">
        <v>89</v>
      </c>
      <c r="AJ387" s="12" t="s">
        <v>89</v>
      </c>
      <c r="AK387" s="12" t="s">
        <v>89</v>
      </c>
      <c r="AL387" s="12" t="s">
        <v>753</v>
      </c>
      <c r="AM387" s="12" t="s">
        <v>91</v>
      </c>
      <c r="AN387" s="17" t="s">
        <v>92</v>
      </c>
    </row>
    <row r="388" spans="1:40">
      <c r="A388" s="12" t="s">
        <v>74</v>
      </c>
      <c r="B388" s="12" t="s">
        <v>1095</v>
      </c>
      <c r="C388" s="12" t="s">
        <v>1418</v>
      </c>
      <c r="D388" s="12" t="s">
        <v>89</v>
      </c>
      <c r="E388" s="12" t="s">
        <v>78</v>
      </c>
      <c r="F388" s="12" t="s">
        <v>1427</v>
      </c>
      <c r="G388" s="12" t="s">
        <v>1428</v>
      </c>
      <c r="H388" s="34" t="s">
        <v>1429</v>
      </c>
      <c r="I388" s="12" t="s">
        <v>82</v>
      </c>
      <c r="J388" s="12" t="s">
        <v>149</v>
      </c>
      <c r="K388" s="18">
        <v>0</v>
      </c>
      <c r="L388" s="18">
        <v>0</v>
      </c>
      <c r="M388" s="12" t="s">
        <v>150</v>
      </c>
      <c r="N388" s="35">
        <v>0</v>
      </c>
      <c r="O388" s="35">
        <v>0</v>
      </c>
      <c r="P388" s="35">
        <v>0</v>
      </c>
      <c r="Q388" s="35">
        <v>0</v>
      </c>
      <c r="R388" s="18">
        <f>N388-O388</f>
        <v>0.0</v>
      </c>
      <c r="S388" s="18">
        <f>O388-P388</f>
        <v>0.0</v>
      </c>
      <c r="T388" s="18">
        <f>N388-Q388</f>
        <v>0.0</v>
      </c>
      <c r="U388" s="36">
        <f>IF(N388&gt;0,Q388/N388,0)</f>
        <v>0</v>
      </c>
      <c r="V388" s="35">
        <v>7806995.63</v>
      </c>
      <c r="W388" s="35">
        <v>7704564.16</v>
      </c>
      <c r="X388" s="36">
        <v>0.9868795276884252</v>
      </c>
      <c r="Y388" s="35">
        <v>284606.7</v>
      </c>
      <c r="Z388" s="17" t="s">
        <v>1430</v>
      </c>
      <c r="AA388" s="35">
        <v>276105</v>
      </c>
      <c r="AB388" s="35">
        <v>0</v>
      </c>
      <c r="AC388" s="35">
        <v>0</v>
      </c>
      <c r="AD388" s="35">
        <v>0</v>
      </c>
      <c r="AE388" s="12" t="s">
        <v>313</v>
      </c>
      <c r="AF388" s="12" t="s">
        <v>314</v>
      </c>
      <c r="AG388" s="18">
        <v>97.27</v>
      </c>
      <c r="AH388" s="12" t="s">
        <v>182</v>
      </c>
      <c r="AI388" s="12" t="s">
        <v>89</v>
      </c>
      <c r="AJ388" s="12" t="s">
        <v>89</v>
      </c>
      <c r="AK388" s="12" t="s">
        <v>89</v>
      </c>
      <c r="AL388" s="12" t="s">
        <v>177</v>
      </c>
      <c r="AM388" s="12" t="s">
        <v>91</v>
      </c>
      <c r="AN388" s="17" t="s">
        <v>92</v>
      </c>
    </row>
    <row r="389" spans="1:40">
      <c r="A389" s="12" t="s">
        <v>74</v>
      </c>
      <c r="B389" s="12" t="s">
        <v>1095</v>
      </c>
      <c r="C389" s="12" t="s">
        <v>1418</v>
      </c>
      <c r="D389" s="12" t="s">
        <v>89</v>
      </c>
      <c r="E389" s="12" t="s">
        <v>78</v>
      </c>
      <c r="F389" s="12" t="s">
        <v>1431</v>
      </c>
      <c r="G389" s="12" t="s">
        <v>1432</v>
      </c>
      <c r="H389" s="34" t="s">
        <v>1433</v>
      </c>
      <c r="I389" s="12" t="s">
        <v>162</v>
      </c>
      <c r="J389" s="12" t="s">
        <v>149</v>
      </c>
      <c r="K389" s="18">
        <v>0</v>
      </c>
      <c r="L389" s="18">
        <v>0</v>
      </c>
      <c r="M389" s="12" t="s">
        <v>150</v>
      </c>
      <c r="N389" s="35">
        <v>0</v>
      </c>
      <c r="O389" s="35">
        <v>0</v>
      </c>
      <c r="P389" s="35">
        <v>0</v>
      </c>
      <c r="Q389" s="35">
        <v>0</v>
      </c>
      <c r="R389" s="18">
        <f>N389-O389</f>
        <v>0.0</v>
      </c>
      <c r="S389" s="18">
        <f>O389-P389</f>
        <v>0.0</v>
      </c>
      <c r="T389" s="18">
        <f>N389-Q389</f>
        <v>0.0</v>
      </c>
      <c r="U389" s="36">
        <f>IF(N389&gt;0,Q389/N389,0)</f>
        <v>0</v>
      </c>
      <c r="V389" s="35">
        <v>24130054.35</v>
      </c>
      <c r="W389" s="35">
        <v>24035730.04</v>
      </c>
      <c r="X389" s="36">
        <v>0.9960910030026516</v>
      </c>
      <c r="Y389" s="17" t="s">
        <v>151</v>
      </c>
      <c r="Z389" s="17" t="s">
        <v>1422</v>
      </c>
      <c r="AA389" s="35">
        <v>89896</v>
      </c>
      <c r="AB389" s="35">
        <v>0</v>
      </c>
      <c r="AC389" s="35">
        <v>0</v>
      </c>
      <c r="AD389" s="35">
        <v>0</v>
      </c>
      <c r="AE389" s="12" t="s">
        <v>313</v>
      </c>
      <c r="AF389" s="12" t="s">
        <v>314</v>
      </c>
      <c r="AG389" s="18">
        <v>100</v>
      </c>
      <c r="AH389" s="12" t="s">
        <v>305</v>
      </c>
      <c r="AI389" s="12" t="s">
        <v>89</v>
      </c>
      <c r="AJ389" s="12" t="s">
        <v>89</v>
      </c>
      <c r="AK389" s="12" t="s">
        <v>89</v>
      </c>
      <c r="AL389" s="12" t="s">
        <v>177</v>
      </c>
      <c r="AM389" s="12" t="s">
        <v>91</v>
      </c>
      <c r="AN389" s="17" t="s">
        <v>92</v>
      </c>
    </row>
    <row r="390" spans="1:40">
      <c r="A390" s="12" t="s">
        <v>74</v>
      </c>
      <c r="B390" s="12" t="s">
        <v>1095</v>
      </c>
      <c r="C390" s="12" t="s">
        <v>1418</v>
      </c>
      <c r="D390" s="12" t="s">
        <v>89</v>
      </c>
      <c r="E390" s="12" t="s">
        <v>78</v>
      </c>
      <c r="F390" s="12" t="s">
        <v>1434</v>
      </c>
      <c r="G390" s="12" t="s">
        <v>1435</v>
      </c>
      <c r="H390" s="34" t="s">
        <v>1436</v>
      </c>
      <c r="I390" s="12" t="s">
        <v>162</v>
      </c>
      <c r="J390" s="12" t="s">
        <v>83</v>
      </c>
      <c r="K390" s="18">
        <v>0</v>
      </c>
      <c r="L390" s="18">
        <v>0</v>
      </c>
      <c r="M390" s="12" t="s">
        <v>84</v>
      </c>
      <c r="N390" s="35">
        <v>2390440</v>
      </c>
      <c r="O390" s="35">
        <v>2386020</v>
      </c>
      <c r="P390" s="35">
        <v>2386020</v>
      </c>
      <c r="Q390" s="35">
        <v>824976.09</v>
      </c>
      <c r="R390" s="18">
        <f>N390-O390</f>
        <v>4420.0</v>
      </c>
      <c r="S390" s="18">
        <f>O390-P390</f>
        <v>0.0</v>
      </c>
      <c r="T390" s="18">
        <f>N390-Q390</f>
        <v>1565463.9100000001</v>
      </c>
      <c r="U390" s="36">
        <f>IF(N390&gt;0,Q390/N390,0)</f>
        <v>0.34511474456585395</v>
      </c>
      <c r="V390" s="35">
        <v>2601972.7</v>
      </c>
      <c r="W390" s="35">
        <v>1033537.26</v>
      </c>
      <c r="X390" s="36">
        <v>0.3972129530797921</v>
      </c>
      <c r="Y390" s="35">
        <v>2390440</v>
      </c>
      <c r="Z390" s="17" t="s">
        <v>333</v>
      </c>
      <c r="AA390" s="35">
        <v>21175</v>
      </c>
      <c r="AB390" s="35">
        <v>2971</v>
      </c>
      <c r="AC390" s="35">
        <v>1</v>
      </c>
      <c r="AD390" s="35">
        <v>0</v>
      </c>
      <c r="AE390" s="12" t="s">
        <v>86</v>
      </c>
      <c r="AF390" s="12" t="s">
        <v>87</v>
      </c>
      <c r="AG390" s="18">
        <v>10.18</v>
      </c>
      <c r="AH390" s="12" t="s">
        <v>357</v>
      </c>
      <c r="AI390" s="12" t="s">
        <v>89</v>
      </c>
      <c r="AJ390" s="12" t="s">
        <v>89</v>
      </c>
      <c r="AK390" s="12" t="s">
        <v>89</v>
      </c>
      <c r="AL390" s="12" t="s">
        <v>753</v>
      </c>
      <c r="AM390" s="12" t="s">
        <v>91</v>
      </c>
      <c r="AN390" s="17" t="s">
        <v>92</v>
      </c>
    </row>
    <row r="391" spans="1:40">
      <c r="A391" s="12" t="s">
        <v>74</v>
      </c>
      <c r="B391" s="12" t="s">
        <v>1095</v>
      </c>
      <c r="C391" s="12" t="s">
        <v>1418</v>
      </c>
      <c r="D391" s="12" t="s">
        <v>89</v>
      </c>
      <c r="E391" s="12" t="s">
        <v>78</v>
      </c>
      <c r="F391" s="12" t="s">
        <v>1437</v>
      </c>
      <c r="G391" s="12" t="s">
        <v>1438</v>
      </c>
      <c r="H391" s="34" t="s">
        <v>1439</v>
      </c>
      <c r="I391" s="12" t="s">
        <v>162</v>
      </c>
      <c r="J391" s="12" t="s">
        <v>106</v>
      </c>
      <c r="K391" s="18">
        <v>0</v>
      </c>
      <c r="L391" s="18">
        <v>0</v>
      </c>
      <c r="M391" s="12" t="s">
        <v>175</v>
      </c>
      <c r="N391" s="35">
        <v>20600</v>
      </c>
      <c r="O391" s="35">
        <v>20600</v>
      </c>
      <c r="P391" s="35">
        <v>20600</v>
      </c>
      <c r="Q391" s="35">
        <v>17783.6</v>
      </c>
      <c r="R391" s="18">
        <f>N391-O391</f>
        <v>0.0</v>
      </c>
      <c r="S391" s="18">
        <f>O391-P391</f>
        <v>0.0</v>
      </c>
      <c r="T391" s="18">
        <f>N391-Q391</f>
        <v>2816.4000000000015</v>
      </c>
      <c r="U391" s="36">
        <f>IF(N391&gt;0,Q391/N391,0)</f>
        <v>0.8632815533980582</v>
      </c>
      <c r="V391" s="35">
        <v>5230859.07</v>
      </c>
      <c r="W391" s="35">
        <v>5089638.96</v>
      </c>
      <c r="X391" s="36">
        <v>0.9730025014801249</v>
      </c>
      <c r="Y391" s="35">
        <v>40062</v>
      </c>
      <c r="Z391" s="17" t="s">
        <v>1440</v>
      </c>
      <c r="AA391" s="35">
        <v>40062</v>
      </c>
      <c r="AB391" s="35">
        <v>0</v>
      </c>
      <c r="AC391" s="35">
        <v>0</v>
      </c>
      <c r="AD391" s="35">
        <v>0</v>
      </c>
      <c r="AE391" s="12" t="s">
        <v>313</v>
      </c>
      <c r="AF391" s="12" t="s">
        <v>314</v>
      </c>
      <c r="AG391" s="18">
        <v>99.5</v>
      </c>
      <c r="AH391" s="12" t="s">
        <v>145</v>
      </c>
      <c r="AI391" s="12" t="s">
        <v>89</v>
      </c>
      <c r="AJ391" s="12" t="s">
        <v>89</v>
      </c>
      <c r="AK391" s="12" t="s">
        <v>89</v>
      </c>
      <c r="AL391" s="12" t="s">
        <v>753</v>
      </c>
      <c r="AM391" s="12" t="s">
        <v>91</v>
      </c>
      <c r="AN391" s="17" t="s">
        <v>92</v>
      </c>
    </row>
    <row r="392" spans="1:40">
      <c r="A392" s="12" t="s">
        <v>74</v>
      </c>
      <c r="B392" s="12" t="s">
        <v>1095</v>
      </c>
      <c r="C392" s="12" t="s">
        <v>1418</v>
      </c>
      <c r="D392" s="12" t="s">
        <v>89</v>
      </c>
      <c r="E392" s="12" t="s">
        <v>78</v>
      </c>
      <c r="F392" s="12" t="s">
        <v>1441</v>
      </c>
      <c r="G392" s="12" t="s">
        <v>1442</v>
      </c>
      <c r="H392" s="34" t="s">
        <v>1443</v>
      </c>
      <c r="I392" s="12" t="s">
        <v>162</v>
      </c>
      <c r="J392" s="12" t="s">
        <v>83</v>
      </c>
      <c r="K392" s="18">
        <v>0</v>
      </c>
      <c r="L392" s="18">
        <v>0</v>
      </c>
      <c r="M392" s="12" t="s">
        <v>84</v>
      </c>
      <c r="N392" s="35">
        <v>3517960</v>
      </c>
      <c r="O392" s="35">
        <v>3472430.1</v>
      </c>
      <c r="P392" s="35">
        <v>2232677.1</v>
      </c>
      <c r="Q392" s="35">
        <v>2179648.510000001</v>
      </c>
      <c r="R392" s="18">
        <f>N392-O392</f>
        <v>45529.89999999991</v>
      </c>
      <c r="S392" s="18">
        <f>O392-P392</f>
        <v>1239753.0</v>
      </c>
      <c r="T392" s="18">
        <f>N392-Q392</f>
        <v>1338311.4899999993</v>
      </c>
      <c r="U392" s="36">
        <f>IF(N392&gt;0,Q392/N392,0)</f>
        <v>0.6195773999704376</v>
      </c>
      <c r="V392" s="35">
        <v>5958076</v>
      </c>
      <c r="W392" s="35">
        <v>2198990.93</v>
      </c>
      <c r="X392" s="36">
        <v>0.369077354837367</v>
      </c>
      <c r="Y392" s="35">
        <v>3517960</v>
      </c>
      <c r="Z392" s="17" t="s">
        <v>333</v>
      </c>
      <c r="AA392" s="35">
        <v>2000000</v>
      </c>
      <c r="AB392" s="35">
        <v>64020</v>
      </c>
      <c r="AC392" s="35">
        <v>1401972</v>
      </c>
      <c r="AD392" s="35">
        <v>495265</v>
      </c>
      <c r="AE392" s="12" t="s">
        <v>86</v>
      </c>
      <c r="AF392" s="12" t="s">
        <v>87</v>
      </c>
      <c r="AG392" s="18">
        <v>37.67</v>
      </c>
      <c r="AH392" s="12" t="s">
        <v>357</v>
      </c>
      <c r="AI392" s="12" t="s">
        <v>89</v>
      </c>
      <c r="AJ392" s="12" t="s">
        <v>89</v>
      </c>
      <c r="AK392" s="12" t="s">
        <v>89</v>
      </c>
      <c r="AL392" s="12" t="s">
        <v>753</v>
      </c>
      <c r="AM392" s="12" t="s">
        <v>91</v>
      </c>
      <c r="AN392" s="17" t="s">
        <v>92</v>
      </c>
    </row>
    <row r="393" spans="1:40">
      <c r="A393" s="12" t="s">
        <v>74</v>
      </c>
      <c r="B393" s="12" t="s">
        <v>1095</v>
      </c>
      <c r="C393" s="12" t="s">
        <v>1418</v>
      </c>
      <c r="D393" s="12" t="s">
        <v>89</v>
      </c>
      <c r="E393" s="12" t="s">
        <v>78</v>
      </c>
      <c r="F393" s="12" t="s">
        <v>1444</v>
      </c>
      <c r="G393" s="12" t="s">
        <v>1445</v>
      </c>
      <c r="H393" s="34" t="s">
        <v>1446</v>
      </c>
      <c r="I393" s="12" t="s">
        <v>162</v>
      </c>
      <c r="J393" s="12" t="s">
        <v>83</v>
      </c>
      <c r="K393" s="18">
        <v>0</v>
      </c>
      <c r="L393" s="18">
        <v>0</v>
      </c>
      <c r="M393" s="12" t="s">
        <v>84</v>
      </c>
      <c r="N393" s="35">
        <v>2170829</v>
      </c>
      <c r="O393" s="35">
        <v>2170829</v>
      </c>
      <c r="P393" s="35">
        <v>150829</v>
      </c>
      <c r="Q393" s="35">
        <v>147448.3</v>
      </c>
      <c r="R393" s="18">
        <f>N393-O393</f>
        <v>0.0</v>
      </c>
      <c r="S393" s="18">
        <f>O393-P393</f>
        <v>2020000.0</v>
      </c>
      <c r="T393" s="18">
        <f>N393-Q393</f>
        <v>2023380.7</v>
      </c>
      <c r="U393" s="36">
        <f>IF(N393&gt;0,Q393/N393,0)</f>
        <v>0.06792257704314802</v>
      </c>
      <c r="V393" s="35">
        <v>27796872.04</v>
      </c>
      <c r="W393" s="35">
        <v>2831513.6</v>
      </c>
      <c r="X393" s="36">
        <v>0.1018644686324929</v>
      </c>
      <c r="Y393" s="35">
        <v>8043406</v>
      </c>
      <c r="Z393" s="17" t="s">
        <v>327</v>
      </c>
      <c r="AA393" s="35">
        <v>2421000</v>
      </c>
      <c r="AB393" s="35">
        <v>2508625</v>
      </c>
      <c r="AC393" s="35">
        <v>546908</v>
      </c>
      <c r="AD393" s="35">
        <v>170650</v>
      </c>
      <c r="AE393" s="12" t="s">
        <v>86</v>
      </c>
      <c r="AF393" s="12" t="s">
        <v>87</v>
      </c>
      <c r="AG393" s="18">
        <v>2.56</v>
      </c>
      <c r="AH393" s="12" t="s">
        <v>1105</v>
      </c>
      <c r="AI393" s="12" t="s">
        <v>89</v>
      </c>
      <c r="AJ393" s="12" t="s">
        <v>89</v>
      </c>
      <c r="AK393" s="12" t="s">
        <v>89</v>
      </c>
      <c r="AL393" s="12" t="s">
        <v>753</v>
      </c>
      <c r="AM393" s="12" t="s">
        <v>91</v>
      </c>
      <c r="AN393" s="17" t="s">
        <v>92</v>
      </c>
    </row>
    <row r="394" spans="1:40">
      <c r="A394" s="12" t="s">
        <v>74</v>
      </c>
      <c r="B394" s="12" t="s">
        <v>1095</v>
      </c>
      <c r="C394" s="12" t="s">
        <v>1418</v>
      </c>
      <c r="D394" s="12" t="s">
        <v>89</v>
      </c>
      <c r="E394" s="12" t="s">
        <v>78</v>
      </c>
      <c r="F394" s="12" t="s">
        <v>1447</v>
      </c>
      <c r="G394" s="12" t="s">
        <v>1448</v>
      </c>
      <c r="H394" s="34" t="s">
        <v>1449</v>
      </c>
      <c r="I394" s="12" t="s">
        <v>162</v>
      </c>
      <c r="J394" s="12" t="s">
        <v>83</v>
      </c>
      <c r="K394" s="18">
        <v>0</v>
      </c>
      <c r="L394" s="18">
        <v>0</v>
      </c>
      <c r="M394" s="12" t="s">
        <v>84</v>
      </c>
      <c r="N394" s="35">
        <v>31336</v>
      </c>
      <c r="O394" s="35">
        <v>0</v>
      </c>
      <c r="P394" s="35">
        <v>0</v>
      </c>
      <c r="Q394" s="35">
        <v>0</v>
      </c>
      <c r="R394" s="18">
        <f>N394-O394</f>
        <v>31336.0</v>
      </c>
      <c r="S394" s="18">
        <f>O394-P394</f>
        <v>0.0</v>
      </c>
      <c r="T394" s="18">
        <f>N394-Q394</f>
        <v>31336.0</v>
      </c>
      <c r="U394" s="36">
        <f>IF(N394&gt;0,Q394/N394,0)</f>
        <v>0.0</v>
      </c>
      <c r="V394" s="35">
        <v>7800663.34</v>
      </c>
      <c r="W394" s="35">
        <v>25098.61</v>
      </c>
      <c r="X394" s="36">
        <v>0.003217496885335395</v>
      </c>
      <c r="Y394" s="35">
        <v>31336</v>
      </c>
      <c r="Z394" s="17" t="s">
        <v>1450</v>
      </c>
      <c r="AA394" s="35">
        <v>513444</v>
      </c>
      <c r="AB394" s="35">
        <v>0</v>
      </c>
      <c r="AC394" s="35">
        <v>0</v>
      </c>
      <c r="AD394" s="35">
        <v>0</v>
      </c>
      <c r="AE394" s="12" t="s">
        <v>203</v>
      </c>
      <c r="AF394" s="12" t="s">
        <v>87</v>
      </c>
      <c r="AG394" s="18">
        <v>0</v>
      </c>
      <c r="AH394" s="12" t="s">
        <v>145</v>
      </c>
      <c r="AI394" s="12" t="s">
        <v>89</v>
      </c>
      <c r="AJ394" s="12" t="s">
        <v>89</v>
      </c>
      <c r="AK394" s="12" t="s">
        <v>89</v>
      </c>
      <c r="AL394" s="12" t="s">
        <v>753</v>
      </c>
      <c r="AM394" s="12" t="s">
        <v>91</v>
      </c>
      <c r="AN394" s="17" t="s">
        <v>92</v>
      </c>
    </row>
    <row r="395" spans="1:40">
      <c r="A395" s="12" t="s">
        <v>74</v>
      </c>
      <c r="B395" s="12" t="s">
        <v>1095</v>
      </c>
      <c r="C395" s="12" t="s">
        <v>1418</v>
      </c>
      <c r="D395" s="12" t="s">
        <v>89</v>
      </c>
      <c r="E395" s="12" t="s">
        <v>78</v>
      </c>
      <c r="F395" s="12" t="s">
        <v>1451</v>
      </c>
      <c r="G395" s="12" t="s">
        <v>1452</v>
      </c>
      <c r="H395" s="34" t="s">
        <v>1453</v>
      </c>
      <c r="I395" s="12" t="s">
        <v>162</v>
      </c>
      <c r="J395" s="12" t="s">
        <v>83</v>
      </c>
      <c r="K395" s="18">
        <v>0</v>
      </c>
      <c r="L395" s="18">
        <v>0</v>
      </c>
      <c r="M395" s="12" t="s">
        <v>84</v>
      </c>
      <c r="N395" s="35">
        <v>1263865</v>
      </c>
      <c r="O395" s="35">
        <v>1181167.94</v>
      </c>
      <c r="P395" s="35">
        <v>153969.11</v>
      </c>
      <c r="Q395" s="35">
        <v>146441.28</v>
      </c>
      <c r="R395" s="18">
        <f>N395-O395</f>
        <v>82697.05999999982</v>
      </c>
      <c r="S395" s="18">
        <f>O395-P395</f>
        <v>1027198.8300000002</v>
      </c>
      <c r="T395" s="18">
        <f>N395-Q395</f>
        <v>1117423.72</v>
      </c>
      <c r="U395" s="36">
        <f>IF(N395&gt;0,Q395/N395,0)</f>
        <v>0.11586781816095867</v>
      </c>
      <c r="V395" s="35">
        <v>4296409.42</v>
      </c>
      <c r="W395" s="35">
        <v>245229.14</v>
      </c>
      <c r="X395" s="36">
        <v>0.0570776934941177</v>
      </c>
      <c r="Y395" s="35">
        <v>1263865</v>
      </c>
      <c r="Z395" s="17" t="s">
        <v>333</v>
      </c>
      <c r="AA395" s="35">
        <v>894000</v>
      </c>
      <c r="AB395" s="35">
        <v>0</v>
      </c>
      <c r="AC395" s="35">
        <v>825648</v>
      </c>
      <c r="AD395" s="35">
        <v>825648</v>
      </c>
      <c r="AE395" s="12" t="s">
        <v>86</v>
      </c>
      <c r="AF395" s="12" t="s">
        <v>87</v>
      </c>
      <c r="AG395" s="18">
        <v>3.45</v>
      </c>
      <c r="AH395" s="12" t="s">
        <v>357</v>
      </c>
      <c r="AI395" s="12" t="s">
        <v>89</v>
      </c>
      <c r="AJ395" s="12" t="s">
        <v>89</v>
      </c>
      <c r="AK395" s="12" t="s">
        <v>89</v>
      </c>
      <c r="AL395" s="12" t="s">
        <v>753</v>
      </c>
      <c r="AM395" s="12" t="s">
        <v>91</v>
      </c>
      <c r="AN395" s="17" t="s">
        <v>92</v>
      </c>
    </row>
    <row r="396" spans="1:40">
      <c r="A396" s="12" t="s">
        <v>74</v>
      </c>
      <c r="B396" s="12" t="s">
        <v>1095</v>
      </c>
      <c r="C396" s="12" t="s">
        <v>1418</v>
      </c>
      <c r="D396" s="12" t="s">
        <v>89</v>
      </c>
      <c r="E396" s="12" t="s">
        <v>78</v>
      </c>
      <c r="F396" s="12" t="s">
        <v>1454</v>
      </c>
      <c r="G396" s="12" t="s">
        <v>1455</v>
      </c>
      <c r="H396" s="34" t="s">
        <v>1456</v>
      </c>
      <c r="I396" s="12" t="s">
        <v>162</v>
      </c>
      <c r="J396" s="12" t="s">
        <v>83</v>
      </c>
      <c r="K396" s="18">
        <v>0</v>
      </c>
      <c r="L396" s="18">
        <v>0</v>
      </c>
      <c r="M396" s="12" t="s">
        <v>84</v>
      </c>
      <c r="N396" s="35">
        <v>8483998</v>
      </c>
      <c r="O396" s="35">
        <v>8474782.309999999</v>
      </c>
      <c r="P396" s="35">
        <v>5324755.310000001</v>
      </c>
      <c r="Q396" s="35">
        <v>5322446.09</v>
      </c>
      <c r="R396" s="18">
        <f>N396-O396</f>
        <v>9215.690000001341</v>
      </c>
      <c r="S396" s="18">
        <f>O396-P396</f>
        <v>3150026.999999998</v>
      </c>
      <c r="T396" s="18">
        <f>N396-Q396</f>
        <v>3161551.91</v>
      </c>
      <c r="U396" s="36">
        <f>IF(N396&gt;0,Q396/N396,0)</f>
        <v>0.627351172171422</v>
      </c>
      <c r="V396" s="35">
        <v>12759649</v>
      </c>
      <c r="W396" s="35">
        <v>5451829.46</v>
      </c>
      <c r="X396" s="36">
        <v>0.427271115373158</v>
      </c>
      <c r="Y396" s="35">
        <v>8483998</v>
      </c>
      <c r="Z396" s="17" t="s">
        <v>135</v>
      </c>
      <c r="AA396" s="35">
        <v>2578971</v>
      </c>
      <c r="AB396" s="35">
        <v>22487</v>
      </c>
      <c r="AC396" s="35">
        <v>500000</v>
      </c>
      <c r="AD396" s="35">
        <v>500000</v>
      </c>
      <c r="AE396" s="12" t="s">
        <v>86</v>
      </c>
      <c r="AF396" s="12" t="s">
        <v>87</v>
      </c>
      <c r="AG396" s="18">
        <v>43.12</v>
      </c>
      <c r="AH396" s="12" t="s">
        <v>357</v>
      </c>
      <c r="AI396" s="12" t="s">
        <v>89</v>
      </c>
      <c r="AJ396" s="12" t="s">
        <v>89</v>
      </c>
      <c r="AK396" s="12" t="s">
        <v>89</v>
      </c>
      <c r="AL396" s="12" t="s">
        <v>753</v>
      </c>
      <c r="AM396" s="12" t="s">
        <v>91</v>
      </c>
      <c r="AN396" s="17" t="s">
        <v>92</v>
      </c>
    </row>
    <row r="397" spans="1:40">
      <c r="A397" s="12" t="s">
        <v>74</v>
      </c>
      <c r="B397" s="12" t="s">
        <v>1095</v>
      </c>
      <c r="C397" s="12" t="s">
        <v>1418</v>
      </c>
      <c r="D397" s="12" t="s">
        <v>89</v>
      </c>
      <c r="E397" s="12" t="s">
        <v>78</v>
      </c>
      <c r="F397" s="12" t="s">
        <v>1457</v>
      </c>
      <c r="G397" s="12" t="s">
        <v>1458</v>
      </c>
      <c r="H397" s="34" t="s">
        <v>1459</v>
      </c>
      <c r="I397" s="12" t="s">
        <v>162</v>
      </c>
      <c r="J397" s="12" t="s">
        <v>106</v>
      </c>
      <c r="K397" s="18">
        <v>0</v>
      </c>
      <c r="L397" s="18">
        <v>0</v>
      </c>
      <c r="M397" s="12" t="s">
        <v>121</v>
      </c>
      <c r="N397" s="35">
        <v>4219373</v>
      </c>
      <c r="O397" s="35">
        <v>4183621.03</v>
      </c>
      <c r="P397" s="35">
        <v>3856814.5</v>
      </c>
      <c r="Q397" s="35">
        <v>3829328.080000001</v>
      </c>
      <c r="R397" s="18">
        <f>N397-O397</f>
        <v>35751.96999999974</v>
      </c>
      <c r="S397" s="18">
        <f>O397-P397</f>
        <v>326806.53000000026</v>
      </c>
      <c r="T397" s="18">
        <f>N397-Q397</f>
        <v>390044.91999999946</v>
      </c>
      <c r="U397" s="36">
        <f>IF(N397&gt;0,Q397/N397,0)</f>
        <v>0.9075585590560494</v>
      </c>
      <c r="V397" s="35">
        <v>18954938.43</v>
      </c>
      <c r="W397" s="35">
        <v>18546876.19</v>
      </c>
      <c r="X397" s="36">
        <v>0.9784719828288042</v>
      </c>
      <c r="Y397" s="35">
        <v>4219373</v>
      </c>
      <c r="Z397" s="17" t="s">
        <v>1385</v>
      </c>
      <c r="AA397" s="35">
        <v>3305500</v>
      </c>
      <c r="AB397" s="35">
        <v>177809</v>
      </c>
      <c r="AC397" s="35">
        <v>150483</v>
      </c>
      <c r="AD397" s="35">
        <v>0</v>
      </c>
      <c r="AE397" s="12" t="s">
        <v>86</v>
      </c>
      <c r="AF397" s="12" t="s">
        <v>87</v>
      </c>
      <c r="AG397" s="18">
        <v>96.53</v>
      </c>
      <c r="AH397" s="12" t="s">
        <v>1105</v>
      </c>
      <c r="AI397" s="12" t="s">
        <v>89</v>
      </c>
      <c r="AJ397" s="12" t="s">
        <v>89</v>
      </c>
      <c r="AK397" s="12" t="s">
        <v>89</v>
      </c>
      <c r="AL397" s="12" t="s">
        <v>753</v>
      </c>
      <c r="AM397" s="12" t="s">
        <v>91</v>
      </c>
      <c r="AN397" s="17" t="s">
        <v>92</v>
      </c>
    </row>
    <row r="398" spans="1:40">
      <c r="A398" s="12" t="s">
        <v>74</v>
      </c>
      <c r="B398" s="12" t="s">
        <v>1095</v>
      </c>
      <c r="C398" s="12" t="s">
        <v>1418</v>
      </c>
      <c r="D398" s="12" t="s">
        <v>89</v>
      </c>
      <c r="E398" s="12" t="s">
        <v>78</v>
      </c>
      <c r="F398" s="12" t="s">
        <v>1460</v>
      </c>
      <c r="G398" s="12" t="s">
        <v>1461</v>
      </c>
      <c r="H398" s="34" t="s">
        <v>1462</v>
      </c>
      <c r="I398" s="12" t="s">
        <v>162</v>
      </c>
      <c r="J398" s="12" t="s">
        <v>83</v>
      </c>
      <c r="K398" s="18">
        <v>0</v>
      </c>
      <c r="L398" s="18">
        <v>0</v>
      </c>
      <c r="M398" s="12" t="s">
        <v>84</v>
      </c>
      <c r="N398" s="35">
        <v>13926334</v>
      </c>
      <c r="O398" s="35">
        <v>13763618.01</v>
      </c>
      <c r="P398" s="35">
        <v>242796</v>
      </c>
      <c r="Q398" s="35">
        <v>182925.48</v>
      </c>
      <c r="R398" s="18">
        <f>N398-O398</f>
        <v>162715.99000000022</v>
      </c>
      <c r="S398" s="18">
        <f>O398-P398</f>
        <v>13520822.01</v>
      </c>
      <c r="T398" s="18">
        <f>N398-Q398</f>
        <v>13743408.52</v>
      </c>
      <c r="U398" s="36">
        <f>IF(N398&gt;0,Q398/N398,0)</f>
        <v>0.013135221372688605</v>
      </c>
      <c r="V398" s="35">
        <v>22372490.08</v>
      </c>
      <c r="W398" s="35">
        <v>237295.23</v>
      </c>
      <c r="X398" s="36">
        <v>0.01060656320112223</v>
      </c>
      <c r="Y398" s="35">
        <v>13926334</v>
      </c>
      <c r="Z398" s="17" t="s">
        <v>135</v>
      </c>
      <c r="AA398" s="35">
        <v>923830</v>
      </c>
      <c r="AB398" s="35">
        <v>1124828</v>
      </c>
      <c r="AC398" s="35">
        <v>450000</v>
      </c>
      <c r="AD398" s="35">
        <v>450000</v>
      </c>
      <c r="AE398" s="12" t="s">
        <v>86</v>
      </c>
      <c r="AF398" s="12" t="s">
        <v>87</v>
      </c>
      <c r="AG398" s="18">
        <v>0.39</v>
      </c>
      <c r="AH398" s="12" t="s">
        <v>357</v>
      </c>
      <c r="AI398" s="12" t="s">
        <v>89</v>
      </c>
      <c r="AJ398" s="12" t="s">
        <v>89</v>
      </c>
      <c r="AK398" s="12" t="s">
        <v>89</v>
      </c>
      <c r="AL398" s="12" t="s">
        <v>753</v>
      </c>
      <c r="AM398" s="12" t="s">
        <v>91</v>
      </c>
      <c r="AN398" s="17" t="s">
        <v>92</v>
      </c>
    </row>
    <row r="399" spans="1:40">
      <c r="A399" s="12" t="s">
        <v>74</v>
      </c>
      <c r="B399" s="12" t="s">
        <v>1095</v>
      </c>
      <c r="C399" s="12" t="s">
        <v>1418</v>
      </c>
      <c r="D399" s="12" t="s">
        <v>89</v>
      </c>
      <c r="E399" s="12" t="s">
        <v>78</v>
      </c>
      <c r="F399" s="12" t="s">
        <v>1463</v>
      </c>
      <c r="G399" s="12" t="s">
        <v>1464</v>
      </c>
      <c r="H399" s="34" t="s">
        <v>1465</v>
      </c>
      <c r="I399" s="12" t="s">
        <v>162</v>
      </c>
      <c r="J399" s="12" t="s">
        <v>83</v>
      </c>
      <c r="K399" s="18">
        <v>0</v>
      </c>
      <c r="L399" s="18">
        <v>0</v>
      </c>
      <c r="M399" s="12" t="s">
        <v>84</v>
      </c>
      <c r="N399" s="35">
        <v>1175365</v>
      </c>
      <c r="O399" s="35">
        <v>285679.94</v>
      </c>
      <c r="P399" s="35">
        <v>282859.94</v>
      </c>
      <c r="Q399" s="35">
        <v>278011.28</v>
      </c>
      <c r="R399" s="18">
        <f>N399-O399</f>
        <v>889685.06</v>
      </c>
      <c r="S399" s="18">
        <f>O399-P399</f>
        <v>2820.0</v>
      </c>
      <c r="T399" s="18">
        <f>N399-Q399</f>
        <v>897353.72</v>
      </c>
      <c r="U399" s="36">
        <f>IF(N399&gt;0,Q399/N399,0)</f>
        <v>0.23653186882372707</v>
      </c>
      <c r="V399" s="35">
        <v>1783209.67</v>
      </c>
      <c r="W399" s="35">
        <v>853367.6899999999</v>
      </c>
      <c r="X399" s="36">
        <v>0.4785571233471384</v>
      </c>
      <c r="Y399" s="35">
        <v>1175365</v>
      </c>
      <c r="Z399" s="17" t="s">
        <v>135</v>
      </c>
      <c r="AA399" s="35">
        <v>300000</v>
      </c>
      <c r="AB399" s="35">
        <v>163232</v>
      </c>
      <c r="AC399" s="35">
        <v>0</v>
      </c>
      <c r="AD399" s="35">
        <v>0</v>
      </c>
      <c r="AE399" s="12" t="s">
        <v>86</v>
      </c>
      <c r="AF399" s="12" t="s">
        <v>87</v>
      </c>
      <c r="AG399" s="18">
        <v>46.39</v>
      </c>
      <c r="AH399" s="12" t="s">
        <v>357</v>
      </c>
      <c r="AI399" s="12" t="s">
        <v>89</v>
      </c>
      <c r="AJ399" s="12" t="s">
        <v>89</v>
      </c>
      <c r="AK399" s="12" t="s">
        <v>89</v>
      </c>
      <c r="AL399" s="12" t="s">
        <v>753</v>
      </c>
      <c r="AM399" s="12" t="s">
        <v>91</v>
      </c>
      <c r="AN399" s="17" t="s">
        <v>92</v>
      </c>
    </row>
    <row r="400" spans="1:40">
      <c r="A400" s="12" t="s">
        <v>74</v>
      </c>
      <c r="B400" s="12" t="s">
        <v>1095</v>
      </c>
      <c r="C400" s="12" t="s">
        <v>1418</v>
      </c>
      <c r="D400" s="12" t="s">
        <v>89</v>
      </c>
      <c r="E400" s="12" t="s">
        <v>78</v>
      </c>
      <c r="F400" s="12" t="s">
        <v>1466</v>
      </c>
      <c r="G400" s="12" t="s">
        <v>1467</v>
      </c>
      <c r="H400" s="34" t="s">
        <v>1468</v>
      </c>
      <c r="I400" s="12" t="s">
        <v>162</v>
      </c>
      <c r="J400" s="12" t="s">
        <v>106</v>
      </c>
      <c r="K400" s="18">
        <v>0</v>
      </c>
      <c r="L400" s="18">
        <v>0</v>
      </c>
      <c r="M400" s="12" t="s">
        <v>175</v>
      </c>
      <c r="N400" s="35">
        <v>392605</v>
      </c>
      <c r="O400" s="35">
        <v>337020.28</v>
      </c>
      <c r="P400" s="35">
        <v>313706.07</v>
      </c>
      <c r="Q400" s="35">
        <v>298073.85</v>
      </c>
      <c r="R400" s="18">
        <f>N400-O400</f>
        <v>55584.72000000003</v>
      </c>
      <c r="S400" s="18">
        <f>O400-P400</f>
        <v>23314.209999999963</v>
      </c>
      <c r="T400" s="18">
        <f>N400-Q400</f>
        <v>94531.15000000002</v>
      </c>
      <c r="U400" s="36">
        <f>IF(N400&gt;0,Q400/N400,0)</f>
        <v>0.7592207180244774</v>
      </c>
      <c r="V400" s="35">
        <v>31202307.64</v>
      </c>
      <c r="W400" s="35">
        <v>30280941.45</v>
      </c>
      <c r="X400" s="36">
        <v>0.9704712164039159</v>
      </c>
      <c r="Y400" s="35">
        <v>587684</v>
      </c>
      <c r="Z400" s="17" t="s">
        <v>1385</v>
      </c>
      <c r="AA400" s="35">
        <v>587684</v>
      </c>
      <c r="AB400" s="35">
        <v>31681</v>
      </c>
      <c r="AC400" s="35">
        <v>755677</v>
      </c>
      <c r="AD400" s="35">
        <v>0</v>
      </c>
      <c r="AE400" s="12" t="s">
        <v>86</v>
      </c>
      <c r="AF400" s="12" t="s">
        <v>87</v>
      </c>
      <c r="AG400" s="18">
        <v>99.93000000000001</v>
      </c>
      <c r="AH400" s="12" t="s">
        <v>1469</v>
      </c>
      <c r="AI400" s="12" t="s">
        <v>89</v>
      </c>
      <c r="AJ400" s="12" t="s">
        <v>89</v>
      </c>
      <c r="AK400" s="12" t="s">
        <v>89</v>
      </c>
      <c r="AL400" s="12" t="s">
        <v>753</v>
      </c>
      <c r="AM400" s="12" t="s">
        <v>91</v>
      </c>
      <c r="AN400" s="17" t="s">
        <v>92</v>
      </c>
    </row>
    <row r="401" spans="1:40">
      <c r="A401" s="12" t="s">
        <v>74</v>
      </c>
      <c r="B401" s="12" t="s">
        <v>1095</v>
      </c>
      <c r="C401" s="12" t="s">
        <v>1418</v>
      </c>
      <c r="D401" s="12" t="s">
        <v>89</v>
      </c>
      <c r="E401" s="12" t="s">
        <v>78</v>
      </c>
      <c r="F401" s="12" t="s">
        <v>1470</v>
      </c>
      <c r="G401" s="12" t="s">
        <v>1471</v>
      </c>
      <c r="H401" s="34" t="s">
        <v>1472</v>
      </c>
      <c r="I401" s="12" t="s">
        <v>162</v>
      </c>
      <c r="J401" s="12" t="s">
        <v>83</v>
      </c>
      <c r="K401" s="18">
        <v>0</v>
      </c>
      <c r="L401" s="18">
        <v>0</v>
      </c>
      <c r="M401" s="12" t="s">
        <v>84</v>
      </c>
      <c r="N401" s="35">
        <v>167074</v>
      </c>
      <c r="O401" s="35">
        <v>63765.14</v>
      </c>
      <c r="P401" s="35">
        <v>63765.14</v>
      </c>
      <c r="Q401" s="35">
        <v>62264.09000000001</v>
      </c>
      <c r="R401" s="18">
        <f>N401-O401</f>
        <v>103308.86</v>
      </c>
      <c r="S401" s="18">
        <f>O401-P401</f>
        <v>0.0</v>
      </c>
      <c r="T401" s="18">
        <f>N401-Q401</f>
        <v>104809.90999999999</v>
      </c>
      <c r="U401" s="36">
        <f>IF(N401&gt;0,Q401/N401,0)</f>
        <v>0.3726737254150856</v>
      </c>
      <c r="V401" s="35">
        <v>6310615.49</v>
      </c>
      <c r="W401" s="35">
        <v>112061.64</v>
      </c>
      <c r="X401" s="36">
        <v>0.01775764030902792</v>
      </c>
      <c r="Y401" s="35">
        <v>167074</v>
      </c>
      <c r="Z401" s="17" t="s">
        <v>333</v>
      </c>
      <c r="AA401" s="35">
        <v>295210</v>
      </c>
      <c r="AB401" s="35">
        <v>0</v>
      </c>
      <c r="AC401" s="35">
        <v>1200001</v>
      </c>
      <c r="AD401" s="35">
        <v>1200001</v>
      </c>
      <c r="AE401" s="12" t="s">
        <v>86</v>
      </c>
      <c r="AF401" s="12" t="s">
        <v>87</v>
      </c>
      <c r="AG401" s="18">
        <v>-1</v>
      </c>
      <c r="AH401" s="12" t="s">
        <v>1469</v>
      </c>
      <c r="AI401" s="12" t="s">
        <v>89</v>
      </c>
      <c r="AJ401" s="12" t="s">
        <v>89</v>
      </c>
      <c r="AK401" s="12" t="s">
        <v>89</v>
      </c>
      <c r="AL401" s="12" t="s">
        <v>753</v>
      </c>
      <c r="AM401" s="12" t="s">
        <v>91</v>
      </c>
      <c r="AN401" s="17" t="s">
        <v>92</v>
      </c>
    </row>
    <row r="402" spans="1:40">
      <c r="A402" s="12" t="s">
        <v>74</v>
      </c>
      <c r="B402" s="12" t="s">
        <v>1095</v>
      </c>
      <c r="C402" s="12" t="s">
        <v>1418</v>
      </c>
      <c r="D402" s="12" t="s">
        <v>89</v>
      </c>
      <c r="E402" s="12" t="s">
        <v>78</v>
      </c>
      <c r="F402" s="12" t="s">
        <v>1473</v>
      </c>
      <c r="G402" s="12" t="s">
        <v>1474</v>
      </c>
      <c r="H402" s="34" t="s">
        <v>1475</v>
      </c>
      <c r="I402" s="12" t="s">
        <v>162</v>
      </c>
      <c r="J402" s="12" t="s">
        <v>83</v>
      </c>
      <c r="K402" s="18">
        <v>0</v>
      </c>
      <c r="L402" s="18">
        <v>0</v>
      </c>
      <c r="M402" s="12" t="s">
        <v>84</v>
      </c>
      <c r="N402" s="35">
        <v>2967206</v>
      </c>
      <c r="O402" s="35">
        <v>2958279.03</v>
      </c>
      <c r="P402" s="35">
        <v>1416600.7</v>
      </c>
      <c r="Q402" s="35">
        <v>885884.3100000003</v>
      </c>
      <c r="R402" s="18">
        <f>N402-O402</f>
        <v>8926.96999999974</v>
      </c>
      <c r="S402" s="18">
        <f>O402-P402</f>
        <v>1541678.3300000003</v>
      </c>
      <c r="T402" s="18">
        <f>N402-Q402</f>
        <v>2081321.6899999997</v>
      </c>
      <c r="U402" s="36">
        <f>IF(N402&gt;0,Q402/N402,0)</f>
        <v>0.29855841151574924</v>
      </c>
      <c r="V402" s="35">
        <v>6835623.17</v>
      </c>
      <c r="W402" s="35">
        <v>936506.79</v>
      </c>
      <c r="X402" s="36">
        <v>0.1370038644186994</v>
      </c>
      <c r="Y402" s="35">
        <v>2967206</v>
      </c>
      <c r="Z402" s="17" t="s">
        <v>168</v>
      </c>
      <c r="AA402" s="35">
        <v>309908</v>
      </c>
      <c r="AB402" s="35">
        <v>29240</v>
      </c>
      <c r="AC402" s="35">
        <v>1302067</v>
      </c>
      <c r="AD402" s="35">
        <v>604135</v>
      </c>
      <c r="AE402" s="12" t="s">
        <v>86</v>
      </c>
      <c r="AF402" s="12" t="s">
        <v>87</v>
      </c>
      <c r="AG402" s="18">
        <v>2.67</v>
      </c>
      <c r="AH402" s="12" t="s">
        <v>357</v>
      </c>
      <c r="AI402" s="12" t="s">
        <v>89</v>
      </c>
      <c r="AJ402" s="12" t="s">
        <v>89</v>
      </c>
      <c r="AK402" s="12" t="s">
        <v>89</v>
      </c>
      <c r="AL402" s="12" t="s">
        <v>753</v>
      </c>
      <c r="AM402" s="12" t="s">
        <v>91</v>
      </c>
      <c r="AN402" s="17" t="s">
        <v>92</v>
      </c>
    </row>
    <row r="403" spans="1:40">
      <c r="A403" s="12" t="s">
        <v>74</v>
      </c>
      <c r="B403" s="12" t="s">
        <v>1095</v>
      </c>
      <c r="C403" s="12" t="s">
        <v>1418</v>
      </c>
      <c r="D403" s="12" t="s">
        <v>89</v>
      </c>
      <c r="E403" s="12" t="s">
        <v>78</v>
      </c>
      <c r="F403" s="12" t="s">
        <v>1476</v>
      </c>
      <c r="G403" s="12" t="s">
        <v>1477</v>
      </c>
      <c r="H403" s="34" t="s">
        <v>1478</v>
      </c>
      <c r="I403" s="12" t="s">
        <v>162</v>
      </c>
      <c r="J403" s="12" t="s">
        <v>83</v>
      </c>
      <c r="K403" s="18">
        <v>0</v>
      </c>
      <c r="L403" s="18">
        <v>0</v>
      </c>
      <c r="M403" s="12" t="s">
        <v>84</v>
      </c>
      <c r="N403" s="35">
        <v>2040218</v>
      </c>
      <c r="O403" s="35">
        <v>2014066.28</v>
      </c>
      <c r="P403" s="35">
        <v>213741.98</v>
      </c>
      <c r="Q403" s="35">
        <v>153737.13</v>
      </c>
      <c r="R403" s="18">
        <f>N403-O403</f>
        <v>26151.719999999972</v>
      </c>
      <c r="S403" s="18">
        <f>O403-P403</f>
        <v>1800324.3</v>
      </c>
      <c r="T403" s="18">
        <f>N403-Q403</f>
        <v>1886480.87</v>
      </c>
      <c r="U403" s="36">
        <f>IF(N403&gt;0,Q403/N403,0)</f>
        <v>0.07535328577632389</v>
      </c>
      <c r="V403" s="35">
        <v>6467183.35</v>
      </c>
      <c r="W403" s="35">
        <v>163539.3</v>
      </c>
      <c r="X403" s="36">
        <v>0.02528756201105695</v>
      </c>
      <c r="Y403" s="35">
        <v>2040218</v>
      </c>
      <c r="Z403" s="17" t="s">
        <v>333</v>
      </c>
      <c r="AA403" s="35">
        <v>40218</v>
      </c>
      <c r="AB403" s="35">
        <v>3757795</v>
      </c>
      <c r="AC403" s="35">
        <v>698171</v>
      </c>
      <c r="AD403" s="35">
        <v>0</v>
      </c>
      <c r="AE403" s="12" t="s">
        <v>86</v>
      </c>
      <c r="AF403" s="12" t="s">
        <v>87</v>
      </c>
      <c r="AG403" s="18">
        <v>0.9399999999999999</v>
      </c>
      <c r="AH403" s="12" t="s">
        <v>1479</v>
      </c>
      <c r="AI403" s="12" t="s">
        <v>89</v>
      </c>
      <c r="AJ403" s="12" t="s">
        <v>89</v>
      </c>
      <c r="AK403" s="12" t="s">
        <v>89</v>
      </c>
      <c r="AL403" s="12" t="s">
        <v>1480</v>
      </c>
      <c r="AM403" s="12" t="s">
        <v>91</v>
      </c>
      <c r="AN403" s="17" t="s">
        <v>92</v>
      </c>
    </row>
    <row r="404" spans="1:40">
      <c r="A404" s="12" t="s">
        <v>74</v>
      </c>
      <c r="B404" s="12" t="s">
        <v>1095</v>
      </c>
      <c r="C404" s="12" t="s">
        <v>1418</v>
      </c>
      <c r="D404" s="12" t="s">
        <v>89</v>
      </c>
      <c r="E404" s="12" t="s">
        <v>78</v>
      </c>
      <c r="F404" s="12" t="s">
        <v>1481</v>
      </c>
      <c r="G404" s="12" t="s">
        <v>1482</v>
      </c>
      <c r="H404" s="34" t="s">
        <v>1483</v>
      </c>
      <c r="I404" s="12" t="s">
        <v>162</v>
      </c>
      <c r="J404" s="12" t="s">
        <v>83</v>
      </c>
      <c r="K404" s="18">
        <v>0</v>
      </c>
      <c r="L404" s="18">
        <v>0</v>
      </c>
      <c r="M404" s="12" t="s">
        <v>84</v>
      </c>
      <c r="N404" s="35">
        <v>3974680</v>
      </c>
      <c r="O404" s="35">
        <v>3830379.2</v>
      </c>
      <c r="P404" s="35">
        <v>188579.2</v>
      </c>
      <c r="Q404" s="35">
        <v>141890.09</v>
      </c>
      <c r="R404" s="18">
        <f>N404-O404</f>
        <v>144300.7999999998</v>
      </c>
      <c r="S404" s="18">
        <f>O404-P404</f>
        <v>3641800.0</v>
      </c>
      <c r="T404" s="18">
        <f>N404-Q404</f>
        <v>3832789.91</v>
      </c>
      <c r="U404" s="36">
        <f>IF(N404&gt;0,Q404/N404,0)</f>
        <v>0.035698493966809915</v>
      </c>
      <c r="V404" s="35">
        <v>4092545.26</v>
      </c>
      <c r="W404" s="35">
        <v>192872.46</v>
      </c>
      <c r="X404" s="36">
        <v>0.04712775247353037</v>
      </c>
      <c r="Y404" s="35">
        <v>3974680</v>
      </c>
      <c r="Z404" s="17" t="s">
        <v>333</v>
      </c>
      <c r="AA404" s="35">
        <v>2900000</v>
      </c>
      <c r="AB404" s="35">
        <v>66882</v>
      </c>
      <c r="AC404" s="35">
        <v>1</v>
      </c>
      <c r="AD404" s="35">
        <v>0</v>
      </c>
      <c r="AE404" s="12" t="s">
        <v>86</v>
      </c>
      <c r="AF404" s="12" t="s">
        <v>87</v>
      </c>
      <c r="AG404" s="18">
        <v>1.24</v>
      </c>
      <c r="AH404" s="12" t="s">
        <v>357</v>
      </c>
      <c r="AI404" s="12" t="s">
        <v>89</v>
      </c>
      <c r="AJ404" s="12" t="s">
        <v>89</v>
      </c>
      <c r="AK404" s="12" t="s">
        <v>89</v>
      </c>
      <c r="AL404" s="12" t="s">
        <v>753</v>
      </c>
      <c r="AM404" s="12" t="s">
        <v>91</v>
      </c>
      <c r="AN404" s="17" t="s">
        <v>92</v>
      </c>
    </row>
    <row r="405" spans="1:40">
      <c r="A405" s="12" t="s">
        <v>74</v>
      </c>
      <c r="B405" s="12" t="s">
        <v>1095</v>
      </c>
      <c r="C405" s="12" t="s">
        <v>1418</v>
      </c>
      <c r="D405" s="12" t="s">
        <v>89</v>
      </c>
      <c r="E405" s="12" t="s">
        <v>78</v>
      </c>
      <c r="F405" s="12" t="s">
        <v>1484</v>
      </c>
      <c r="G405" s="12" t="s">
        <v>1485</v>
      </c>
      <c r="H405" s="34" t="s">
        <v>1486</v>
      </c>
      <c r="I405" s="12" t="s">
        <v>162</v>
      </c>
      <c r="J405" s="12" t="s">
        <v>272</v>
      </c>
      <c r="K405" s="18">
        <v>80738</v>
      </c>
      <c r="L405" s="18">
        <v>0</v>
      </c>
      <c r="M405" s="12" t="s">
        <v>1487</v>
      </c>
      <c r="N405" s="35">
        <v>80738</v>
      </c>
      <c r="O405" s="35">
        <v>0</v>
      </c>
      <c r="P405" s="35">
        <v>0</v>
      </c>
      <c r="Q405" s="35">
        <v>0</v>
      </c>
      <c r="R405" s="18">
        <f>N405-O405</f>
        <v>80738.0</v>
      </c>
      <c r="S405" s="18">
        <f>O405-P405</f>
        <v>0.0</v>
      </c>
      <c r="T405" s="18">
        <f>N405-Q405</f>
        <v>80738.0</v>
      </c>
      <c r="U405" s="36">
        <f>IF(N405&gt;0,Q405/N405,0)</f>
        <v>0.0</v>
      </c>
      <c r="V405" s="35">
        <v>20959900</v>
      </c>
      <c r="W405" s="35">
        <v>0</v>
      </c>
      <c r="X405" s="36">
        <v>0</v>
      </c>
      <c r="Y405" s="35">
        <v>80738</v>
      </c>
      <c r="Z405" s="17" t="s">
        <v>1488</v>
      </c>
      <c r="AA405" s="12" t="s">
        <v>99</v>
      </c>
      <c r="AB405" s="12" t="s">
        <v>99</v>
      </c>
      <c r="AC405" s="12" t="s">
        <v>99</v>
      </c>
      <c r="AD405" s="12" t="s">
        <v>99</v>
      </c>
      <c r="AE405" s="12" t="s">
        <v>86</v>
      </c>
      <c r="AF405" s="12" t="s">
        <v>87</v>
      </c>
      <c r="AG405" s="18">
        <v>0</v>
      </c>
      <c r="AH405" s="12" t="s">
        <v>169</v>
      </c>
      <c r="AI405" s="12" t="s">
        <v>89</v>
      </c>
      <c r="AJ405" s="12" t="s">
        <v>89</v>
      </c>
      <c r="AK405" s="12" t="s">
        <v>89</v>
      </c>
      <c r="AL405" s="12" t="s">
        <v>753</v>
      </c>
      <c r="AM405" s="12" t="s">
        <v>91</v>
      </c>
      <c r="AN405" s="17" t="s">
        <v>87</v>
      </c>
    </row>
    <row r="406" spans="1:40">
      <c r="A406" s="12" t="s">
        <v>74</v>
      </c>
      <c r="B406" s="12" t="s">
        <v>1095</v>
      </c>
      <c r="C406" s="12" t="s">
        <v>1418</v>
      </c>
      <c r="D406" s="12" t="s">
        <v>89</v>
      </c>
      <c r="E406" s="12" t="s">
        <v>78</v>
      </c>
      <c r="F406" s="12" t="s">
        <v>1444</v>
      </c>
      <c r="G406" s="12" t="s">
        <v>1489</v>
      </c>
      <c r="H406" s="34" t="s">
        <v>1446</v>
      </c>
      <c r="I406" s="12" t="s">
        <v>162</v>
      </c>
      <c r="J406" s="12" t="s">
        <v>83</v>
      </c>
      <c r="K406" s="18">
        <v>0</v>
      </c>
      <c r="L406" s="18">
        <v>0</v>
      </c>
      <c r="M406" s="12" t="s">
        <v>84</v>
      </c>
      <c r="N406" s="35">
        <v>5872577</v>
      </c>
      <c r="O406" s="35">
        <v>3724247.82</v>
      </c>
      <c r="P406" s="35">
        <v>3170278.9</v>
      </c>
      <c r="Q406" s="35">
        <v>2558179.3</v>
      </c>
      <c r="R406" s="18">
        <f>N406-O406</f>
        <v>2148329.18</v>
      </c>
      <c r="S406" s="18">
        <f>O406-P406</f>
        <v>553968.9199999995</v>
      </c>
      <c r="T406" s="18">
        <f>N406-Q406</f>
        <v>3314397.7</v>
      </c>
      <c r="U406" s="36">
        <f>IF(N406&gt;0,Q406/N406,0)</f>
        <v>0.4356144329823176</v>
      </c>
      <c r="V406" s="35">
        <v>27796872.04</v>
      </c>
      <c r="W406" s="35">
        <v>2831513.6</v>
      </c>
      <c r="X406" s="36">
        <v>0.1018644686324929</v>
      </c>
      <c r="Y406" s="35">
        <v>8043406</v>
      </c>
      <c r="Z406" s="17" t="s">
        <v>327</v>
      </c>
      <c r="AA406" s="35">
        <v>2421000</v>
      </c>
      <c r="AB406" s="35">
        <v>2508625</v>
      </c>
      <c r="AC406" s="35">
        <v>546908</v>
      </c>
      <c r="AD406" s="35">
        <v>170650</v>
      </c>
      <c r="AE406" s="12" t="s">
        <v>86</v>
      </c>
      <c r="AF406" s="12" t="s">
        <v>87</v>
      </c>
      <c r="AG406" s="18">
        <v>2.56</v>
      </c>
      <c r="AH406" s="12" t="s">
        <v>140</v>
      </c>
      <c r="AI406" s="12" t="s">
        <v>89</v>
      </c>
      <c r="AJ406" s="12" t="s">
        <v>89</v>
      </c>
      <c r="AK406" s="12" t="s">
        <v>89</v>
      </c>
      <c r="AL406" s="12" t="s">
        <v>753</v>
      </c>
      <c r="AM406" s="12" t="s">
        <v>91</v>
      </c>
      <c r="AN406" s="17" t="s">
        <v>92</v>
      </c>
    </row>
    <row r="407" spans="1:40">
      <c r="A407" s="12" t="s">
        <v>74</v>
      </c>
      <c r="B407" s="12" t="s">
        <v>1095</v>
      </c>
      <c r="C407" s="12" t="s">
        <v>1418</v>
      </c>
      <c r="D407" s="12" t="s">
        <v>89</v>
      </c>
      <c r="E407" s="12" t="s">
        <v>78</v>
      </c>
      <c r="F407" s="12" t="s">
        <v>1490</v>
      </c>
      <c r="G407" s="12" t="s">
        <v>1491</v>
      </c>
      <c r="H407" s="34" t="s">
        <v>1492</v>
      </c>
      <c r="I407" s="12" t="s">
        <v>162</v>
      </c>
      <c r="J407" s="12" t="s">
        <v>106</v>
      </c>
      <c r="K407" s="18">
        <v>0</v>
      </c>
      <c r="L407" s="18">
        <v>0</v>
      </c>
      <c r="M407" s="12" t="s">
        <v>121</v>
      </c>
      <c r="N407" s="35">
        <v>13758</v>
      </c>
      <c r="O407" s="35">
        <v>13758</v>
      </c>
      <c r="P407" s="35">
        <v>13758</v>
      </c>
      <c r="Q407" s="35">
        <v>13212.64</v>
      </c>
      <c r="R407" s="18">
        <f>N407-O407</f>
        <v>0.0</v>
      </c>
      <c r="S407" s="18">
        <f>O407-P407</f>
        <v>0.0</v>
      </c>
      <c r="T407" s="18">
        <f>N407-Q407</f>
        <v>545.3600000000006</v>
      </c>
      <c r="U407" s="36">
        <f>IF(N407&gt;0,Q407/N407,0)</f>
        <v>0.960360517517081</v>
      </c>
      <c r="V407" s="35">
        <v>443417.98</v>
      </c>
      <c r="W407" s="35">
        <v>429616.32</v>
      </c>
      <c r="X407" s="36">
        <v>0.9688743789775959</v>
      </c>
      <c r="Y407" s="35">
        <v>27014.3</v>
      </c>
      <c r="Z407" s="17" t="s">
        <v>225</v>
      </c>
      <c r="AA407" s="35">
        <v>27014</v>
      </c>
      <c r="AB407" s="35">
        <v>0</v>
      </c>
      <c r="AC407" s="35">
        <v>0</v>
      </c>
      <c r="AD407" s="35">
        <v>0</v>
      </c>
      <c r="AE407" s="12" t="s">
        <v>86</v>
      </c>
      <c r="AF407" s="12" t="s">
        <v>87</v>
      </c>
      <c r="AG407" s="18">
        <v>68.73999999999999</v>
      </c>
      <c r="AH407" s="12" t="s">
        <v>145</v>
      </c>
      <c r="AI407" s="12" t="s">
        <v>89</v>
      </c>
      <c r="AJ407" s="12" t="s">
        <v>89</v>
      </c>
      <c r="AK407" s="12" t="s">
        <v>89</v>
      </c>
      <c r="AL407" s="12" t="s">
        <v>177</v>
      </c>
      <c r="AM407" s="12" t="s">
        <v>91</v>
      </c>
      <c r="AN407" s="17" t="s">
        <v>92</v>
      </c>
    </row>
    <row r="408" spans="1:40">
      <c r="A408" s="12" t="s">
        <v>74</v>
      </c>
      <c r="B408" s="12" t="s">
        <v>1095</v>
      </c>
      <c r="C408" s="12" t="s">
        <v>1418</v>
      </c>
      <c r="D408" s="12" t="s">
        <v>89</v>
      </c>
      <c r="E408" s="12" t="s">
        <v>78</v>
      </c>
      <c r="F408" s="12" t="s">
        <v>1493</v>
      </c>
      <c r="G408" s="12" t="s">
        <v>1494</v>
      </c>
      <c r="H408" s="34" t="s">
        <v>1495</v>
      </c>
      <c r="I408" s="12" t="s">
        <v>162</v>
      </c>
      <c r="J408" s="12" t="s">
        <v>106</v>
      </c>
      <c r="K408" s="18">
        <v>0</v>
      </c>
      <c r="L408" s="18">
        <v>0</v>
      </c>
      <c r="M408" s="12" t="s">
        <v>121</v>
      </c>
      <c r="N408" s="35">
        <v>10277</v>
      </c>
      <c r="O408" s="35">
        <v>9570</v>
      </c>
      <c r="P408" s="35">
        <v>9570</v>
      </c>
      <c r="Q408" s="35">
        <v>9564.68</v>
      </c>
      <c r="R408" s="18">
        <f>N408-O408</f>
        <v>707.0</v>
      </c>
      <c r="S408" s="18">
        <f>O408-P408</f>
        <v>0.0</v>
      </c>
      <c r="T408" s="18">
        <f>N408-Q408</f>
        <v>712.3199999999997</v>
      </c>
      <c r="U408" s="36">
        <f>IF(N408&gt;0,Q408/N408,0)</f>
        <v>0.9306879439525153</v>
      </c>
      <c r="V408" s="35">
        <v>5527014.59</v>
      </c>
      <c r="W408" s="35">
        <v>5526301.28</v>
      </c>
      <c r="X408" s="36">
        <v>0.999870941176582</v>
      </c>
      <c r="Y408" s="35">
        <v>10277</v>
      </c>
      <c r="Z408" s="17" t="s">
        <v>135</v>
      </c>
      <c r="AA408" s="35">
        <v>10277</v>
      </c>
      <c r="AB408" s="35">
        <v>27636</v>
      </c>
      <c r="AC408" s="35">
        <v>0</v>
      </c>
      <c r="AD408" s="35">
        <v>0</v>
      </c>
      <c r="AE408" s="12" t="s">
        <v>86</v>
      </c>
      <c r="AF408" s="12" t="s">
        <v>87</v>
      </c>
      <c r="AG408" s="18">
        <v>100</v>
      </c>
      <c r="AH408" s="12" t="s">
        <v>145</v>
      </c>
      <c r="AI408" s="12" t="s">
        <v>89</v>
      </c>
      <c r="AJ408" s="12" t="s">
        <v>89</v>
      </c>
      <c r="AK408" s="12" t="s">
        <v>89</v>
      </c>
      <c r="AL408" s="12" t="s">
        <v>177</v>
      </c>
      <c r="AM408" s="12" t="s">
        <v>91</v>
      </c>
      <c r="AN408" s="17" t="s">
        <v>92</v>
      </c>
    </row>
    <row r="409" spans="1:40">
      <c r="A409" s="12" t="s">
        <v>74</v>
      </c>
      <c r="B409" s="12" t="s">
        <v>1095</v>
      </c>
      <c r="C409" s="12" t="s">
        <v>1418</v>
      </c>
      <c r="D409" s="12" t="s">
        <v>89</v>
      </c>
      <c r="E409" s="12" t="s">
        <v>78</v>
      </c>
      <c r="F409" s="12" t="s">
        <v>1496</v>
      </c>
      <c r="G409" s="12" t="s">
        <v>1497</v>
      </c>
      <c r="H409" s="34" t="s">
        <v>1498</v>
      </c>
      <c r="I409" s="12" t="s">
        <v>162</v>
      </c>
      <c r="J409" s="12" t="s">
        <v>272</v>
      </c>
      <c r="K409" s="18">
        <v>114255</v>
      </c>
      <c r="L409" s="18">
        <v>0</v>
      </c>
      <c r="M409" s="12" t="s">
        <v>1499</v>
      </c>
      <c r="N409" s="35">
        <v>114255</v>
      </c>
      <c r="O409" s="35">
        <v>0</v>
      </c>
      <c r="P409" s="35">
        <v>0</v>
      </c>
      <c r="Q409" s="35">
        <v>0</v>
      </c>
      <c r="R409" s="18">
        <f>N409-O409</f>
        <v>114255.0</v>
      </c>
      <c r="S409" s="18">
        <f>O409-P409</f>
        <v>0.0</v>
      </c>
      <c r="T409" s="18">
        <f>N409-Q409</f>
        <v>114255.0</v>
      </c>
      <c r="U409" s="36">
        <f>IF(N409&gt;0,Q409/N409,0)</f>
        <v>0.0</v>
      </c>
      <c r="V409" s="35">
        <v>1807356</v>
      </c>
      <c r="W409" s="35">
        <v>0</v>
      </c>
      <c r="X409" s="36">
        <v>0</v>
      </c>
      <c r="Y409" s="35">
        <v>114255</v>
      </c>
      <c r="Z409" s="17" t="s">
        <v>1440</v>
      </c>
      <c r="AA409" s="12" t="s">
        <v>99</v>
      </c>
      <c r="AB409" s="12" t="s">
        <v>99</v>
      </c>
      <c r="AC409" s="12" t="s">
        <v>99</v>
      </c>
      <c r="AD409" s="12" t="s">
        <v>99</v>
      </c>
      <c r="AE409" s="12" t="s">
        <v>86</v>
      </c>
      <c r="AF409" s="12" t="s">
        <v>87</v>
      </c>
      <c r="AG409" s="18">
        <v>-1</v>
      </c>
      <c r="AH409" s="12" t="s">
        <v>169</v>
      </c>
      <c r="AI409" s="12" t="s">
        <v>89</v>
      </c>
      <c r="AJ409" s="12" t="s">
        <v>89</v>
      </c>
      <c r="AK409" s="12" t="s">
        <v>89</v>
      </c>
      <c r="AL409" s="12" t="s">
        <v>1480</v>
      </c>
      <c r="AM409" s="12" t="s">
        <v>91</v>
      </c>
      <c r="AN409" s="17" t="s">
        <v>87</v>
      </c>
    </row>
    <row r="410" spans="1:40">
      <c r="A410" s="12" t="s">
        <v>74</v>
      </c>
      <c r="B410" s="12" t="s">
        <v>1095</v>
      </c>
      <c r="C410" s="12" t="s">
        <v>1418</v>
      </c>
      <c r="D410" s="12" t="s">
        <v>89</v>
      </c>
      <c r="E410" s="12" t="s">
        <v>78</v>
      </c>
      <c r="F410" s="12" t="s">
        <v>1500</v>
      </c>
      <c r="G410" s="12" t="s">
        <v>1501</v>
      </c>
      <c r="H410" s="34" t="s">
        <v>1502</v>
      </c>
      <c r="I410" s="12" t="s">
        <v>162</v>
      </c>
      <c r="J410" s="12" t="s">
        <v>272</v>
      </c>
      <c r="K410" s="18">
        <v>36445</v>
      </c>
      <c r="L410" s="18">
        <v>0</v>
      </c>
      <c r="M410" s="12" t="s">
        <v>1503</v>
      </c>
      <c r="N410" s="35">
        <v>36445</v>
      </c>
      <c r="O410" s="35">
        <v>0</v>
      </c>
      <c r="P410" s="35">
        <v>0</v>
      </c>
      <c r="Q410" s="35">
        <v>0</v>
      </c>
      <c r="R410" s="18">
        <f>N410-O410</f>
        <v>36445.0</v>
      </c>
      <c r="S410" s="18">
        <f>O410-P410</f>
        <v>0.0</v>
      </c>
      <c r="T410" s="18">
        <f>N410-Q410</f>
        <v>36445.0</v>
      </c>
      <c r="U410" s="36">
        <f>IF(N410&gt;0,Q410/N410,0)</f>
        <v>0.0</v>
      </c>
      <c r="V410" s="35">
        <v>2869178</v>
      </c>
      <c r="W410" s="35">
        <v>0</v>
      </c>
      <c r="X410" s="36">
        <v>0</v>
      </c>
      <c r="Y410" s="35">
        <v>36445</v>
      </c>
      <c r="Z410" s="17" t="s">
        <v>1504</v>
      </c>
      <c r="AA410" s="12" t="s">
        <v>99</v>
      </c>
      <c r="AB410" s="12" t="s">
        <v>99</v>
      </c>
      <c r="AC410" s="12" t="s">
        <v>99</v>
      </c>
      <c r="AD410" s="12" t="s">
        <v>99</v>
      </c>
      <c r="AE410" s="12" t="s">
        <v>86</v>
      </c>
      <c r="AF410" s="12" t="s">
        <v>87</v>
      </c>
      <c r="AG410" s="18">
        <v>-1</v>
      </c>
      <c r="AH410" s="12" t="s">
        <v>169</v>
      </c>
      <c r="AI410" s="12" t="s">
        <v>89</v>
      </c>
      <c r="AJ410" s="12" t="s">
        <v>89</v>
      </c>
      <c r="AK410" s="12" t="s">
        <v>89</v>
      </c>
      <c r="AL410" s="12" t="s">
        <v>1480</v>
      </c>
      <c r="AM410" s="12" t="s">
        <v>91</v>
      </c>
      <c r="AN410" s="17" t="s">
        <v>87</v>
      </c>
    </row>
    <row r="411" spans="1:40">
      <c r="A411" s="12" t="s">
        <v>74</v>
      </c>
      <c r="B411" s="12" t="s">
        <v>1095</v>
      </c>
      <c r="C411" s="12" t="s">
        <v>1418</v>
      </c>
      <c r="D411" s="12" t="s">
        <v>89</v>
      </c>
      <c r="E411" s="12" t="s">
        <v>78</v>
      </c>
      <c r="F411" s="12" t="s">
        <v>1505</v>
      </c>
      <c r="G411" s="12" t="s">
        <v>1506</v>
      </c>
      <c r="H411" s="34" t="s">
        <v>1507</v>
      </c>
      <c r="I411" s="12" t="s">
        <v>162</v>
      </c>
      <c r="J411" s="12" t="s">
        <v>272</v>
      </c>
      <c r="K411" s="18">
        <v>39485</v>
      </c>
      <c r="L411" s="18">
        <v>0</v>
      </c>
      <c r="M411" s="12" t="s">
        <v>1508</v>
      </c>
      <c r="N411" s="35">
        <v>39485</v>
      </c>
      <c r="O411" s="35">
        <v>0</v>
      </c>
      <c r="P411" s="35">
        <v>0</v>
      </c>
      <c r="Q411" s="35">
        <v>0</v>
      </c>
      <c r="R411" s="18">
        <f>N411-O411</f>
        <v>39485.0</v>
      </c>
      <c r="S411" s="18">
        <f>O411-P411</f>
        <v>0.0</v>
      </c>
      <c r="T411" s="18">
        <f>N411-Q411</f>
        <v>39485.0</v>
      </c>
      <c r="U411" s="36">
        <f>IF(N411&gt;0,Q411/N411,0)</f>
        <v>0.0</v>
      </c>
      <c r="V411" s="35">
        <v>3259950</v>
      </c>
      <c r="W411" s="35">
        <v>0</v>
      </c>
      <c r="X411" s="36">
        <v>0</v>
      </c>
      <c r="Y411" s="35">
        <v>39485</v>
      </c>
      <c r="Z411" s="17" t="s">
        <v>1509</v>
      </c>
      <c r="AA411" s="12" t="s">
        <v>99</v>
      </c>
      <c r="AB411" s="12" t="s">
        <v>99</v>
      </c>
      <c r="AC411" s="12" t="s">
        <v>99</v>
      </c>
      <c r="AD411" s="12" t="s">
        <v>99</v>
      </c>
      <c r="AE411" s="12" t="s">
        <v>86</v>
      </c>
      <c r="AF411" s="12" t="s">
        <v>87</v>
      </c>
      <c r="AG411" s="18">
        <v>-1</v>
      </c>
      <c r="AH411" s="12" t="s">
        <v>169</v>
      </c>
      <c r="AI411" s="12" t="s">
        <v>89</v>
      </c>
      <c r="AJ411" s="12" t="s">
        <v>89</v>
      </c>
      <c r="AK411" s="12" t="s">
        <v>89</v>
      </c>
      <c r="AL411" s="12" t="s">
        <v>1480</v>
      </c>
      <c r="AM411" s="12" t="s">
        <v>91</v>
      </c>
      <c r="AN411" s="17" t="s">
        <v>87</v>
      </c>
    </row>
    <row r="412" spans="1:40">
      <c r="A412" s="12" t="s">
        <v>74</v>
      </c>
      <c r="B412" s="12" t="s">
        <v>1095</v>
      </c>
      <c r="C412" s="12" t="s">
        <v>1418</v>
      </c>
      <c r="D412" s="12" t="s">
        <v>89</v>
      </c>
      <c r="E412" s="12" t="s">
        <v>78</v>
      </c>
      <c r="F412" s="12" t="s">
        <v>1510</v>
      </c>
      <c r="G412" s="12" t="s">
        <v>1511</v>
      </c>
      <c r="H412" s="34" t="s">
        <v>1512</v>
      </c>
      <c r="I412" s="12" t="s">
        <v>162</v>
      </c>
      <c r="J412" s="12" t="s">
        <v>272</v>
      </c>
      <c r="K412" s="18">
        <v>25610</v>
      </c>
      <c r="L412" s="18">
        <v>0</v>
      </c>
      <c r="M412" s="12" t="s">
        <v>709</v>
      </c>
      <c r="N412" s="35">
        <v>25610</v>
      </c>
      <c r="O412" s="35">
        <v>0</v>
      </c>
      <c r="P412" s="35">
        <v>0</v>
      </c>
      <c r="Q412" s="35">
        <v>0</v>
      </c>
      <c r="R412" s="18">
        <f>N412-O412</f>
        <v>25610.0</v>
      </c>
      <c r="S412" s="18">
        <f>O412-P412</f>
        <v>0.0</v>
      </c>
      <c r="T412" s="18">
        <f>N412-Q412</f>
        <v>25610.0</v>
      </c>
      <c r="U412" s="36">
        <f>IF(N412&gt;0,Q412/N412,0)</f>
        <v>0.0</v>
      </c>
      <c r="V412" s="35">
        <v>3704187.45</v>
      </c>
      <c r="W412" s="35">
        <v>0</v>
      </c>
      <c r="X412" s="36">
        <v>0</v>
      </c>
      <c r="Y412" s="17" t="s">
        <v>151</v>
      </c>
      <c r="Z412" s="17" t="s">
        <v>89</v>
      </c>
      <c r="AA412" s="12" t="s">
        <v>99</v>
      </c>
      <c r="AB412" s="12" t="s">
        <v>99</v>
      </c>
      <c r="AC412" s="12" t="s">
        <v>99</v>
      </c>
      <c r="AD412" s="12" t="s">
        <v>99</v>
      </c>
      <c r="AE412" s="12" t="s">
        <v>86</v>
      </c>
      <c r="AF412" s="12" t="s">
        <v>87</v>
      </c>
      <c r="AG412" s="18">
        <v>-1</v>
      </c>
      <c r="AH412" s="12" t="s">
        <v>169</v>
      </c>
      <c r="AI412" s="12" t="s">
        <v>89</v>
      </c>
      <c r="AJ412" s="12" t="s">
        <v>89</v>
      </c>
      <c r="AK412" s="12" t="s">
        <v>89</v>
      </c>
      <c r="AL412" s="12" t="s">
        <v>89</v>
      </c>
      <c r="AM412" s="12" t="s">
        <v>91</v>
      </c>
      <c r="AN412" s="17" t="s">
        <v>87</v>
      </c>
    </row>
    <row r="413" spans="1:40">
      <c r="A413" s="12" t="s">
        <v>74</v>
      </c>
      <c r="B413" s="12" t="s">
        <v>1095</v>
      </c>
      <c r="C413" s="12" t="s">
        <v>1418</v>
      </c>
      <c r="D413" s="12" t="s">
        <v>89</v>
      </c>
      <c r="E413" s="12" t="s">
        <v>102</v>
      </c>
      <c r="F413" s="12" t="s">
        <v>1513</v>
      </c>
      <c r="G413" s="12" t="s">
        <v>1514</v>
      </c>
      <c r="H413" s="34" t="s">
        <v>1515</v>
      </c>
      <c r="I413" s="12" t="s">
        <v>162</v>
      </c>
      <c r="J413" s="12" t="s">
        <v>272</v>
      </c>
      <c r="K413" s="18">
        <v>329210.4500000002</v>
      </c>
      <c r="L413" s="18">
        <v>0</v>
      </c>
      <c r="M413" s="12" t="s">
        <v>1516</v>
      </c>
      <c r="N413" s="35">
        <v>3254770</v>
      </c>
      <c r="O413" s="35">
        <v>2925559.55</v>
      </c>
      <c r="P413" s="35">
        <v>0</v>
      </c>
      <c r="Q413" s="35">
        <v>0</v>
      </c>
      <c r="R413" s="18">
        <f>N413-O413</f>
        <v>329210.4500000002</v>
      </c>
      <c r="S413" s="18">
        <f>O413-P413</f>
        <v>2925559.55</v>
      </c>
      <c r="T413" s="18">
        <f>N413-Q413</f>
        <v>3254770.0</v>
      </c>
      <c r="U413" s="36">
        <f>IF(N413&gt;0,Q413/N413,0)</f>
        <v>0.0</v>
      </c>
      <c r="V413" s="35">
        <v>3254770.65</v>
      </c>
      <c r="W413" s="35">
        <v>0</v>
      </c>
      <c r="X413" s="36">
        <v>0</v>
      </c>
      <c r="Y413" s="35">
        <v>3254770</v>
      </c>
      <c r="Z413" s="17" t="s">
        <v>1517</v>
      </c>
      <c r="AA413" s="12" t="s">
        <v>99</v>
      </c>
      <c r="AB413" s="12" t="s">
        <v>99</v>
      </c>
      <c r="AC413" s="12" t="s">
        <v>99</v>
      </c>
      <c r="AD413" s="12" t="s">
        <v>99</v>
      </c>
      <c r="AE413" s="12" t="s">
        <v>86</v>
      </c>
      <c r="AF413" s="12" t="s">
        <v>87</v>
      </c>
      <c r="AG413" s="18">
        <v>-1</v>
      </c>
      <c r="AH413" s="12" t="s">
        <v>1518</v>
      </c>
      <c r="AI413" s="12" t="s">
        <v>89</v>
      </c>
      <c r="AJ413" s="12" t="s">
        <v>89</v>
      </c>
      <c r="AK413" s="12" t="s">
        <v>89</v>
      </c>
      <c r="AL413" s="12" t="s">
        <v>1480</v>
      </c>
      <c r="AM413" s="12" t="s">
        <v>91</v>
      </c>
      <c r="AN413" s="17" t="s">
        <v>87</v>
      </c>
    </row>
    <row r="414" spans="1:40">
      <c r="A414" s="12" t="s">
        <v>74</v>
      </c>
      <c r="B414" s="12" t="s">
        <v>1095</v>
      </c>
      <c r="C414" s="12" t="s">
        <v>1418</v>
      </c>
      <c r="D414" s="12" t="s">
        <v>89</v>
      </c>
      <c r="E414" s="12" t="s">
        <v>102</v>
      </c>
      <c r="F414" s="12" t="s">
        <v>1519</v>
      </c>
      <c r="G414" s="12" t="s">
        <v>1520</v>
      </c>
      <c r="H414" s="34" t="s">
        <v>1521</v>
      </c>
      <c r="I414" s="12" t="s">
        <v>162</v>
      </c>
      <c r="J414" s="12" t="s">
        <v>272</v>
      </c>
      <c r="K414" s="18">
        <v>169272.62</v>
      </c>
      <c r="L414" s="18">
        <v>0</v>
      </c>
      <c r="M414" s="12" t="s">
        <v>1522</v>
      </c>
      <c r="N414" s="35">
        <v>1007572</v>
      </c>
      <c r="O414" s="35">
        <v>838299.38</v>
      </c>
      <c r="P414" s="35">
        <v>0</v>
      </c>
      <c r="Q414" s="35">
        <v>0</v>
      </c>
      <c r="R414" s="18">
        <f>N414-O414</f>
        <v>169272.62</v>
      </c>
      <c r="S414" s="18">
        <f>O414-P414</f>
        <v>838299.38</v>
      </c>
      <c r="T414" s="18">
        <f>N414-Q414</f>
        <v>1007572.0</v>
      </c>
      <c r="U414" s="36">
        <f>IF(N414&gt;0,Q414/N414,0)</f>
        <v>0.0</v>
      </c>
      <c r="V414" s="35">
        <v>1007572.85</v>
      </c>
      <c r="W414" s="35">
        <v>0</v>
      </c>
      <c r="X414" s="36">
        <v>0</v>
      </c>
      <c r="Y414" s="35">
        <v>1007572</v>
      </c>
      <c r="Z414" s="17" t="s">
        <v>1517</v>
      </c>
      <c r="AA414" s="12" t="s">
        <v>99</v>
      </c>
      <c r="AB414" s="12" t="s">
        <v>99</v>
      </c>
      <c r="AC414" s="12" t="s">
        <v>99</v>
      </c>
      <c r="AD414" s="12" t="s">
        <v>99</v>
      </c>
      <c r="AE414" s="12" t="s">
        <v>86</v>
      </c>
      <c r="AF414" s="12" t="s">
        <v>87</v>
      </c>
      <c r="AG414" s="18">
        <v>-1</v>
      </c>
      <c r="AH414" s="12" t="s">
        <v>1518</v>
      </c>
      <c r="AI414" s="12" t="s">
        <v>89</v>
      </c>
      <c r="AJ414" s="12" t="s">
        <v>89</v>
      </c>
      <c r="AK414" s="12" t="s">
        <v>89</v>
      </c>
      <c r="AL414" s="12" t="s">
        <v>1480</v>
      </c>
      <c r="AM414" s="12" t="s">
        <v>91</v>
      </c>
      <c r="AN414" s="17" t="s">
        <v>87</v>
      </c>
    </row>
    <row r="415" spans="1:40">
      <c r="A415" s="12" t="s">
        <v>74</v>
      </c>
      <c r="B415" s="12" t="s">
        <v>1095</v>
      </c>
      <c r="C415" s="12" t="s">
        <v>1418</v>
      </c>
      <c r="D415" s="12" t="s">
        <v>89</v>
      </c>
      <c r="E415" s="12" t="s">
        <v>102</v>
      </c>
      <c r="F415" s="12" t="s">
        <v>1523</v>
      </c>
      <c r="G415" s="12" t="s">
        <v>1524</v>
      </c>
      <c r="H415" s="34" t="s">
        <v>1525</v>
      </c>
      <c r="I415" s="12" t="s">
        <v>162</v>
      </c>
      <c r="J415" s="12" t="s">
        <v>272</v>
      </c>
      <c r="K415" s="18">
        <v>201494.77</v>
      </c>
      <c r="L415" s="18">
        <v>0</v>
      </c>
      <c r="M415" s="12" t="s">
        <v>1526</v>
      </c>
      <c r="N415" s="35">
        <v>1688098</v>
      </c>
      <c r="O415" s="35">
        <v>1486603.23</v>
      </c>
      <c r="P415" s="35">
        <v>0</v>
      </c>
      <c r="Q415" s="35">
        <v>0</v>
      </c>
      <c r="R415" s="18">
        <f>N415-O415</f>
        <v>201494.77000000002</v>
      </c>
      <c r="S415" s="18">
        <f>O415-P415</f>
        <v>1486603.23</v>
      </c>
      <c r="T415" s="18">
        <f>N415-Q415</f>
        <v>1688098.0</v>
      </c>
      <c r="U415" s="36">
        <f>IF(N415&gt;0,Q415/N415,0)</f>
        <v>0.0</v>
      </c>
      <c r="V415" s="35">
        <v>1688098.29</v>
      </c>
      <c r="W415" s="35">
        <v>0</v>
      </c>
      <c r="X415" s="36">
        <v>0</v>
      </c>
      <c r="Y415" s="35">
        <v>1688098.29</v>
      </c>
      <c r="Z415" s="17" t="s">
        <v>1517</v>
      </c>
      <c r="AA415" s="12" t="s">
        <v>99</v>
      </c>
      <c r="AB415" s="12" t="s">
        <v>99</v>
      </c>
      <c r="AC415" s="12" t="s">
        <v>99</v>
      </c>
      <c r="AD415" s="12" t="s">
        <v>99</v>
      </c>
      <c r="AE415" s="12" t="s">
        <v>86</v>
      </c>
      <c r="AF415" s="12" t="s">
        <v>87</v>
      </c>
      <c r="AG415" s="18">
        <v>-1</v>
      </c>
      <c r="AH415" s="12" t="s">
        <v>1518</v>
      </c>
      <c r="AI415" s="12" t="s">
        <v>89</v>
      </c>
      <c r="AJ415" s="12" t="s">
        <v>89</v>
      </c>
      <c r="AK415" s="12" t="s">
        <v>89</v>
      </c>
      <c r="AL415" s="12" t="s">
        <v>1480</v>
      </c>
      <c r="AM415" s="12" t="s">
        <v>91</v>
      </c>
      <c r="AN415" s="17" t="s">
        <v>87</v>
      </c>
    </row>
    <row r="416" spans="1:40">
      <c r="A416" s="12" t="s">
        <v>74</v>
      </c>
      <c r="B416" s="12" t="s">
        <v>1095</v>
      </c>
      <c r="C416" s="12" t="s">
        <v>1418</v>
      </c>
      <c r="D416" s="12" t="s">
        <v>89</v>
      </c>
      <c r="E416" s="12" t="s">
        <v>102</v>
      </c>
      <c r="F416" s="12" t="s">
        <v>1527</v>
      </c>
      <c r="G416" s="12" t="s">
        <v>1528</v>
      </c>
      <c r="H416" s="34" t="s">
        <v>1529</v>
      </c>
      <c r="I416" s="12" t="s">
        <v>162</v>
      </c>
      <c r="J416" s="12" t="s">
        <v>272</v>
      </c>
      <c r="K416" s="18">
        <v>142445.0800000001</v>
      </c>
      <c r="L416" s="18">
        <v>0</v>
      </c>
      <c r="M416" s="12" t="s">
        <v>1530</v>
      </c>
      <c r="N416" s="35">
        <v>680748</v>
      </c>
      <c r="O416" s="35">
        <v>538302.9199999999</v>
      </c>
      <c r="P416" s="35">
        <v>0</v>
      </c>
      <c r="Q416" s="35">
        <v>0</v>
      </c>
      <c r="R416" s="18">
        <f>N416-O416</f>
        <v>142445.08000000007</v>
      </c>
      <c r="S416" s="18">
        <f>O416-P416</f>
        <v>538302.9199999999</v>
      </c>
      <c r="T416" s="18">
        <f>N416-Q416</f>
        <v>680748.0</v>
      </c>
      <c r="U416" s="36">
        <f>IF(N416&gt;0,Q416/N416,0)</f>
        <v>0.0</v>
      </c>
      <c r="V416" s="35">
        <v>680748.65</v>
      </c>
      <c r="W416" s="35">
        <v>0</v>
      </c>
      <c r="X416" s="36">
        <v>0</v>
      </c>
      <c r="Y416" s="35">
        <v>680748</v>
      </c>
      <c r="Z416" s="17" t="s">
        <v>1517</v>
      </c>
      <c r="AA416" s="12" t="s">
        <v>99</v>
      </c>
      <c r="AB416" s="12" t="s">
        <v>99</v>
      </c>
      <c r="AC416" s="12" t="s">
        <v>99</v>
      </c>
      <c r="AD416" s="12" t="s">
        <v>99</v>
      </c>
      <c r="AE416" s="12" t="s">
        <v>86</v>
      </c>
      <c r="AF416" s="12" t="s">
        <v>87</v>
      </c>
      <c r="AG416" s="18">
        <v>-1</v>
      </c>
      <c r="AH416" s="12" t="s">
        <v>1518</v>
      </c>
      <c r="AI416" s="12" t="s">
        <v>89</v>
      </c>
      <c r="AJ416" s="12" t="s">
        <v>89</v>
      </c>
      <c r="AK416" s="12" t="s">
        <v>89</v>
      </c>
      <c r="AL416" s="12" t="s">
        <v>1480</v>
      </c>
      <c r="AM416" s="12" t="s">
        <v>91</v>
      </c>
      <c r="AN416" s="17" t="s">
        <v>87</v>
      </c>
    </row>
    <row r="417" spans="1:40">
      <c r="A417" s="12" t="s">
        <v>74</v>
      </c>
      <c r="B417" s="12" t="s">
        <v>1095</v>
      </c>
      <c r="C417" s="12" t="s">
        <v>1418</v>
      </c>
      <c r="D417" s="12" t="s">
        <v>89</v>
      </c>
      <c r="E417" s="12" t="s">
        <v>102</v>
      </c>
      <c r="F417" s="12" t="s">
        <v>1531</v>
      </c>
      <c r="G417" s="12" t="s">
        <v>1532</v>
      </c>
      <c r="H417" s="34" t="s">
        <v>1533</v>
      </c>
      <c r="I417" s="12" t="s">
        <v>162</v>
      </c>
      <c r="J417" s="12" t="s">
        <v>272</v>
      </c>
      <c r="K417" s="18">
        <v>137308.03</v>
      </c>
      <c r="L417" s="18">
        <v>0</v>
      </c>
      <c r="M417" s="12" t="s">
        <v>1534</v>
      </c>
      <c r="N417" s="35">
        <v>670100</v>
      </c>
      <c r="O417" s="35">
        <v>532791.97</v>
      </c>
      <c r="P417" s="35">
        <v>0</v>
      </c>
      <c r="Q417" s="35">
        <v>0</v>
      </c>
      <c r="R417" s="18">
        <f>N417-O417</f>
        <v>137308.03000000003</v>
      </c>
      <c r="S417" s="18">
        <f>O417-P417</f>
        <v>532791.97</v>
      </c>
      <c r="T417" s="18">
        <f>N417-Q417</f>
        <v>670100.0</v>
      </c>
      <c r="U417" s="36">
        <f>IF(N417&gt;0,Q417/N417,0)</f>
        <v>0.0</v>
      </c>
      <c r="V417" s="35">
        <v>670100.6800000001</v>
      </c>
      <c r="W417" s="35">
        <v>0</v>
      </c>
      <c r="X417" s="36">
        <v>0</v>
      </c>
      <c r="Y417" s="35">
        <v>670100</v>
      </c>
      <c r="Z417" s="17" t="s">
        <v>1517</v>
      </c>
      <c r="AA417" s="12" t="s">
        <v>99</v>
      </c>
      <c r="AB417" s="12" t="s">
        <v>99</v>
      </c>
      <c r="AC417" s="12" t="s">
        <v>99</v>
      </c>
      <c r="AD417" s="12" t="s">
        <v>99</v>
      </c>
      <c r="AE417" s="12" t="s">
        <v>86</v>
      </c>
      <c r="AF417" s="12" t="s">
        <v>87</v>
      </c>
      <c r="AG417" s="18">
        <v>-1</v>
      </c>
      <c r="AH417" s="12" t="s">
        <v>1518</v>
      </c>
      <c r="AI417" s="12" t="s">
        <v>89</v>
      </c>
      <c r="AJ417" s="12" t="s">
        <v>89</v>
      </c>
      <c r="AK417" s="12" t="s">
        <v>89</v>
      </c>
      <c r="AL417" s="12" t="s">
        <v>1480</v>
      </c>
      <c r="AM417" s="12" t="s">
        <v>91</v>
      </c>
      <c r="AN417" s="17" t="s">
        <v>87</v>
      </c>
    </row>
    <row r="418" spans="1:40">
      <c r="A418" s="12" t="s">
        <v>74</v>
      </c>
      <c r="B418" s="12" t="s">
        <v>1095</v>
      </c>
      <c r="C418" s="12" t="s">
        <v>1418</v>
      </c>
      <c r="D418" s="12" t="s">
        <v>89</v>
      </c>
      <c r="E418" s="12" t="s">
        <v>102</v>
      </c>
      <c r="F418" s="12" t="s">
        <v>1535</v>
      </c>
      <c r="G418" s="12" t="s">
        <v>1536</v>
      </c>
      <c r="H418" s="34" t="s">
        <v>1537</v>
      </c>
      <c r="I418" s="12" t="s">
        <v>162</v>
      </c>
      <c r="J418" s="12" t="s">
        <v>272</v>
      </c>
      <c r="K418" s="18">
        <v>119290.16</v>
      </c>
      <c r="L418" s="18">
        <v>0</v>
      </c>
      <c r="M418" s="12" t="s">
        <v>1538</v>
      </c>
      <c r="N418" s="35">
        <v>388514</v>
      </c>
      <c r="O418" s="35">
        <v>269223.84</v>
      </c>
      <c r="P418" s="35">
        <v>0</v>
      </c>
      <c r="Q418" s="35">
        <v>0</v>
      </c>
      <c r="R418" s="18">
        <f>N418-O418</f>
        <v>119290.16000000003</v>
      </c>
      <c r="S418" s="18">
        <f>O418-P418</f>
        <v>269223.83999999997</v>
      </c>
      <c r="T418" s="18">
        <f>N418-Q418</f>
        <v>388514.0</v>
      </c>
      <c r="U418" s="36">
        <f>IF(N418&gt;0,Q418/N418,0)</f>
        <v>0.0</v>
      </c>
      <c r="V418" s="35">
        <v>388514.75</v>
      </c>
      <c r="W418" s="35">
        <v>0</v>
      </c>
      <c r="X418" s="36">
        <v>0</v>
      </c>
      <c r="Y418" s="35">
        <v>388514</v>
      </c>
      <c r="Z418" s="17" t="s">
        <v>1517</v>
      </c>
      <c r="AA418" s="12" t="s">
        <v>99</v>
      </c>
      <c r="AB418" s="12" t="s">
        <v>99</v>
      </c>
      <c r="AC418" s="12" t="s">
        <v>99</v>
      </c>
      <c r="AD418" s="12" t="s">
        <v>99</v>
      </c>
      <c r="AE418" s="12" t="s">
        <v>86</v>
      </c>
      <c r="AF418" s="12" t="s">
        <v>87</v>
      </c>
      <c r="AG418" s="18">
        <v>-1</v>
      </c>
      <c r="AH418" s="12" t="s">
        <v>1518</v>
      </c>
      <c r="AI418" s="12" t="s">
        <v>89</v>
      </c>
      <c r="AJ418" s="12" t="s">
        <v>89</v>
      </c>
      <c r="AK418" s="12" t="s">
        <v>89</v>
      </c>
      <c r="AL418" s="12" t="s">
        <v>1480</v>
      </c>
      <c r="AM418" s="12" t="s">
        <v>91</v>
      </c>
      <c r="AN418" s="17" t="s">
        <v>87</v>
      </c>
    </row>
    <row r="419" spans="1:40">
      <c r="A419" s="12" t="s">
        <v>74</v>
      </c>
      <c r="B419" s="12" t="s">
        <v>1095</v>
      </c>
      <c r="C419" s="12" t="s">
        <v>1418</v>
      </c>
      <c r="D419" s="12" t="s">
        <v>89</v>
      </c>
      <c r="E419" s="12" t="s">
        <v>102</v>
      </c>
      <c r="F419" s="12" t="s">
        <v>1539</v>
      </c>
      <c r="G419" s="12" t="s">
        <v>1540</v>
      </c>
      <c r="H419" s="34" t="s">
        <v>1541</v>
      </c>
      <c r="I419" s="12" t="s">
        <v>162</v>
      </c>
      <c r="J419" s="12" t="s">
        <v>272</v>
      </c>
      <c r="K419" s="18">
        <v>140504.49</v>
      </c>
      <c r="L419" s="18">
        <v>0</v>
      </c>
      <c r="M419" s="12" t="s">
        <v>1542</v>
      </c>
      <c r="N419" s="35">
        <v>542416</v>
      </c>
      <c r="O419" s="35">
        <v>401911.51</v>
      </c>
      <c r="P419" s="35">
        <v>0</v>
      </c>
      <c r="Q419" s="35">
        <v>0</v>
      </c>
      <c r="R419" s="18">
        <f>N419-O419</f>
        <v>140504.49</v>
      </c>
      <c r="S419" s="18">
        <f>O419-P419</f>
        <v>401911.51</v>
      </c>
      <c r="T419" s="18">
        <f>N419-Q419</f>
        <v>542416.0</v>
      </c>
      <c r="U419" s="36">
        <f>IF(N419&gt;0,Q419/N419,0)</f>
        <v>0.0</v>
      </c>
      <c r="V419" s="35">
        <v>542415.9</v>
      </c>
      <c r="W419" s="35">
        <v>0</v>
      </c>
      <c r="X419" s="36">
        <v>0</v>
      </c>
      <c r="Y419" s="35">
        <v>542415.9</v>
      </c>
      <c r="Z419" s="17" t="s">
        <v>1517</v>
      </c>
      <c r="AA419" s="12" t="s">
        <v>99</v>
      </c>
      <c r="AB419" s="12" t="s">
        <v>99</v>
      </c>
      <c r="AC419" s="12" t="s">
        <v>99</v>
      </c>
      <c r="AD419" s="12" t="s">
        <v>99</v>
      </c>
      <c r="AE419" s="12" t="s">
        <v>86</v>
      </c>
      <c r="AF419" s="12" t="s">
        <v>87</v>
      </c>
      <c r="AG419" s="18">
        <v>-1</v>
      </c>
      <c r="AH419" s="12" t="s">
        <v>1518</v>
      </c>
      <c r="AI419" s="12" t="s">
        <v>89</v>
      </c>
      <c r="AJ419" s="12" t="s">
        <v>89</v>
      </c>
      <c r="AK419" s="12" t="s">
        <v>89</v>
      </c>
      <c r="AL419" s="12" t="s">
        <v>1480</v>
      </c>
      <c r="AM419" s="12" t="s">
        <v>91</v>
      </c>
      <c r="AN419" s="17" t="s">
        <v>87</v>
      </c>
    </row>
    <row r="420" spans="1:40">
      <c r="A420" s="12" t="s">
        <v>74</v>
      </c>
      <c r="B420" s="12" t="s">
        <v>1095</v>
      </c>
      <c r="C420" s="12" t="s">
        <v>1418</v>
      </c>
      <c r="D420" s="12" t="s">
        <v>89</v>
      </c>
      <c r="E420" s="12" t="s">
        <v>102</v>
      </c>
      <c r="F420" s="12" t="s">
        <v>1543</v>
      </c>
      <c r="G420" s="12" t="s">
        <v>1544</v>
      </c>
      <c r="H420" s="34" t="s">
        <v>1545</v>
      </c>
      <c r="I420" s="12" t="s">
        <v>162</v>
      </c>
      <c r="J420" s="12" t="s">
        <v>272</v>
      </c>
      <c r="K420" s="18">
        <v>928545</v>
      </c>
      <c r="L420" s="18">
        <v>0</v>
      </c>
      <c r="M420" s="12" t="s">
        <v>1546</v>
      </c>
      <c r="N420" s="35">
        <v>928545</v>
      </c>
      <c r="O420" s="35">
        <v>0</v>
      </c>
      <c r="P420" s="35">
        <v>0</v>
      </c>
      <c r="Q420" s="35">
        <v>0</v>
      </c>
      <c r="R420" s="18">
        <f>N420-O420</f>
        <v>928545.0</v>
      </c>
      <c r="S420" s="18">
        <f>O420-P420</f>
        <v>0.0</v>
      </c>
      <c r="T420" s="18">
        <f>N420-Q420</f>
        <v>928545.0</v>
      </c>
      <c r="U420" s="36">
        <f>IF(N420&gt;0,Q420/N420,0)</f>
        <v>0.0</v>
      </c>
      <c r="V420" s="35">
        <v>928545.35</v>
      </c>
      <c r="W420" s="35">
        <v>0</v>
      </c>
      <c r="X420" s="36">
        <v>0</v>
      </c>
      <c r="Y420" s="35">
        <v>928545.35</v>
      </c>
      <c r="Z420" s="17" t="s">
        <v>1517</v>
      </c>
      <c r="AA420" s="12" t="s">
        <v>99</v>
      </c>
      <c r="AB420" s="12" t="s">
        <v>99</v>
      </c>
      <c r="AC420" s="12" t="s">
        <v>99</v>
      </c>
      <c r="AD420" s="12" t="s">
        <v>99</v>
      </c>
      <c r="AE420" s="12" t="s">
        <v>86</v>
      </c>
      <c r="AF420" s="12" t="s">
        <v>87</v>
      </c>
      <c r="AG420" s="18">
        <v>-1</v>
      </c>
      <c r="AH420" s="12" t="s">
        <v>501</v>
      </c>
      <c r="AI420" s="12" t="s">
        <v>89</v>
      </c>
      <c r="AJ420" s="12" t="s">
        <v>89</v>
      </c>
      <c r="AK420" s="12" t="s">
        <v>89</v>
      </c>
      <c r="AL420" s="12" t="s">
        <v>1480</v>
      </c>
      <c r="AM420" s="12" t="s">
        <v>91</v>
      </c>
      <c r="AN420" s="17" t="s">
        <v>87</v>
      </c>
    </row>
    <row r="421" spans="1:40">
      <c r="A421" s="12" t="s">
        <v>74</v>
      </c>
      <c r="B421" s="12" t="s">
        <v>1095</v>
      </c>
      <c r="C421" s="12" t="s">
        <v>1418</v>
      </c>
      <c r="D421" s="12" t="s">
        <v>89</v>
      </c>
      <c r="E421" s="12" t="s">
        <v>102</v>
      </c>
      <c r="F421" s="12" t="s">
        <v>1547</v>
      </c>
      <c r="G421" s="12" t="s">
        <v>1548</v>
      </c>
      <c r="H421" s="34" t="s">
        <v>1549</v>
      </c>
      <c r="I421" s="12" t="s">
        <v>162</v>
      </c>
      <c r="J421" s="12" t="s">
        <v>106</v>
      </c>
      <c r="K421" s="18">
        <v>0</v>
      </c>
      <c r="L421" s="18">
        <v>0</v>
      </c>
      <c r="M421" s="12" t="s">
        <v>121</v>
      </c>
      <c r="N421" s="35">
        <v>70059</v>
      </c>
      <c r="O421" s="35">
        <v>70057.89999999999</v>
      </c>
      <c r="P421" s="35">
        <v>70057.89999999999</v>
      </c>
      <c r="Q421" s="35">
        <v>70029.94</v>
      </c>
      <c r="R421" s="18">
        <f>N421-O421</f>
        <v>1.1000000000058208</v>
      </c>
      <c r="S421" s="18">
        <f>O421-P421</f>
        <v>0.0</v>
      </c>
      <c r="T421" s="18">
        <f>N421-Q421</f>
        <v>29.05999999999767</v>
      </c>
      <c r="U421" s="36">
        <f>IF(N421&gt;0,Q421/N421,0)</f>
        <v>0.9995852067543071</v>
      </c>
      <c r="V421" s="35">
        <v>747817.51</v>
      </c>
      <c r="W421" s="35">
        <v>711859.75</v>
      </c>
      <c r="X421" s="36">
        <v>0.9519163973574248</v>
      </c>
      <c r="Y421" s="35">
        <v>70059</v>
      </c>
      <c r="Z421" s="17" t="s">
        <v>333</v>
      </c>
      <c r="AA421" s="35">
        <v>105988</v>
      </c>
      <c r="AB421" s="35">
        <v>0</v>
      </c>
      <c r="AC421" s="35">
        <v>35929</v>
      </c>
      <c r="AD421" s="35">
        <v>0</v>
      </c>
      <c r="AE421" s="12" t="s">
        <v>86</v>
      </c>
      <c r="AF421" s="12" t="s">
        <v>87</v>
      </c>
      <c r="AG421" s="18">
        <v>96.91</v>
      </c>
      <c r="AH421" s="12" t="s">
        <v>1550</v>
      </c>
      <c r="AI421" s="12" t="s">
        <v>89</v>
      </c>
      <c r="AJ421" s="12" t="s">
        <v>89</v>
      </c>
      <c r="AK421" s="12" t="s">
        <v>89</v>
      </c>
      <c r="AL421" s="12" t="s">
        <v>753</v>
      </c>
      <c r="AM421" s="12" t="s">
        <v>91</v>
      </c>
      <c r="AN421" s="17" t="s">
        <v>92</v>
      </c>
    </row>
    <row r="422" spans="1:40">
      <c r="A422" s="12" t="s">
        <v>74</v>
      </c>
      <c r="B422" s="12" t="s">
        <v>1095</v>
      </c>
      <c r="C422" s="12" t="s">
        <v>1418</v>
      </c>
      <c r="D422" s="12" t="s">
        <v>89</v>
      </c>
      <c r="E422" s="12" t="s">
        <v>102</v>
      </c>
      <c r="F422" s="12" t="s">
        <v>1551</v>
      </c>
      <c r="G422" s="12" t="s">
        <v>1552</v>
      </c>
      <c r="H422" s="34" t="s">
        <v>1553</v>
      </c>
      <c r="I422" s="12" t="s">
        <v>162</v>
      </c>
      <c r="J422" s="12" t="s">
        <v>83</v>
      </c>
      <c r="K422" s="18">
        <v>0</v>
      </c>
      <c r="L422" s="18">
        <v>0</v>
      </c>
      <c r="M422" s="12" t="s">
        <v>84</v>
      </c>
      <c r="N422" s="35">
        <v>100785</v>
      </c>
      <c r="O422" s="35">
        <v>100589.42</v>
      </c>
      <c r="P422" s="35">
        <v>95863.67</v>
      </c>
      <c r="Q422" s="35">
        <v>88974.89</v>
      </c>
      <c r="R422" s="18">
        <f>N422-O422</f>
        <v>195.58000000000175</v>
      </c>
      <c r="S422" s="18">
        <f>O422-P422</f>
        <v>4725.75</v>
      </c>
      <c r="T422" s="18">
        <f>N422-Q422</f>
        <v>11810.11</v>
      </c>
      <c r="U422" s="36">
        <f>IF(N422&gt;0,Q422/N422,0)</f>
        <v>0.8828187726348167</v>
      </c>
      <c r="V422" s="35">
        <v>540184.5</v>
      </c>
      <c r="W422" s="35">
        <v>473260.47</v>
      </c>
      <c r="X422" s="36">
        <v>0.876108940556421</v>
      </c>
      <c r="Y422" s="35">
        <v>100785</v>
      </c>
      <c r="Z422" s="17" t="s">
        <v>135</v>
      </c>
      <c r="AA422" s="35">
        <v>155899</v>
      </c>
      <c r="AB422" s="35">
        <v>0</v>
      </c>
      <c r="AC422" s="35">
        <v>55114</v>
      </c>
      <c r="AD422" s="35">
        <v>0</v>
      </c>
      <c r="AE422" s="12" t="s">
        <v>86</v>
      </c>
      <c r="AF422" s="12" t="s">
        <v>87</v>
      </c>
      <c r="AG422" s="18">
        <v>88.95</v>
      </c>
      <c r="AH422" s="12" t="s">
        <v>1554</v>
      </c>
      <c r="AI422" s="12" t="s">
        <v>89</v>
      </c>
      <c r="AJ422" s="12" t="s">
        <v>89</v>
      </c>
      <c r="AK422" s="12" t="s">
        <v>89</v>
      </c>
      <c r="AL422" s="12" t="s">
        <v>753</v>
      </c>
      <c r="AM422" s="12" t="s">
        <v>91</v>
      </c>
      <c r="AN422" s="17" t="s">
        <v>92</v>
      </c>
    </row>
    <row r="423" spans="1:40">
      <c r="A423" s="12" t="s">
        <v>74</v>
      </c>
      <c r="B423" s="12" t="s">
        <v>1095</v>
      </c>
      <c r="C423" s="12" t="s">
        <v>1418</v>
      </c>
      <c r="D423" s="12" t="s">
        <v>89</v>
      </c>
      <c r="E423" s="12" t="s">
        <v>102</v>
      </c>
      <c r="F423" s="12" t="s">
        <v>1555</v>
      </c>
      <c r="G423" s="12" t="s">
        <v>1556</v>
      </c>
      <c r="H423" s="34" t="s">
        <v>1557</v>
      </c>
      <c r="I423" s="12" t="s">
        <v>162</v>
      </c>
      <c r="J423" s="12" t="s">
        <v>106</v>
      </c>
      <c r="K423" s="18">
        <v>0</v>
      </c>
      <c r="L423" s="18">
        <v>0</v>
      </c>
      <c r="M423" s="12" t="s">
        <v>121</v>
      </c>
      <c r="N423" s="35">
        <v>195079</v>
      </c>
      <c r="O423" s="35">
        <v>186354</v>
      </c>
      <c r="P423" s="35">
        <v>186354</v>
      </c>
      <c r="Q423" s="35">
        <v>176804.43</v>
      </c>
      <c r="R423" s="18">
        <f>N423-O423</f>
        <v>8725.0</v>
      </c>
      <c r="S423" s="18">
        <f>O423-P423</f>
        <v>0.0</v>
      </c>
      <c r="T423" s="18">
        <f>N423-Q423</f>
        <v>18274.570000000007</v>
      </c>
      <c r="U423" s="36">
        <f>IF(N423&gt;0,Q423/N423,0)</f>
        <v>0.9063222079260197</v>
      </c>
      <c r="V423" s="35">
        <v>239676.68</v>
      </c>
      <c r="W423" s="35">
        <v>197854.22</v>
      </c>
      <c r="X423" s="36">
        <v>0.8255046757156349</v>
      </c>
      <c r="Y423" s="35">
        <v>195079</v>
      </c>
      <c r="Z423" s="17" t="s">
        <v>135</v>
      </c>
      <c r="AA423" s="35">
        <v>195079</v>
      </c>
      <c r="AB423" s="35">
        <v>23547</v>
      </c>
      <c r="AC423" s="35">
        <v>1</v>
      </c>
      <c r="AD423" s="35">
        <v>0</v>
      </c>
      <c r="AE423" s="12" t="s">
        <v>86</v>
      </c>
      <c r="AF423" s="12" t="s">
        <v>87</v>
      </c>
      <c r="AG423" s="18">
        <v>93.51000000000001</v>
      </c>
      <c r="AH423" s="12" t="s">
        <v>114</v>
      </c>
      <c r="AI423" s="12" t="s">
        <v>89</v>
      </c>
      <c r="AJ423" s="12" t="s">
        <v>89</v>
      </c>
      <c r="AK423" s="12" t="s">
        <v>89</v>
      </c>
      <c r="AL423" s="12" t="s">
        <v>753</v>
      </c>
      <c r="AM423" s="12" t="s">
        <v>91</v>
      </c>
      <c r="AN423" s="17" t="s">
        <v>92</v>
      </c>
    </row>
    <row r="424" spans="1:40">
      <c r="A424" s="12" t="s">
        <v>74</v>
      </c>
      <c r="B424" s="12" t="s">
        <v>1095</v>
      </c>
      <c r="C424" s="12" t="s">
        <v>1418</v>
      </c>
      <c r="D424" s="12" t="s">
        <v>89</v>
      </c>
      <c r="E424" s="12" t="s">
        <v>1357</v>
      </c>
      <c r="F424" s="12" t="s">
        <v>1558</v>
      </c>
      <c r="G424" s="12" t="s">
        <v>1559</v>
      </c>
      <c r="H424" s="34" t="s">
        <v>1560</v>
      </c>
      <c r="I424" s="12" t="s">
        <v>82</v>
      </c>
      <c r="J424" s="12" t="s">
        <v>83</v>
      </c>
      <c r="K424" s="18">
        <v>0</v>
      </c>
      <c r="L424" s="18">
        <v>0</v>
      </c>
      <c r="M424" s="12" t="s">
        <v>84</v>
      </c>
      <c r="N424" s="35">
        <v>6654893</v>
      </c>
      <c r="O424" s="35">
        <v>6543805.689999999</v>
      </c>
      <c r="P424" s="35">
        <v>5755749.69</v>
      </c>
      <c r="Q424" s="35">
        <v>5720622.970000001</v>
      </c>
      <c r="R424" s="18">
        <f>N424-O424</f>
        <v>111087.31000000052</v>
      </c>
      <c r="S424" s="18">
        <f>O424-P424</f>
        <v>788055.9999999991</v>
      </c>
      <c r="T424" s="18">
        <f>N424-Q424</f>
        <v>934270.0299999993</v>
      </c>
      <c r="U424" s="36">
        <f>IF(N424&gt;0,Q424/N424,0)</f>
        <v>0.8596115624999532</v>
      </c>
      <c r="V424" s="35">
        <v>7087398.33</v>
      </c>
      <c r="W424" s="35">
        <v>5945315.98</v>
      </c>
      <c r="X424" s="36">
        <v>0.8388573215695075</v>
      </c>
      <c r="Y424" s="35">
        <v>6654893</v>
      </c>
      <c r="Z424" s="17" t="s">
        <v>1385</v>
      </c>
      <c r="AA424" s="35">
        <v>100000</v>
      </c>
      <c r="AB424" s="35">
        <v>218816</v>
      </c>
      <c r="AC424" s="35">
        <v>309853</v>
      </c>
      <c r="AD424" s="35">
        <v>0</v>
      </c>
      <c r="AE424" s="12" t="s">
        <v>86</v>
      </c>
      <c r="AF424" s="12" t="s">
        <v>87</v>
      </c>
      <c r="AG424" s="18">
        <v>96.23999999999999</v>
      </c>
      <c r="AH424" s="12" t="s">
        <v>357</v>
      </c>
      <c r="AI424" s="12" t="s">
        <v>89</v>
      </c>
      <c r="AJ424" s="12" t="s">
        <v>89</v>
      </c>
      <c r="AK424" s="12" t="s">
        <v>89</v>
      </c>
      <c r="AL424" s="12" t="s">
        <v>753</v>
      </c>
      <c r="AM424" s="12" t="s">
        <v>91</v>
      </c>
      <c r="AN424" s="17" t="s">
        <v>92</v>
      </c>
    </row>
    <row r="425" spans="1:40">
      <c r="A425" s="12" t="s">
        <v>74</v>
      </c>
      <c r="B425" s="12" t="s">
        <v>1095</v>
      </c>
      <c r="C425" s="12" t="s">
        <v>1418</v>
      </c>
      <c r="D425" s="12" t="s">
        <v>89</v>
      </c>
      <c r="E425" s="12" t="s">
        <v>1357</v>
      </c>
      <c r="F425" s="12" t="s">
        <v>1561</v>
      </c>
      <c r="G425" s="12" t="s">
        <v>1562</v>
      </c>
      <c r="H425" s="34" t="s">
        <v>1563</v>
      </c>
      <c r="I425" s="12" t="s">
        <v>162</v>
      </c>
      <c r="J425" s="12" t="s">
        <v>83</v>
      </c>
      <c r="K425" s="18">
        <v>0</v>
      </c>
      <c r="L425" s="18">
        <v>0</v>
      </c>
      <c r="M425" s="12" t="s">
        <v>84</v>
      </c>
      <c r="N425" s="35">
        <v>5281360</v>
      </c>
      <c r="O425" s="35">
        <v>4438188.09</v>
      </c>
      <c r="P425" s="35">
        <v>178409.69</v>
      </c>
      <c r="Q425" s="35">
        <v>140516.63</v>
      </c>
      <c r="R425" s="18">
        <f>N425-O425</f>
        <v>843171.9100000001</v>
      </c>
      <c r="S425" s="18">
        <f>O425-P425</f>
        <v>4259778.399999999</v>
      </c>
      <c r="T425" s="18">
        <f>N425-Q425</f>
        <v>5140843.37</v>
      </c>
      <c r="U425" s="36">
        <f>IF(N425&gt;0,Q425/N425,0)</f>
        <v>0.026606145008103974</v>
      </c>
      <c r="V425" s="35">
        <v>25244423.07</v>
      </c>
      <c r="W425" s="35">
        <v>170262.72</v>
      </c>
      <c r="X425" s="36">
        <v>0.006744567682449318</v>
      </c>
      <c r="Y425" s="35">
        <v>5281360</v>
      </c>
      <c r="Z425" s="17" t="s">
        <v>202</v>
      </c>
      <c r="AA425" s="35">
        <v>5358341</v>
      </c>
      <c r="AB425" s="35">
        <v>6902686</v>
      </c>
      <c r="AC425" s="35">
        <v>800000</v>
      </c>
      <c r="AD425" s="35">
        <v>800000</v>
      </c>
      <c r="AE425" s="12" t="s">
        <v>86</v>
      </c>
      <c r="AF425" s="12" t="s">
        <v>87</v>
      </c>
      <c r="AG425" s="18">
        <v>0.64</v>
      </c>
      <c r="AH425" s="12" t="s">
        <v>357</v>
      </c>
      <c r="AI425" s="12" t="s">
        <v>89</v>
      </c>
      <c r="AJ425" s="12" t="s">
        <v>89</v>
      </c>
      <c r="AK425" s="12" t="s">
        <v>89</v>
      </c>
      <c r="AL425" s="12" t="s">
        <v>753</v>
      </c>
      <c r="AM425" s="12" t="s">
        <v>91</v>
      </c>
      <c r="AN425" s="17" t="s">
        <v>92</v>
      </c>
    </row>
    <row r="426" spans="1:40">
      <c r="A426" s="12" t="s">
        <v>74</v>
      </c>
      <c r="B426" s="12" t="s">
        <v>1095</v>
      </c>
      <c r="C426" s="12" t="s">
        <v>1418</v>
      </c>
      <c r="D426" s="12" t="s">
        <v>89</v>
      </c>
      <c r="E426" s="12" t="s">
        <v>359</v>
      </c>
      <c r="F426" s="12" t="s">
        <v>1564</v>
      </c>
      <c r="G426" s="12" t="s">
        <v>1565</v>
      </c>
      <c r="H426" s="34" t="s">
        <v>1566</v>
      </c>
      <c r="I426" s="12" t="s">
        <v>162</v>
      </c>
      <c r="J426" s="12" t="s">
        <v>149</v>
      </c>
      <c r="K426" s="18">
        <v>0</v>
      </c>
      <c r="L426" s="18">
        <v>0</v>
      </c>
      <c r="M426" s="12" t="s">
        <v>150</v>
      </c>
      <c r="N426" s="35">
        <v>0</v>
      </c>
      <c r="O426" s="35">
        <v>0</v>
      </c>
      <c r="P426" s="35">
        <v>0</v>
      </c>
      <c r="Q426" s="35">
        <v>0</v>
      </c>
      <c r="R426" s="18">
        <f>N426-O426</f>
        <v>0.0</v>
      </c>
      <c r="S426" s="18">
        <f>O426-P426</f>
        <v>0.0</v>
      </c>
      <c r="T426" s="18">
        <f>N426-Q426</f>
        <v>0.0</v>
      </c>
      <c r="U426" s="36">
        <f>IF(N426&gt;0,Q426/N426,0)</f>
        <v>0</v>
      </c>
      <c r="V426" s="35">
        <v>1666166.09</v>
      </c>
      <c r="W426" s="35">
        <v>107605.39</v>
      </c>
      <c r="X426" s="36">
        <v>0.06458263113493085</v>
      </c>
      <c r="Y426" s="17" t="s">
        <v>151</v>
      </c>
      <c r="Z426" s="17" t="s">
        <v>1567</v>
      </c>
      <c r="AA426" s="35">
        <v>200000</v>
      </c>
      <c r="AB426" s="35">
        <v>0</v>
      </c>
      <c r="AC426" s="35">
        <v>0</v>
      </c>
      <c r="AD426" s="35">
        <v>0</v>
      </c>
      <c r="AE426" s="12" t="s">
        <v>203</v>
      </c>
      <c r="AF426" s="12" t="s">
        <v>87</v>
      </c>
      <c r="AG426" s="18">
        <v>-1</v>
      </c>
      <c r="AH426" s="12" t="s">
        <v>145</v>
      </c>
      <c r="AI426" s="12" t="s">
        <v>89</v>
      </c>
      <c r="AJ426" s="12" t="s">
        <v>89</v>
      </c>
      <c r="AK426" s="12" t="s">
        <v>89</v>
      </c>
      <c r="AL426" s="12" t="s">
        <v>753</v>
      </c>
      <c r="AM426" s="12" t="s">
        <v>91</v>
      </c>
      <c r="AN426" s="17" t="s">
        <v>92</v>
      </c>
    </row>
    <row r="427" spans="1:40">
      <c r="A427" s="12" t="s">
        <v>74</v>
      </c>
      <c r="B427" s="12" t="s">
        <v>1095</v>
      </c>
      <c r="C427" s="12" t="s">
        <v>1568</v>
      </c>
      <c r="D427" s="12" t="s">
        <v>89</v>
      </c>
      <c r="E427" s="12" t="s">
        <v>89</v>
      </c>
      <c r="F427" s="12" t="s">
        <v>1569</v>
      </c>
      <c r="G427" s="12" t="s">
        <v>1570</v>
      </c>
      <c r="H427" s="34" t="s">
        <v>1571</v>
      </c>
      <c r="I427" s="12" t="s">
        <v>1123</v>
      </c>
      <c r="J427" s="12" t="s">
        <v>1124</v>
      </c>
      <c r="K427" s="18">
        <v>185239</v>
      </c>
      <c r="L427" s="18">
        <v>0</v>
      </c>
      <c r="M427" s="12" t="s">
        <v>1125</v>
      </c>
      <c r="N427" s="35">
        <v>185239</v>
      </c>
      <c r="O427" s="35">
        <v>0</v>
      </c>
      <c r="P427" s="35">
        <v>0</v>
      </c>
      <c r="Q427" s="35">
        <v>0</v>
      </c>
      <c r="R427" s="18">
        <f>N427-O427</f>
        <v>185239.0</v>
      </c>
      <c r="S427" s="18">
        <f>O427-P427</f>
        <v>0.0</v>
      </c>
      <c r="T427" s="18">
        <f>N427-Q427</f>
        <v>185239.0</v>
      </c>
      <c r="U427" s="36">
        <f>IF(N427&gt;0,Q427/N427,0)</f>
        <v>0.0</v>
      </c>
      <c r="V427" s="17" t="s">
        <v>151</v>
      </c>
      <c r="W427" s="17" t="s">
        <v>151</v>
      </c>
      <c r="X427" s="17" t="s">
        <v>151</v>
      </c>
      <c r="Y427" s="17" t="s">
        <v>151</v>
      </c>
      <c r="Z427" s="17" t="s">
        <v>89</v>
      </c>
      <c r="AA427" s="12" t="s">
        <v>99</v>
      </c>
      <c r="AB427" s="12" t="s">
        <v>99</v>
      </c>
      <c r="AC427" s="12" t="s">
        <v>99</v>
      </c>
      <c r="AD427" s="12" t="s">
        <v>99</v>
      </c>
      <c r="AE427" s="12" t="s">
        <v>89</v>
      </c>
      <c r="AF427" s="12" t="s">
        <v>89</v>
      </c>
      <c r="AG427" s="17" t="s">
        <v>151</v>
      </c>
      <c r="AH427" s="12" t="s">
        <v>1126</v>
      </c>
      <c r="AI427" s="12" t="s">
        <v>89</v>
      </c>
      <c r="AJ427" s="12" t="s">
        <v>89</v>
      </c>
      <c r="AK427" s="12" t="s">
        <v>89</v>
      </c>
      <c r="AL427" s="12" t="s">
        <v>1572</v>
      </c>
      <c r="AM427" s="12" t="s">
        <v>89</v>
      </c>
      <c r="AN427" s="17" t="s">
        <v>89</v>
      </c>
    </row>
    <row r="428" spans="1:40">
      <c r="A428" s="12" t="s">
        <v>74</v>
      </c>
      <c r="B428" s="12" t="s">
        <v>1095</v>
      </c>
      <c r="C428" s="12" t="s">
        <v>1568</v>
      </c>
      <c r="D428" s="12" t="s">
        <v>89</v>
      </c>
      <c r="E428" s="12" t="s">
        <v>89</v>
      </c>
      <c r="F428" s="12" t="s">
        <v>1569</v>
      </c>
      <c r="G428" s="12" t="s">
        <v>1573</v>
      </c>
      <c r="H428" s="34" t="s">
        <v>1571</v>
      </c>
      <c r="I428" s="12" t="s">
        <v>1123</v>
      </c>
      <c r="J428" s="12" t="s">
        <v>1124</v>
      </c>
      <c r="K428" s="18">
        <v>39457</v>
      </c>
      <c r="L428" s="18">
        <v>0</v>
      </c>
      <c r="M428" s="12" t="s">
        <v>1125</v>
      </c>
      <c r="N428" s="35">
        <v>39457</v>
      </c>
      <c r="O428" s="35">
        <v>0</v>
      </c>
      <c r="P428" s="35">
        <v>0</v>
      </c>
      <c r="Q428" s="35">
        <v>0</v>
      </c>
      <c r="R428" s="18">
        <f>N428-O428</f>
        <v>39457.0</v>
      </c>
      <c r="S428" s="18">
        <f>O428-P428</f>
        <v>0.0</v>
      </c>
      <c r="T428" s="18">
        <f>N428-Q428</f>
        <v>39457.0</v>
      </c>
      <c r="U428" s="36">
        <f>IF(N428&gt;0,Q428/N428,0)</f>
        <v>0.0</v>
      </c>
      <c r="V428" s="17" t="s">
        <v>151</v>
      </c>
      <c r="W428" s="17" t="s">
        <v>151</v>
      </c>
      <c r="X428" s="17" t="s">
        <v>151</v>
      </c>
      <c r="Y428" s="17" t="s">
        <v>151</v>
      </c>
      <c r="Z428" s="17" t="s">
        <v>89</v>
      </c>
      <c r="AA428" s="12" t="s">
        <v>99</v>
      </c>
      <c r="AB428" s="12" t="s">
        <v>99</v>
      </c>
      <c r="AC428" s="12" t="s">
        <v>99</v>
      </c>
      <c r="AD428" s="12" t="s">
        <v>99</v>
      </c>
      <c r="AE428" s="12" t="s">
        <v>89</v>
      </c>
      <c r="AF428" s="12" t="s">
        <v>89</v>
      </c>
      <c r="AG428" s="17" t="s">
        <v>151</v>
      </c>
      <c r="AH428" s="12" t="s">
        <v>1126</v>
      </c>
      <c r="AI428" s="12" t="s">
        <v>89</v>
      </c>
      <c r="AJ428" s="12" t="s">
        <v>89</v>
      </c>
      <c r="AK428" s="12" t="s">
        <v>89</v>
      </c>
      <c r="AL428" s="12" t="s">
        <v>1572</v>
      </c>
      <c r="AM428" s="12" t="s">
        <v>89</v>
      </c>
      <c r="AN428" s="17" t="s">
        <v>89</v>
      </c>
    </row>
    <row r="429" spans="1:40">
      <c r="A429" s="12" t="s">
        <v>74</v>
      </c>
      <c r="B429" s="12" t="s">
        <v>1095</v>
      </c>
      <c r="C429" s="12" t="s">
        <v>1568</v>
      </c>
      <c r="D429" s="12" t="s">
        <v>89</v>
      </c>
      <c r="E429" s="12" t="s">
        <v>89</v>
      </c>
      <c r="F429" s="12" t="s">
        <v>1569</v>
      </c>
      <c r="G429" s="12" t="s">
        <v>1574</v>
      </c>
      <c r="H429" s="34" t="s">
        <v>1571</v>
      </c>
      <c r="I429" s="12" t="s">
        <v>1123</v>
      </c>
      <c r="J429" s="12" t="s">
        <v>149</v>
      </c>
      <c r="K429" s="18">
        <v>0</v>
      </c>
      <c r="L429" s="18">
        <v>0</v>
      </c>
      <c r="M429" s="12" t="s">
        <v>150</v>
      </c>
      <c r="N429" s="35">
        <v>0</v>
      </c>
      <c r="O429" s="35">
        <v>0</v>
      </c>
      <c r="P429" s="35">
        <v>0</v>
      </c>
      <c r="Q429" s="35">
        <v>0</v>
      </c>
      <c r="R429" s="18">
        <f>N429-O429</f>
        <v>0.0</v>
      </c>
      <c r="S429" s="18">
        <f>O429-P429</f>
        <v>0.0</v>
      </c>
      <c r="T429" s="18">
        <f>N429-Q429</f>
        <v>0.0</v>
      </c>
      <c r="U429" s="36">
        <f>IF(N429&gt;0,Q429/N429,0)</f>
        <v>0</v>
      </c>
      <c r="V429" s="17" t="s">
        <v>151</v>
      </c>
      <c r="W429" s="17" t="s">
        <v>151</v>
      </c>
      <c r="X429" s="17" t="s">
        <v>151</v>
      </c>
      <c r="Y429" s="17" t="s">
        <v>151</v>
      </c>
      <c r="Z429" s="17" t="s">
        <v>89</v>
      </c>
      <c r="AA429" s="12" t="s">
        <v>99</v>
      </c>
      <c r="AB429" s="12" t="s">
        <v>99</v>
      </c>
      <c r="AC429" s="12" t="s">
        <v>99</v>
      </c>
      <c r="AD429" s="12" t="s">
        <v>99</v>
      </c>
      <c r="AE429" s="12" t="s">
        <v>89</v>
      </c>
      <c r="AF429" s="12" t="s">
        <v>89</v>
      </c>
      <c r="AG429" s="17" t="s">
        <v>151</v>
      </c>
      <c r="AH429" s="12" t="s">
        <v>1126</v>
      </c>
      <c r="AI429" s="12" t="s">
        <v>89</v>
      </c>
      <c r="AJ429" s="12" t="s">
        <v>89</v>
      </c>
      <c r="AK429" s="12" t="s">
        <v>89</v>
      </c>
      <c r="AL429" s="12" t="s">
        <v>1572</v>
      </c>
      <c r="AM429" s="12" t="s">
        <v>89</v>
      </c>
      <c r="AN429" s="17" t="s">
        <v>89</v>
      </c>
    </row>
    <row r="430" spans="1:40">
      <c r="A430" s="12" t="s">
        <v>74</v>
      </c>
      <c r="B430" s="12" t="s">
        <v>1095</v>
      </c>
      <c r="C430" s="12" t="s">
        <v>1568</v>
      </c>
      <c r="D430" s="12" t="s">
        <v>89</v>
      </c>
      <c r="E430" s="12" t="s">
        <v>89</v>
      </c>
      <c r="F430" s="12" t="s">
        <v>1569</v>
      </c>
      <c r="G430" s="12" t="s">
        <v>1575</v>
      </c>
      <c r="H430" s="34" t="s">
        <v>1571</v>
      </c>
      <c r="I430" s="12" t="s">
        <v>1123</v>
      </c>
      <c r="J430" s="12" t="s">
        <v>1124</v>
      </c>
      <c r="K430" s="18">
        <v>49356.58999999985</v>
      </c>
      <c r="L430" s="18">
        <v>0</v>
      </c>
      <c r="M430" s="12" t="s">
        <v>1125</v>
      </c>
      <c r="N430" s="35">
        <v>1185238</v>
      </c>
      <c r="O430" s="35">
        <v>1135881.41</v>
      </c>
      <c r="P430" s="35">
        <v>1135881.41</v>
      </c>
      <c r="Q430" s="35">
        <v>1093656.38</v>
      </c>
      <c r="R430" s="18">
        <f>N430-O430</f>
        <v>49356.58999999985</v>
      </c>
      <c r="S430" s="18">
        <f>O430-P430</f>
        <v>0.0</v>
      </c>
      <c r="T430" s="18">
        <f>N430-Q430</f>
        <v>91581.62000000011</v>
      </c>
      <c r="U430" s="36">
        <f>IF(N430&gt;0,Q430/N430,0)</f>
        <v>0.9227314514046967</v>
      </c>
      <c r="V430" s="17" t="s">
        <v>151</v>
      </c>
      <c r="W430" s="17" t="s">
        <v>151</v>
      </c>
      <c r="X430" s="17" t="s">
        <v>151</v>
      </c>
      <c r="Y430" s="17" t="s">
        <v>151</v>
      </c>
      <c r="Z430" s="17" t="s">
        <v>89</v>
      </c>
      <c r="AA430" s="12" t="s">
        <v>99</v>
      </c>
      <c r="AB430" s="12" t="s">
        <v>99</v>
      </c>
      <c r="AC430" s="12" t="s">
        <v>99</v>
      </c>
      <c r="AD430" s="12" t="s">
        <v>99</v>
      </c>
      <c r="AE430" s="12" t="s">
        <v>89</v>
      </c>
      <c r="AF430" s="12" t="s">
        <v>89</v>
      </c>
      <c r="AG430" s="17" t="s">
        <v>151</v>
      </c>
      <c r="AH430" s="12" t="s">
        <v>1126</v>
      </c>
      <c r="AI430" s="12" t="s">
        <v>89</v>
      </c>
      <c r="AJ430" s="12" t="s">
        <v>89</v>
      </c>
      <c r="AK430" s="12" t="s">
        <v>89</v>
      </c>
      <c r="AL430" s="12" t="s">
        <v>89</v>
      </c>
      <c r="AM430" s="12" t="s">
        <v>89</v>
      </c>
      <c r="AN430" s="17" t="s">
        <v>89</v>
      </c>
    </row>
    <row r="431" spans="1:40">
      <c r="A431" s="12" t="s">
        <v>74</v>
      </c>
      <c r="B431" s="12" t="s">
        <v>1095</v>
      </c>
      <c r="C431" s="12" t="s">
        <v>1568</v>
      </c>
      <c r="D431" s="12" t="s">
        <v>89</v>
      </c>
      <c r="E431" s="12" t="s">
        <v>89</v>
      </c>
      <c r="F431" s="12" t="s">
        <v>1569</v>
      </c>
      <c r="G431" s="12" t="s">
        <v>1576</v>
      </c>
      <c r="H431" s="34" t="s">
        <v>1571</v>
      </c>
      <c r="I431" s="12" t="s">
        <v>1123</v>
      </c>
      <c r="J431" s="12" t="s">
        <v>1124</v>
      </c>
      <c r="K431" s="18">
        <v>26846.54999999999</v>
      </c>
      <c r="L431" s="18">
        <v>0</v>
      </c>
      <c r="M431" s="12" t="s">
        <v>1125</v>
      </c>
      <c r="N431" s="35">
        <v>303086</v>
      </c>
      <c r="O431" s="35">
        <v>276239.45</v>
      </c>
      <c r="P431" s="35">
        <v>276239.45</v>
      </c>
      <c r="Q431" s="35">
        <v>275941</v>
      </c>
      <c r="R431" s="18">
        <f>N431-O431</f>
        <v>26846.54999999999</v>
      </c>
      <c r="S431" s="18">
        <f>O431-P431</f>
        <v>0.0</v>
      </c>
      <c r="T431" s="18">
        <f>N431-Q431</f>
        <v>27145.0</v>
      </c>
      <c r="U431" s="36">
        <f>IF(N431&gt;0,Q431/N431,0)</f>
        <v>0.9104379615026759</v>
      </c>
      <c r="V431" s="17" t="s">
        <v>151</v>
      </c>
      <c r="W431" s="17" t="s">
        <v>151</v>
      </c>
      <c r="X431" s="17" t="s">
        <v>151</v>
      </c>
      <c r="Y431" s="17" t="s">
        <v>151</v>
      </c>
      <c r="Z431" s="17" t="s">
        <v>89</v>
      </c>
      <c r="AA431" s="12" t="s">
        <v>99</v>
      </c>
      <c r="AB431" s="12" t="s">
        <v>99</v>
      </c>
      <c r="AC431" s="12" t="s">
        <v>99</v>
      </c>
      <c r="AD431" s="12" t="s">
        <v>99</v>
      </c>
      <c r="AE431" s="12" t="s">
        <v>89</v>
      </c>
      <c r="AF431" s="12" t="s">
        <v>89</v>
      </c>
      <c r="AG431" s="17" t="s">
        <v>151</v>
      </c>
      <c r="AH431" s="12" t="s">
        <v>1126</v>
      </c>
      <c r="AI431" s="12" t="s">
        <v>89</v>
      </c>
      <c r="AJ431" s="12" t="s">
        <v>89</v>
      </c>
      <c r="AK431" s="12" t="s">
        <v>89</v>
      </c>
      <c r="AL431" s="12" t="s">
        <v>89</v>
      </c>
      <c r="AM431" s="12" t="s">
        <v>89</v>
      </c>
      <c r="AN431" s="17" t="s">
        <v>89</v>
      </c>
    </row>
    <row r="432" spans="1:40">
      <c r="A432" s="12" t="s">
        <v>74</v>
      </c>
      <c r="B432" s="12" t="s">
        <v>1095</v>
      </c>
      <c r="C432" s="12" t="s">
        <v>1568</v>
      </c>
      <c r="D432" s="12" t="s">
        <v>89</v>
      </c>
      <c r="E432" s="12" t="s">
        <v>89</v>
      </c>
      <c r="F432" s="12" t="s">
        <v>1569</v>
      </c>
      <c r="G432" s="12" t="s">
        <v>1577</v>
      </c>
      <c r="H432" s="34" t="s">
        <v>1571</v>
      </c>
      <c r="I432" s="12" t="s">
        <v>1123</v>
      </c>
      <c r="J432" s="12" t="s">
        <v>1124</v>
      </c>
      <c r="K432" s="18">
        <v>423108.97</v>
      </c>
      <c r="L432" s="18">
        <v>0</v>
      </c>
      <c r="M432" s="12" t="s">
        <v>1125</v>
      </c>
      <c r="N432" s="35">
        <v>1857675</v>
      </c>
      <c r="O432" s="35">
        <v>1434566.03</v>
      </c>
      <c r="P432" s="35">
        <v>1430628.78</v>
      </c>
      <c r="Q432" s="35">
        <v>1386835.53</v>
      </c>
      <c r="R432" s="18">
        <f>N432-O432</f>
        <v>423108.97</v>
      </c>
      <c r="S432" s="18">
        <f>O432-P432</f>
        <v>3937.25</v>
      </c>
      <c r="T432" s="18">
        <f>N432-Q432</f>
        <v>470839.47</v>
      </c>
      <c r="U432" s="36">
        <f>IF(N432&gt;0,Q432/N432,0)</f>
        <v>0.7465436795994994</v>
      </c>
      <c r="V432" s="17" t="s">
        <v>151</v>
      </c>
      <c r="W432" s="17" t="s">
        <v>151</v>
      </c>
      <c r="X432" s="17" t="s">
        <v>151</v>
      </c>
      <c r="Y432" s="17" t="s">
        <v>151</v>
      </c>
      <c r="Z432" s="17" t="s">
        <v>89</v>
      </c>
      <c r="AA432" s="12" t="s">
        <v>99</v>
      </c>
      <c r="AB432" s="12" t="s">
        <v>99</v>
      </c>
      <c r="AC432" s="12" t="s">
        <v>99</v>
      </c>
      <c r="AD432" s="12" t="s">
        <v>99</v>
      </c>
      <c r="AE432" s="12" t="s">
        <v>89</v>
      </c>
      <c r="AF432" s="12" t="s">
        <v>89</v>
      </c>
      <c r="AG432" s="17" t="s">
        <v>151</v>
      </c>
      <c r="AH432" s="12" t="s">
        <v>1126</v>
      </c>
      <c r="AI432" s="12" t="s">
        <v>89</v>
      </c>
      <c r="AJ432" s="12" t="s">
        <v>89</v>
      </c>
      <c r="AK432" s="12" t="s">
        <v>89</v>
      </c>
      <c r="AL432" s="12" t="s">
        <v>89</v>
      </c>
      <c r="AM432" s="12" t="s">
        <v>89</v>
      </c>
      <c r="AN432" s="17" t="s">
        <v>89</v>
      </c>
    </row>
    <row r="433" spans="1:40">
      <c r="A433" s="12" t="s">
        <v>74</v>
      </c>
      <c r="B433" s="12" t="s">
        <v>1095</v>
      </c>
      <c r="C433" s="12" t="s">
        <v>1568</v>
      </c>
      <c r="D433" s="12" t="s">
        <v>89</v>
      </c>
      <c r="E433" s="12" t="s">
        <v>89</v>
      </c>
      <c r="F433" s="12" t="s">
        <v>1569</v>
      </c>
      <c r="G433" s="12" t="s">
        <v>1578</v>
      </c>
      <c r="H433" s="34" t="s">
        <v>1571</v>
      </c>
      <c r="I433" s="12" t="s">
        <v>1123</v>
      </c>
      <c r="J433" s="12" t="s">
        <v>1124</v>
      </c>
      <c r="K433" s="18">
        <v>18342.55999999994</v>
      </c>
      <c r="L433" s="18">
        <v>0</v>
      </c>
      <c r="M433" s="12" t="s">
        <v>1125</v>
      </c>
      <c r="N433" s="35">
        <v>969006</v>
      </c>
      <c r="O433" s="35">
        <v>950663.4400000001</v>
      </c>
      <c r="P433" s="35">
        <v>950633.34</v>
      </c>
      <c r="Q433" s="35">
        <v>931576.3500000001</v>
      </c>
      <c r="R433" s="18">
        <f>N433-O433</f>
        <v>18342.55999999994</v>
      </c>
      <c r="S433" s="18">
        <f>O433-P433</f>
        <v>30.100000000093132</v>
      </c>
      <c r="T433" s="18">
        <f>N433-Q433</f>
        <v>37429.64999999991</v>
      </c>
      <c r="U433" s="36">
        <f>IF(N433&gt;0,Q433/N433,0)</f>
        <v>0.9613731493922639</v>
      </c>
      <c r="V433" s="17" t="s">
        <v>151</v>
      </c>
      <c r="W433" s="17" t="s">
        <v>151</v>
      </c>
      <c r="X433" s="17" t="s">
        <v>151</v>
      </c>
      <c r="Y433" s="17" t="s">
        <v>151</v>
      </c>
      <c r="Z433" s="17" t="s">
        <v>89</v>
      </c>
      <c r="AA433" s="12" t="s">
        <v>99</v>
      </c>
      <c r="AB433" s="12" t="s">
        <v>99</v>
      </c>
      <c r="AC433" s="12" t="s">
        <v>99</v>
      </c>
      <c r="AD433" s="12" t="s">
        <v>99</v>
      </c>
      <c r="AE433" s="12" t="s">
        <v>89</v>
      </c>
      <c r="AF433" s="12" t="s">
        <v>89</v>
      </c>
      <c r="AG433" s="17" t="s">
        <v>151</v>
      </c>
      <c r="AH433" s="12" t="s">
        <v>1126</v>
      </c>
      <c r="AI433" s="12" t="s">
        <v>89</v>
      </c>
      <c r="AJ433" s="12" t="s">
        <v>89</v>
      </c>
      <c r="AK433" s="12" t="s">
        <v>89</v>
      </c>
      <c r="AL433" s="12" t="s">
        <v>89</v>
      </c>
      <c r="AM433" s="12" t="s">
        <v>89</v>
      </c>
      <c r="AN433" s="17" t="s">
        <v>89</v>
      </c>
    </row>
    <row r="434" spans="1:40">
      <c r="A434" s="12" t="s">
        <v>74</v>
      </c>
      <c r="B434" s="12" t="s">
        <v>1095</v>
      </c>
      <c r="C434" s="12" t="s">
        <v>1568</v>
      </c>
      <c r="D434" s="12" t="s">
        <v>89</v>
      </c>
      <c r="E434" s="12" t="s">
        <v>89</v>
      </c>
      <c r="F434" s="12" t="s">
        <v>1569</v>
      </c>
      <c r="G434" s="12" t="s">
        <v>1579</v>
      </c>
      <c r="H434" s="34" t="s">
        <v>1571</v>
      </c>
      <c r="I434" s="12" t="s">
        <v>1123</v>
      </c>
      <c r="J434" s="12" t="s">
        <v>1124</v>
      </c>
      <c r="K434" s="18">
        <v>468909.5299999998</v>
      </c>
      <c r="L434" s="18">
        <v>0</v>
      </c>
      <c r="M434" s="12" t="s">
        <v>1125</v>
      </c>
      <c r="N434" s="35">
        <v>1758508</v>
      </c>
      <c r="O434" s="35">
        <v>1289598.47</v>
      </c>
      <c r="P434" s="35">
        <v>1286374.04</v>
      </c>
      <c r="Q434" s="35">
        <v>1212625.87</v>
      </c>
      <c r="R434" s="18">
        <f>N434-O434</f>
        <v>468909.5299999998</v>
      </c>
      <c r="S434" s="18">
        <f>O434-P434</f>
        <v>3224.4300000001676</v>
      </c>
      <c r="T434" s="18">
        <f>N434-Q434</f>
        <v>545882.1299999999</v>
      </c>
      <c r="U434" s="36">
        <f>IF(N434&gt;0,Q434/N434,0)</f>
        <v>0.6895765444342591</v>
      </c>
      <c r="V434" s="17" t="s">
        <v>151</v>
      </c>
      <c r="W434" s="17" t="s">
        <v>151</v>
      </c>
      <c r="X434" s="17" t="s">
        <v>151</v>
      </c>
      <c r="Y434" s="17" t="s">
        <v>151</v>
      </c>
      <c r="Z434" s="17" t="s">
        <v>89</v>
      </c>
      <c r="AA434" s="12" t="s">
        <v>99</v>
      </c>
      <c r="AB434" s="12" t="s">
        <v>99</v>
      </c>
      <c r="AC434" s="12" t="s">
        <v>99</v>
      </c>
      <c r="AD434" s="12" t="s">
        <v>99</v>
      </c>
      <c r="AE434" s="12" t="s">
        <v>89</v>
      </c>
      <c r="AF434" s="12" t="s">
        <v>89</v>
      </c>
      <c r="AG434" s="17" t="s">
        <v>151</v>
      </c>
      <c r="AH434" s="12" t="s">
        <v>1126</v>
      </c>
      <c r="AI434" s="12" t="s">
        <v>89</v>
      </c>
      <c r="AJ434" s="12" t="s">
        <v>89</v>
      </c>
      <c r="AK434" s="12" t="s">
        <v>89</v>
      </c>
      <c r="AL434" s="12" t="s">
        <v>89</v>
      </c>
      <c r="AM434" s="12" t="s">
        <v>89</v>
      </c>
      <c r="AN434" s="17" t="s">
        <v>89</v>
      </c>
    </row>
    <row r="435" spans="1:40">
      <c r="A435" s="12" t="s">
        <v>74</v>
      </c>
      <c r="B435" s="12" t="s">
        <v>1095</v>
      </c>
      <c r="C435" s="12" t="s">
        <v>1568</v>
      </c>
      <c r="D435" s="12" t="s">
        <v>89</v>
      </c>
      <c r="E435" s="12" t="s">
        <v>89</v>
      </c>
      <c r="F435" s="12" t="s">
        <v>1569</v>
      </c>
      <c r="G435" s="12" t="s">
        <v>1580</v>
      </c>
      <c r="H435" s="34" t="s">
        <v>1571</v>
      </c>
      <c r="I435" s="12" t="s">
        <v>1123</v>
      </c>
      <c r="J435" s="12" t="s">
        <v>1124</v>
      </c>
      <c r="K435" s="18">
        <v>149692.6899999999</v>
      </c>
      <c r="L435" s="18">
        <v>0</v>
      </c>
      <c r="M435" s="12" t="s">
        <v>1125</v>
      </c>
      <c r="N435" s="35">
        <v>768405</v>
      </c>
      <c r="O435" s="35">
        <v>618712.3100000001</v>
      </c>
      <c r="P435" s="35">
        <v>618712.3100000001</v>
      </c>
      <c r="Q435" s="35">
        <v>420548.3</v>
      </c>
      <c r="R435" s="18">
        <f>N435-O435</f>
        <v>149692.68999999994</v>
      </c>
      <c r="S435" s="18">
        <f>O435-P435</f>
        <v>0.0</v>
      </c>
      <c r="T435" s="18">
        <f>N435-Q435</f>
        <v>347856.7</v>
      </c>
      <c r="U435" s="36">
        <f>IF(N435&gt;0,Q435/N435,0)</f>
        <v>0.5473003168901815</v>
      </c>
      <c r="V435" s="17" t="s">
        <v>151</v>
      </c>
      <c r="W435" s="17" t="s">
        <v>151</v>
      </c>
      <c r="X435" s="17" t="s">
        <v>151</v>
      </c>
      <c r="Y435" s="17" t="s">
        <v>151</v>
      </c>
      <c r="Z435" s="17" t="s">
        <v>89</v>
      </c>
      <c r="AA435" s="12" t="s">
        <v>99</v>
      </c>
      <c r="AB435" s="12" t="s">
        <v>99</v>
      </c>
      <c r="AC435" s="12" t="s">
        <v>99</v>
      </c>
      <c r="AD435" s="12" t="s">
        <v>99</v>
      </c>
      <c r="AE435" s="12" t="s">
        <v>89</v>
      </c>
      <c r="AF435" s="12" t="s">
        <v>89</v>
      </c>
      <c r="AG435" s="17" t="s">
        <v>151</v>
      </c>
      <c r="AH435" s="12" t="s">
        <v>1581</v>
      </c>
      <c r="AI435" s="12" t="s">
        <v>89</v>
      </c>
      <c r="AJ435" s="12" t="s">
        <v>89</v>
      </c>
      <c r="AK435" s="12" t="s">
        <v>89</v>
      </c>
      <c r="AL435" s="12" t="s">
        <v>89</v>
      </c>
      <c r="AM435" s="12" t="s">
        <v>89</v>
      </c>
      <c r="AN435" s="17" t="s">
        <v>89</v>
      </c>
    </row>
    <row r="436" spans="1:40">
      <c r="A436" s="12" t="s">
        <v>74</v>
      </c>
      <c r="B436" s="12" t="s">
        <v>1095</v>
      </c>
      <c r="C436" s="12" t="s">
        <v>1568</v>
      </c>
      <c r="D436" s="12" t="s">
        <v>89</v>
      </c>
      <c r="E436" s="12" t="s">
        <v>89</v>
      </c>
      <c r="F436" s="12" t="s">
        <v>1569</v>
      </c>
      <c r="G436" s="12" t="s">
        <v>1582</v>
      </c>
      <c r="H436" s="34" t="s">
        <v>1571</v>
      </c>
      <c r="I436" s="12" t="s">
        <v>1123</v>
      </c>
      <c r="J436" s="12" t="s">
        <v>1124</v>
      </c>
      <c r="K436" s="18">
        <v>5205.119999999995</v>
      </c>
      <c r="L436" s="18">
        <v>0</v>
      </c>
      <c r="M436" s="12" t="s">
        <v>1125</v>
      </c>
      <c r="N436" s="35">
        <v>84425</v>
      </c>
      <c r="O436" s="35">
        <v>79219.88</v>
      </c>
      <c r="P436" s="35">
        <v>79219.88</v>
      </c>
      <c r="Q436" s="35">
        <v>79219.88</v>
      </c>
      <c r="R436" s="18">
        <f>N436-O436</f>
        <v>5205.119999999995</v>
      </c>
      <c r="S436" s="18">
        <f>O436-P436</f>
        <v>0.0</v>
      </c>
      <c r="T436" s="18">
        <f>N436-Q436</f>
        <v>5205.119999999995</v>
      </c>
      <c r="U436" s="36">
        <f>IF(N436&gt;0,Q436/N436,0)</f>
        <v>0.9383462244595796</v>
      </c>
      <c r="V436" s="17" t="s">
        <v>151</v>
      </c>
      <c r="W436" s="17" t="s">
        <v>151</v>
      </c>
      <c r="X436" s="17" t="s">
        <v>151</v>
      </c>
      <c r="Y436" s="17" t="s">
        <v>151</v>
      </c>
      <c r="Z436" s="17" t="s">
        <v>89</v>
      </c>
      <c r="AA436" s="12" t="s">
        <v>99</v>
      </c>
      <c r="AB436" s="12" t="s">
        <v>99</v>
      </c>
      <c r="AC436" s="12" t="s">
        <v>99</v>
      </c>
      <c r="AD436" s="12" t="s">
        <v>99</v>
      </c>
      <c r="AE436" s="12" t="s">
        <v>89</v>
      </c>
      <c r="AF436" s="12" t="s">
        <v>89</v>
      </c>
      <c r="AG436" s="17" t="s">
        <v>151</v>
      </c>
      <c r="AH436" s="12" t="s">
        <v>1126</v>
      </c>
      <c r="AI436" s="12" t="s">
        <v>89</v>
      </c>
      <c r="AJ436" s="12" t="s">
        <v>89</v>
      </c>
      <c r="AK436" s="12" t="s">
        <v>89</v>
      </c>
      <c r="AL436" s="12" t="s">
        <v>89</v>
      </c>
      <c r="AM436" s="12" t="s">
        <v>89</v>
      </c>
      <c r="AN436" s="17" t="s">
        <v>89</v>
      </c>
    </row>
    <row r="437" spans="1:40">
      <c r="A437" s="12" t="s">
        <v>74</v>
      </c>
      <c r="B437" s="12" t="s">
        <v>75</v>
      </c>
      <c r="C437" s="12" t="s">
        <v>76</v>
      </c>
      <c r="D437" s="12" t="s">
        <v>1583</v>
      </c>
      <c r="E437" s="12" t="s">
        <v>78</v>
      </c>
      <c r="F437" s="12" t="s">
        <v>1584</v>
      </c>
      <c r="G437" s="12" t="s">
        <v>1585</v>
      </c>
      <c r="H437" s="34" t="s">
        <v>1586</v>
      </c>
      <c r="I437" s="12" t="s">
        <v>82</v>
      </c>
      <c r="J437" s="12" t="s">
        <v>83</v>
      </c>
      <c r="K437" s="18">
        <v>0</v>
      </c>
      <c r="L437" s="18">
        <v>0</v>
      </c>
      <c r="M437" s="12" t="s">
        <v>84</v>
      </c>
      <c r="N437" s="35">
        <v>282553</v>
      </c>
      <c r="O437" s="35">
        <v>282553</v>
      </c>
      <c r="P437" s="35">
        <v>282553</v>
      </c>
      <c r="Q437" s="35">
        <v>0</v>
      </c>
      <c r="R437" s="18">
        <f>N437-O437</f>
        <v>0.0</v>
      </c>
      <c r="S437" s="18">
        <f>O437-P437</f>
        <v>0.0</v>
      </c>
      <c r="T437" s="18">
        <f>N437-Q437</f>
        <v>282553.0</v>
      </c>
      <c r="U437" s="36">
        <f>IF(N437&gt;0,Q437/N437,0)</f>
        <v>0.0</v>
      </c>
      <c r="V437" s="35">
        <v>35809218.13</v>
      </c>
      <c r="W437" s="35">
        <v>0</v>
      </c>
      <c r="X437" s="36">
        <v>0</v>
      </c>
      <c r="Y437" s="35">
        <v>282553</v>
      </c>
      <c r="Z437" s="17" t="s">
        <v>85</v>
      </c>
      <c r="AA437" s="35">
        <v>50000</v>
      </c>
      <c r="AB437" s="35">
        <v>0</v>
      </c>
      <c r="AC437" s="35">
        <v>0</v>
      </c>
      <c r="AD437" s="35">
        <v>1000000</v>
      </c>
      <c r="AE437" s="12" t="s">
        <v>86</v>
      </c>
      <c r="AF437" s="12" t="s">
        <v>87</v>
      </c>
      <c r="AG437" s="18">
        <v>-1</v>
      </c>
      <c r="AH437" s="12" t="s">
        <v>169</v>
      </c>
      <c r="AI437" s="12" t="s">
        <v>89</v>
      </c>
      <c r="AJ437" s="12" t="s">
        <v>89</v>
      </c>
      <c r="AK437" s="12" t="s">
        <v>1587</v>
      </c>
      <c r="AL437" s="12" t="s">
        <v>141</v>
      </c>
      <c r="AM437" s="12" t="s">
        <v>91</v>
      </c>
      <c r="AN437" s="17" t="s">
        <v>92</v>
      </c>
    </row>
    <row r="438" spans="1:40">
      <c r="A438" s="12" t="s">
        <v>74</v>
      </c>
      <c r="B438" s="12" t="s">
        <v>1095</v>
      </c>
      <c r="C438" s="12" t="s">
        <v>1418</v>
      </c>
      <c r="D438" s="12" t="s">
        <v>89</v>
      </c>
      <c r="E438" s="12" t="s">
        <v>102</v>
      </c>
      <c r="F438" s="12" t="s">
        <v>1588</v>
      </c>
      <c r="G438" s="12" t="s">
        <v>1589</v>
      </c>
      <c r="H438" s="34" t="s">
        <v>1590</v>
      </c>
      <c r="I438" s="12" t="s">
        <v>162</v>
      </c>
      <c r="J438" s="12" t="s">
        <v>106</v>
      </c>
      <c r="K438" s="18">
        <v>0</v>
      </c>
      <c r="L438" s="18">
        <v>0</v>
      </c>
      <c r="M438" s="12" t="s">
        <v>121</v>
      </c>
      <c r="N438" s="35">
        <v>271707</v>
      </c>
      <c r="O438" s="35">
        <v>271705.69</v>
      </c>
      <c r="P438" s="35">
        <v>271705.69</v>
      </c>
      <c r="Q438" s="35">
        <v>270842.66</v>
      </c>
      <c r="R438" s="18">
        <f>N438-O438</f>
        <v>1.3099999999976717</v>
      </c>
      <c r="S438" s="18">
        <f>O438-P438</f>
        <v>0.0</v>
      </c>
      <c r="T438" s="18">
        <f>N438-Q438</f>
        <v>864.3400000000256</v>
      </c>
      <c r="U438" s="36">
        <f>IF(N438&gt;0,Q438/N438,0)</f>
        <v>0.9968188526611386</v>
      </c>
      <c r="V438" s="35">
        <v>312698.32</v>
      </c>
      <c r="W438" s="35">
        <v>290947.9</v>
      </c>
      <c r="X438" s="36">
        <v>0.9304427986693373</v>
      </c>
      <c r="Y438" s="35">
        <v>271707</v>
      </c>
      <c r="Z438" s="17" t="s">
        <v>333</v>
      </c>
      <c r="AA438" s="35">
        <v>267733</v>
      </c>
      <c r="AB438" s="35">
        <v>20886</v>
      </c>
      <c r="AC438" s="35">
        <v>0</v>
      </c>
      <c r="AD438" s="35">
        <v>0</v>
      </c>
      <c r="AE438" s="12" t="s">
        <v>86</v>
      </c>
      <c r="AF438" s="12" t="s">
        <v>87</v>
      </c>
      <c r="AG438" s="18">
        <v>100</v>
      </c>
      <c r="AH438" s="12" t="s">
        <v>1591</v>
      </c>
      <c r="AI438" s="12" t="s">
        <v>89</v>
      </c>
      <c r="AJ438" s="12" t="s">
        <v>89</v>
      </c>
      <c r="AK438" s="12" t="s">
        <v>1592</v>
      </c>
      <c r="AL438" s="12" t="s">
        <v>753</v>
      </c>
      <c r="AM438" s="12" t="s">
        <v>91</v>
      </c>
      <c r="AN438" s="17" t="s">
        <v>92</v>
      </c>
    </row>
    <row r="439" spans="1:40">
      <c r="A439" s="12" t="s">
        <v>74</v>
      </c>
      <c r="B439" s="12" t="s">
        <v>75</v>
      </c>
      <c r="C439" s="12" t="s">
        <v>76</v>
      </c>
      <c r="D439" s="12" t="s">
        <v>1583</v>
      </c>
      <c r="E439" s="12" t="s">
        <v>102</v>
      </c>
      <c r="F439" s="12" t="s">
        <v>1593</v>
      </c>
      <c r="G439" s="12" t="s">
        <v>1594</v>
      </c>
      <c r="H439" s="34" t="s">
        <v>1595</v>
      </c>
      <c r="I439" s="12" t="s">
        <v>82</v>
      </c>
      <c r="J439" s="12" t="s">
        <v>83</v>
      </c>
      <c r="K439" s="18">
        <v>0</v>
      </c>
      <c r="L439" s="18">
        <v>0</v>
      </c>
      <c r="M439" s="12" t="s">
        <v>84</v>
      </c>
      <c r="N439" s="35">
        <v>218556</v>
      </c>
      <c r="O439" s="35">
        <v>0</v>
      </c>
      <c r="P439" s="35">
        <v>0</v>
      </c>
      <c r="Q439" s="35">
        <v>0</v>
      </c>
      <c r="R439" s="18">
        <f>N439-O439</f>
        <v>218556.0</v>
      </c>
      <c r="S439" s="18">
        <f>O439-P439</f>
        <v>0.0</v>
      </c>
      <c r="T439" s="18">
        <f>N439-Q439</f>
        <v>218556.0</v>
      </c>
      <c r="U439" s="36">
        <f>IF(N439&gt;0,Q439/N439,0)</f>
        <v>0.0</v>
      </c>
      <c r="V439" s="35">
        <v>31199946.43</v>
      </c>
      <c r="W439" s="35">
        <v>700740.6</v>
      </c>
      <c r="X439" s="36">
        <v>0.02245967317835552</v>
      </c>
      <c r="Y439" s="35">
        <v>417302</v>
      </c>
      <c r="Z439" s="17" t="s">
        <v>284</v>
      </c>
      <c r="AA439" s="12" t="s">
        <v>99</v>
      </c>
      <c r="AB439" s="12" t="s">
        <v>99</v>
      </c>
      <c r="AC439" s="12" t="s">
        <v>99</v>
      </c>
      <c r="AD439" s="12" t="s">
        <v>99</v>
      </c>
      <c r="AE439" s="12" t="s">
        <v>86</v>
      </c>
      <c r="AF439" s="12" t="s">
        <v>87</v>
      </c>
      <c r="AG439" s="18">
        <v>-1</v>
      </c>
      <c r="AH439" s="12" t="s">
        <v>145</v>
      </c>
      <c r="AI439" s="12" t="s">
        <v>89</v>
      </c>
      <c r="AJ439" s="12" t="s">
        <v>89</v>
      </c>
      <c r="AK439" s="12" t="s">
        <v>1596</v>
      </c>
      <c r="AL439" s="12" t="s">
        <v>127</v>
      </c>
      <c r="AM439" s="12" t="s">
        <v>1597</v>
      </c>
      <c r="AN439" s="17" t="s">
        <v>92</v>
      </c>
    </row>
    <row r="440" spans="1:40">
      <c r="A440" s="12" t="s">
        <v>74</v>
      </c>
      <c r="B440" s="12" t="s">
        <v>1598</v>
      </c>
      <c r="C440" s="12" t="s">
        <v>1599</v>
      </c>
      <c r="D440" s="12" t="s">
        <v>89</v>
      </c>
      <c r="E440" s="12" t="s">
        <v>78</v>
      </c>
      <c r="F440" s="12" t="s">
        <v>1600</v>
      </c>
      <c r="G440" s="12" t="s">
        <v>1601</v>
      </c>
      <c r="H440" s="34" t="s">
        <v>1602</v>
      </c>
      <c r="I440" s="12" t="s">
        <v>82</v>
      </c>
      <c r="J440" s="12" t="s">
        <v>83</v>
      </c>
      <c r="K440" s="18">
        <v>0</v>
      </c>
      <c r="L440" s="18">
        <v>0</v>
      </c>
      <c r="M440" s="12" t="s">
        <v>84</v>
      </c>
      <c r="N440" s="35">
        <v>100000</v>
      </c>
      <c r="O440" s="35">
        <v>0</v>
      </c>
      <c r="P440" s="35">
        <v>0</v>
      </c>
      <c r="Q440" s="35">
        <v>0</v>
      </c>
      <c r="R440" s="18">
        <f>N440-O440</f>
        <v>100000.0</v>
      </c>
      <c r="S440" s="18">
        <f>O440-P440</f>
        <v>0.0</v>
      </c>
      <c r="T440" s="18">
        <f>N440-Q440</f>
        <v>100000.0</v>
      </c>
      <c r="U440" s="36">
        <f>IF(N440&gt;0,Q440/N440,0)</f>
        <v>0.0</v>
      </c>
      <c r="V440" s="35">
        <v>12824560.62</v>
      </c>
      <c r="W440" s="35">
        <v>0</v>
      </c>
      <c r="X440" s="36">
        <v>0</v>
      </c>
      <c r="Y440" s="35">
        <v>100000</v>
      </c>
      <c r="Z440" s="17" t="s">
        <v>98</v>
      </c>
      <c r="AA440" s="35">
        <v>100000</v>
      </c>
      <c r="AB440" s="35">
        <v>0</v>
      </c>
      <c r="AC440" s="35">
        <v>3681052</v>
      </c>
      <c r="AD440" s="35">
        <v>4156140</v>
      </c>
      <c r="AE440" s="12" t="s">
        <v>86</v>
      </c>
      <c r="AF440" s="12" t="s">
        <v>87</v>
      </c>
      <c r="AG440" s="18">
        <v>-1</v>
      </c>
      <c r="AH440" s="12" t="s">
        <v>169</v>
      </c>
      <c r="AI440" s="12" t="s">
        <v>89</v>
      </c>
      <c r="AJ440" s="12" t="s">
        <v>89</v>
      </c>
      <c r="AK440" s="12" t="s">
        <v>89</v>
      </c>
      <c r="AL440" s="12" t="s">
        <v>89</v>
      </c>
      <c r="AM440" s="12" t="s">
        <v>91</v>
      </c>
      <c r="AN440" s="17" t="s">
        <v>92</v>
      </c>
    </row>
    <row r="441" spans="1:40">
      <c r="A441" s="12" t="s">
        <v>74</v>
      </c>
      <c r="B441" s="12" t="s">
        <v>1598</v>
      </c>
      <c r="C441" s="12" t="s">
        <v>1599</v>
      </c>
      <c r="D441" s="12" t="s">
        <v>89</v>
      </c>
      <c r="E441" s="12" t="s">
        <v>102</v>
      </c>
      <c r="F441" s="12" t="s">
        <v>1603</v>
      </c>
      <c r="G441" s="12" t="s">
        <v>1604</v>
      </c>
      <c r="H441" s="34" t="s">
        <v>1605</v>
      </c>
      <c r="I441" s="12" t="s">
        <v>82</v>
      </c>
      <c r="J441" s="12" t="s">
        <v>106</v>
      </c>
      <c r="K441" s="18">
        <v>0</v>
      </c>
      <c r="L441" s="18">
        <v>0</v>
      </c>
      <c r="M441" s="12" t="s">
        <v>1606</v>
      </c>
      <c r="N441" s="35">
        <v>20166</v>
      </c>
      <c r="O441" s="35">
        <v>19362</v>
      </c>
      <c r="P441" s="35">
        <v>19362</v>
      </c>
      <c r="Q441" s="35">
        <v>18148.25</v>
      </c>
      <c r="R441" s="18">
        <f>N441-O441</f>
        <v>804.0</v>
      </c>
      <c r="S441" s="18">
        <f>O441-P441</f>
        <v>0.0</v>
      </c>
      <c r="T441" s="18">
        <f>N441-Q441</f>
        <v>2017.75</v>
      </c>
      <c r="U441" s="36">
        <f>IF(N441&gt;0,Q441/N441,0)</f>
        <v>0.8999429733214321</v>
      </c>
      <c r="V441" s="35">
        <v>2424297.29</v>
      </c>
      <c r="W441" s="35">
        <v>2237583.57</v>
      </c>
      <c r="X441" s="36">
        <v>0.9229823335734537</v>
      </c>
      <c r="Y441" s="35">
        <v>20166</v>
      </c>
      <c r="Z441" s="17" t="s">
        <v>189</v>
      </c>
      <c r="AA441" s="35">
        <v>20166</v>
      </c>
      <c r="AB441" s="35">
        <v>0</v>
      </c>
      <c r="AC441" s="35">
        <v>0</v>
      </c>
      <c r="AD441" s="35">
        <v>0</v>
      </c>
      <c r="AE441" s="12" t="s">
        <v>86</v>
      </c>
      <c r="AF441" s="12" t="s">
        <v>87</v>
      </c>
      <c r="AG441" s="18">
        <v>100</v>
      </c>
      <c r="AH441" s="12" t="s">
        <v>136</v>
      </c>
      <c r="AI441" s="12" t="s">
        <v>89</v>
      </c>
      <c r="AJ441" s="12" t="s">
        <v>89</v>
      </c>
      <c r="AK441" s="12" t="s">
        <v>89</v>
      </c>
      <c r="AL441" s="12" t="s">
        <v>177</v>
      </c>
      <c r="AM441" s="12" t="s">
        <v>91</v>
      </c>
      <c r="AN441" s="17" t="s">
        <v>92</v>
      </c>
    </row>
    <row r="442" spans="1:40">
      <c r="A442" s="12" t="s">
        <v>1607</v>
      </c>
      <c r="B442" s="12" t="s">
        <v>1608</v>
      </c>
      <c r="C442" s="12" t="s">
        <v>1609</v>
      </c>
      <c r="D442" s="12" t="s">
        <v>89</v>
      </c>
      <c r="E442" s="12" t="s">
        <v>1321</v>
      </c>
      <c r="F442" s="12" t="s">
        <v>1610</v>
      </c>
      <c r="G442" s="12" t="s">
        <v>1370</v>
      </c>
      <c r="H442" s="34" t="s">
        <v>1611</v>
      </c>
      <c r="I442" s="12" t="s">
        <v>82</v>
      </c>
      <c r="J442" s="12" t="s">
        <v>83</v>
      </c>
      <c r="K442" s="18">
        <v>0</v>
      </c>
      <c r="L442" s="18">
        <v>0</v>
      </c>
      <c r="M442" s="12" t="s">
        <v>84</v>
      </c>
      <c r="N442" s="35">
        <v>2417454</v>
      </c>
      <c r="O442" s="35">
        <v>1739634.6</v>
      </c>
      <c r="P442" s="35">
        <v>1739634.6</v>
      </c>
      <c r="Q442" s="35">
        <v>1523975.9</v>
      </c>
      <c r="R442" s="18">
        <f>N442-O442</f>
        <v>677819.3999999999</v>
      </c>
      <c r="S442" s="18">
        <f>O442-P442</f>
        <v>0.0</v>
      </c>
      <c r="T442" s="18">
        <f>N442-Q442</f>
        <v>893478.0999999999</v>
      </c>
      <c r="U442" s="36">
        <f>IF(N442&gt;0,Q442/N442,0)</f>
        <v>0.6304053355306865</v>
      </c>
      <c r="V442" s="35">
        <v>11657240.5</v>
      </c>
      <c r="W442" s="35">
        <v>7056460.06</v>
      </c>
      <c r="X442" s="36">
        <v>0.605328513210309</v>
      </c>
      <c r="Y442" s="35">
        <v>2417454</v>
      </c>
      <c r="Z442" s="17" t="s">
        <v>463</v>
      </c>
      <c r="AA442" s="35">
        <v>1050000</v>
      </c>
      <c r="AB442" s="35">
        <v>2062045</v>
      </c>
      <c r="AC442" s="35">
        <v>1715201</v>
      </c>
      <c r="AD442" s="35">
        <v>0</v>
      </c>
      <c r="AE442" s="12" t="s">
        <v>86</v>
      </c>
      <c r="AF442" s="12" t="s">
        <v>87</v>
      </c>
      <c r="AG442" s="18">
        <v>63.52</v>
      </c>
      <c r="AH442" s="12" t="s">
        <v>514</v>
      </c>
      <c r="AI442" s="12" t="s">
        <v>89</v>
      </c>
      <c r="AJ442" s="12" t="s">
        <v>89</v>
      </c>
      <c r="AK442" s="12" t="s">
        <v>89</v>
      </c>
      <c r="AL442" s="12" t="s">
        <v>89</v>
      </c>
      <c r="AM442" s="12" t="s">
        <v>91</v>
      </c>
      <c r="AN442" s="17" t="s">
        <v>92</v>
      </c>
    </row>
    <row r="443" spans="1:40">
      <c r="A443" s="12" t="s">
        <v>1607</v>
      </c>
      <c r="B443" s="12" t="s">
        <v>1608</v>
      </c>
      <c r="C443" s="12" t="s">
        <v>1609</v>
      </c>
      <c r="D443" s="12" t="s">
        <v>89</v>
      </c>
      <c r="E443" s="12" t="s">
        <v>1334</v>
      </c>
      <c r="F443" s="12" t="s">
        <v>1612</v>
      </c>
      <c r="G443" s="12" t="s">
        <v>1613</v>
      </c>
      <c r="H443" s="34" t="s">
        <v>1614</v>
      </c>
      <c r="I443" s="12" t="s">
        <v>82</v>
      </c>
      <c r="J443" s="12" t="s">
        <v>106</v>
      </c>
      <c r="K443" s="18">
        <v>0</v>
      </c>
      <c r="L443" s="18">
        <v>0</v>
      </c>
      <c r="M443" s="12" t="s">
        <v>107</v>
      </c>
      <c r="N443" s="35">
        <v>119950</v>
      </c>
      <c r="O443" s="35">
        <v>114291.22</v>
      </c>
      <c r="P443" s="35">
        <v>114291.22</v>
      </c>
      <c r="Q443" s="35">
        <v>70291.22</v>
      </c>
      <c r="R443" s="18">
        <f>N443-O443</f>
        <v>5658.779999999999</v>
      </c>
      <c r="S443" s="18">
        <f>O443-P443</f>
        <v>0.0</v>
      </c>
      <c r="T443" s="18">
        <f>N443-Q443</f>
        <v>49658.78</v>
      </c>
      <c r="U443" s="36">
        <f>IF(N443&gt;0,Q443/N443,0)</f>
        <v>0.5860043351396416</v>
      </c>
      <c r="V443" s="35">
        <v>9153520.189999999</v>
      </c>
      <c r="W443" s="35">
        <v>8612070.300000001</v>
      </c>
      <c r="X443" s="36">
        <v>0.9408479056405513</v>
      </c>
      <c r="Y443" s="35">
        <v>114291.22</v>
      </c>
      <c r="Z443" s="17" t="s">
        <v>225</v>
      </c>
      <c r="AA443" s="35">
        <v>287404</v>
      </c>
      <c r="AB443" s="35">
        <v>77681</v>
      </c>
      <c r="AC443" s="35">
        <v>0</v>
      </c>
      <c r="AD443" s="35">
        <v>0</v>
      </c>
      <c r="AE443" s="12" t="s">
        <v>86</v>
      </c>
      <c r="AF443" s="12" t="s">
        <v>87</v>
      </c>
      <c r="AG443" s="18">
        <v>99.84999999999999</v>
      </c>
      <c r="AH443" s="12" t="s">
        <v>145</v>
      </c>
      <c r="AI443" s="12" t="s">
        <v>89</v>
      </c>
      <c r="AJ443" s="12" t="s">
        <v>89</v>
      </c>
      <c r="AK443" s="12" t="s">
        <v>89</v>
      </c>
      <c r="AL443" s="12" t="s">
        <v>89</v>
      </c>
      <c r="AM443" s="12" t="s">
        <v>91</v>
      </c>
      <c r="AN443" s="17" t="s">
        <v>92</v>
      </c>
    </row>
    <row r="444" spans="1:40">
      <c r="A444" s="12" t="s">
        <v>1607</v>
      </c>
      <c r="B444" s="12" t="s">
        <v>1608</v>
      </c>
      <c r="C444" s="12" t="s">
        <v>1609</v>
      </c>
      <c r="D444" s="12" t="s">
        <v>89</v>
      </c>
      <c r="E444" s="12" t="s">
        <v>1321</v>
      </c>
      <c r="F444" s="12" t="s">
        <v>1615</v>
      </c>
      <c r="G444" s="12" t="s">
        <v>196</v>
      </c>
      <c r="H444" s="34" t="s">
        <v>1616</v>
      </c>
      <c r="I444" s="12" t="s">
        <v>162</v>
      </c>
      <c r="J444" s="12" t="s">
        <v>272</v>
      </c>
      <c r="K444" s="18">
        <v>45000</v>
      </c>
      <c r="L444" s="18">
        <v>0</v>
      </c>
      <c r="M444" s="12" t="s">
        <v>1617</v>
      </c>
      <c r="N444" s="35">
        <v>45000</v>
      </c>
      <c r="O444" s="35">
        <v>0</v>
      </c>
      <c r="P444" s="35">
        <v>0</v>
      </c>
      <c r="Q444" s="35">
        <v>0</v>
      </c>
      <c r="R444" s="18">
        <f>N444-O444</f>
        <v>45000.0</v>
      </c>
      <c r="S444" s="18">
        <f>O444-P444</f>
        <v>0.0</v>
      </c>
      <c r="T444" s="18">
        <f>N444-Q444</f>
        <v>45000.0</v>
      </c>
      <c r="U444" s="36">
        <f>IF(N444&gt;0,Q444/N444,0)</f>
        <v>0.0</v>
      </c>
      <c r="V444" s="35">
        <v>1346494.87</v>
      </c>
      <c r="W444" s="35">
        <v>0</v>
      </c>
      <c r="X444" s="36">
        <v>0</v>
      </c>
      <c r="Y444" s="35">
        <v>1346494.87</v>
      </c>
      <c r="Z444" s="17" t="s">
        <v>225</v>
      </c>
      <c r="AA444" s="12" t="s">
        <v>99</v>
      </c>
      <c r="AB444" s="12" t="s">
        <v>99</v>
      </c>
      <c r="AC444" s="12" t="s">
        <v>99</v>
      </c>
      <c r="AD444" s="12" t="s">
        <v>99</v>
      </c>
      <c r="AE444" s="12" t="s">
        <v>86</v>
      </c>
      <c r="AF444" s="12" t="s">
        <v>87</v>
      </c>
      <c r="AG444" s="18">
        <v>-1</v>
      </c>
      <c r="AH444" s="12" t="s">
        <v>169</v>
      </c>
      <c r="AI444" s="12" t="s">
        <v>89</v>
      </c>
      <c r="AJ444" s="12" t="s">
        <v>89</v>
      </c>
      <c r="AK444" s="12" t="s">
        <v>89</v>
      </c>
      <c r="AL444" s="12" t="s">
        <v>89</v>
      </c>
      <c r="AM444" s="12" t="s">
        <v>91</v>
      </c>
      <c r="AN444" s="17" t="s">
        <v>87</v>
      </c>
    </row>
    <row r="445" spans="1:40">
      <c r="A445" s="12" t="s">
        <v>1607</v>
      </c>
      <c r="B445" s="12" t="s">
        <v>1608</v>
      </c>
      <c r="C445" s="12" t="s">
        <v>1609</v>
      </c>
      <c r="D445" s="12" t="s">
        <v>89</v>
      </c>
      <c r="E445" s="12" t="s">
        <v>1334</v>
      </c>
      <c r="F445" s="12" t="s">
        <v>1612</v>
      </c>
      <c r="G445" s="12" t="s">
        <v>1618</v>
      </c>
      <c r="H445" s="34" t="s">
        <v>1614</v>
      </c>
      <c r="I445" s="12" t="s">
        <v>82</v>
      </c>
      <c r="J445" s="12" t="s">
        <v>149</v>
      </c>
      <c r="K445" s="18">
        <v>0</v>
      </c>
      <c r="L445" s="18">
        <v>0</v>
      </c>
      <c r="M445" s="12" t="s">
        <v>150</v>
      </c>
      <c r="N445" s="35">
        <v>0</v>
      </c>
      <c r="O445" s="35">
        <v>0</v>
      </c>
      <c r="P445" s="35">
        <v>0</v>
      </c>
      <c r="Q445" s="35">
        <v>0</v>
      </c>
      <c r="R445" s="18">
        <f>N445-O445</f>
        <v>0.0</v>
      </c>
      <c r="S445" s="18">
        <f>O445-P445</f>
        <v>0.0</v>
      </c>
      <c r="T445" s="18">
        <f>N445-Q445</f>
        <v>0.0</v>
      </c>
      <c r="U445" s="36">
        <f>IF(N445&gt;0,Q445/N445,0)</f>
        <v>0</v>
      </c>
      <c r="V445" s="35">
        <v>9153520.189999999</v>
      </c>
      <c r="W445" s="35">
        <v>8612070.300000001</v>
      </c>
      <c r="X445" s="36">
        <v>0.9408479056405513</v>
      </c>
      <c r="Y445" s="35">
        <v>114291.22</v>
      </c>
      <c r="Z445" s="17" t="s">
        <v>225</v>
      </c>
      <c r="AA445" s="35">
        <v>287404</v>
      </c>
      <c r="AB445" s="35">
        <v>77681</v>
      </c>
      <c r="AC445" s="35">
        <v>0</v>
      </c>
      <c r="AD445" s="35">
        <v>0</v>
      </c>
      <c r="AE445" s="12" t="s">
        <v>86</v>
      </c>
      <c r="AF445" s="12" t="s">
        <v>87</v>
      </c>
      <c r="AG445" s="18">
        <v>99.84999999999999</v>
      </c>
      <c r="AH445" s="12" t="s">
        <v>145</v>
      </c>
      <c r="AI445" s="12" t="s">
        <v>89</v>
      </c>
      <c r="AJ445" s="12" t="s">
        <v>89</v>
      </c>
      <c r="AK445" s="12" t="s">
        <v>89</v>
      </c>
      <c r="AL445" s="12" t="s">
        <v>89</v>
      </c>
      <c r="AM445" s="12" t="s">
        <v>91</v>
      </c>
      <c r="AN445" s="17" t="s">
        <v>92</v>
      </c>
    </row>
    <row r="446" spans="1:40">
      <c r="A446" s="12" t="s">
        <v>1619</v>
      </c>
      <c r="B446" s="12" t="s">
        <v>1608</v>
      </c>
      <c r="C446" s="12" t="s">
        <v>1620</v>
      </c>
      <c r="D446" s="12" t="s">
        <v>89</v>
      </c>
      <c r="E446" s="12" t="s">
        <v>1128</v>
      </c>
      <c r="F446" s="12" t="s">
        <v>1621</v>
      </c>
      <c r="G446" s="12" t="s">
        <v>812</v>
      </c>
      <c r="H446" s="34" t="s">
        <v>1622</v>
      </c>
      <c r="I446" s="12" t="s">
        <v>82</v>
      </c>
      <c r="J446" s="12" t="s">
        <v>83</v>
      </c>
      <c r="K446" s="18">
        <v>0</v>
      </c>
      <c r="L446" s="18">
        <v>0</v>
      </c>
      <c r="M446" s="12" t="s">
        <v>84</v>
      </c>
      <c r="N446" s="35">
        <v>8376232</v>
      </c>
      <c r="O446" s="35">
        <v>7854544.77</v>
      </c>
      <c r="P446" s="35">
        <v>331249.3</v>
      </c>
      <c r="Q446" s="35">
        <v>87757.47</v>
      </c>
      <c r="R446" s="18">
        <f>N446-O446</f>
        <v>521687.23000000045</v>
      </c>
      <c r="S446" s="18">
        <f>O446-P446</f>
        <v>7523295.47</v>
      </c>
      <c r="T446" s="18">
        <f>N446-Q446</f>
        <v>8288474.53</v>
      </c>
      <c r="U446" s="36">
        <f>IF(N446&gt;0,Q446/N446,0)</f>
        <v>0.010476962672476121</v>
      </c>
      <c r="V446" s="35">
        <v>48568596.86</v>
      </c>
      <c r="W446" s="35">
        <v>3625779.83</v>
      </c>
      <c r="X446" s="36">
        <v>0.07465276051625265</v>
      </c>
      <c r="Y446" s="35">
        <v>18887232</v>
      </c>
      <c r="Z446" s="17" t="s">
        <v>327</v>
      </c>
      <c r="AA446" s="35">
        <v>5730000</v>
      </c>
      <c r="AB446" s="35">
        <v>7379001</v>
      </c>
      <c r="AC446" s="35">
        <v>1300000</v>
      </c>
      <c r="AD446" s="35">
        <v>1500000</v>
      </c>
      <c r="AE446" s="12" t="s">
        <v>86</v>
      </c>
      <c r="AF446" s="12" t="s">
        <v>87</v>
      </c>
      <c r="AG446" s="18">
        <v>-1</v>
      </c>
      <c r="AH446" s="12" t="s">
        <v>1623</v>
      </c>
      <c r="AI446" s="12" t="s">
        <v>89</v>
      </c>
      <c r="AJ446" s="12" t="s">
        <v>89</v>
      </c>
      <c r="AK446" s="12" t="s">
        <v>89</v>
      </c>
      <c r="AL446" s="12" t="s">
        <v>89</v>
      </c>
      <c r="AM446" s="12" t="s">
        <v>91</v>
      </c>
      <c r="AN446" s="17" t="s">
        <v>92</v>
      </c>
    </row>
    <row r="447" spans="1:40">
      <c r="A447" s="12" t="s">
        <v>1619</v>
      </c>
      <c r="B447" s="12" t="s">
        <v>1608</v>
      </c>
      <c r="C447" s="12" t="s">
        <v>1620</v>
      </c>
      <c r="D447" s="12" t="s">
        <v>89</v>
      </c>
      <c r="E447" s="12" t="s">
        <v>1128</v>
      </c>
      <c r="F447" s="12" t="s">
        <v>1624</v>
      </c>
      <c r="G447" s="12" t="s">
        <v>1559</v>
      </c>
      <c r="H447" s="34" t="s">
        <v>1625</v>
      </c>
      <c r="I447" s="12" t="s">
        <v>82</v>
      </c>
      <c r="J447" s="12" t="s">
        <v>272</v>
      </c>
      <c r="K447" s="18">
        <v>304204.2468168506</v>
      </c>
      <c r="L447" s="18">
        <v>156902.6131831488</v>
      </c>
      <c r="M447" s="12" t="s">
        <v>1626</v>
      </c>
      <c r="N447" s="35">
        <v>7885949</v>
      </c>
      <c r="O447" s="35">
        <v>7581523.87</v>
      </c>
      <c r="P447" s="35">
        <v>7424842.140000001</v>
      </c>
      <c r="Q447" s="35">
        <v>6423232.300000002</v>
      </c>
      <c r="R447" s="18">
        <f>N447-O447</f>
        <v>304425.1299999999</v>
      </c>
      <c r="S447" s="18">
        <f>O447-P447</f>
        <v>156681.72999999952</v>
      </c>
      <c r="T447" s="18">
        <f>N447-Q447</f>
        <v>1462716.6999999983</v>
      </c>
      <c r="U447" s="36">
        <f>IF(N447&gt;0,Q447/N447,0)</f>
        <v>0.8145160842404638</v>
      </c>
      <c r="V447" s="35">
        <v>26392488.54</v>
      </c>
      <c r="W447" s="35">
        <v>22621602.33</v>
      </c>
      <c r="X447" s="36">
        <v>0.857122748986519</v>
      </c>
      <c r="Y447" s="35">
        <v>5335675</v>
      </c>
      <c r="Z447" s="17" t="s">
        <v>113</v>
      </c>
      <c r="AA447" s="35">
        <v>2780000</v>
      </c>
      <c r="AB447" s="35">
        <v>108325</v>
      </c>
      <c r="AC447" s="35">
        <v>0</v>
      </c>
      <c r="AD447" s="35">
        <v>0</v>
      </c>
      <c r="AE447" s="12" t="s">
        <v>86</v>
      </c>
      <c r="AF447" s="12" t="s">
        <v>87</v>
      </c>
      <c r="AG447" s="18">
        <v>66.61</v>
      </c>
      <c r="AH447" s="12" t="s">
        <v>140</v>
      </c>
      <c r="AI447" s="12" t="s">
        <v>89</v>
      </c>
      <c r="AJ447" s="12" t="s">
        <v>89</v>
      </c>
      <c r="AK447" s="12" t="s">
        <v>89</v>
      </c>
      <c r="AL447" s="12" t="s">
        <v>89</v>
      </c>
      <c r="AM447" s="12" t="s">
        <v>91</v>
      </c>
      <c r="AN447" s="17" t="s">
        <v>92</v>
      </c>
    </row>
    <row r="448" spans="1:40">
      <c r="A448" s="12" t="s">
        <v>1619</v>
      </c>
      <c r="B448" s="12" t="s">
        <v>1608</v>
      </c>
      <c r="C448" s="12" t="s">
        <v>1620</v>
      </c>
      <c r="D448" s="12" t="s">
        <v>89</v>
      </c>
      <c r="E448" s="12" t="s">
        <v>1128</v>
      </c>
      <c r="F448" s="12" t="s">
        <v>1627</v>
      </c>
      <c r="G448" s="12" t="s">
        <v>1628</v>
      </c>
      <c r="H448" s="34" t="s">
        <v>1629</v>
      </c>
      <c r="I448" s="12" t="s">
        <v>82</v>
      </c>
      <c r="J448" s="12" t="s">
        <v>272</v>
      </c>
      <c r="K448" s="18">
        <v>356798.1117892078</v>
      </c>
      <c r="L448" s="18">
        <v>322975.6892862254</v>
      </c>
      <c r="M448" s="12" t="s">
        <v>1630</v>
      </c>
      <c r="N448" s="35">
        <v>7723291</v>
      </c>
      <c r="O448" s="35">
        <v>7350044.049999999</v>
      </c>
      <c r="P448" s="35">
        <v>7007426.799999999</v>
      </c>
      <c r="Q448" s="35">
        <v>5496208.600000001</v>
      </c>
      <c r="R448" s="18">
        <f>N448-O448</f>
        <v>373246.9500000011</v>
      </c>
      <c r="S448" s="18">
        <f>O448-P448</f>
        <v>342617.25</v>
      </c>
      <c r="T448" s="18">
        <f>N448-Q448</f>
        <v>2227082.3999999994</v>
      </c>
      <c r="U448" s="36">
        <f>IF(N448&gt;0,Q448/N448,0)</f>
        <v>0.7116407500377754</v>
      </c>
      <c r="V448" s="35">
        <v>17247769.74</v>
      </c>
      <c r="W448" s="35">
        <v>13144260.92</v>
      </c>
      <c r="X448" s="36">
        <v>0.7620846705482515</v>
      </c>
      <c r="Y448" s="35">
        <v>6932054.99</v>
      </c>
      <c r="Z448" s="17" t="s">
        <v>113</v>
      </c>
      <c r="AA448" s="35">
        <v>4665000</v>
      </c>
      <c r="AB448" s="35">
        <v>62456</v>
      </c>
      <c r="AC448" s="35">
        <v>0</v>
      </c>
      <c r="AD448" s="35">
        <v>0</v>
      </c>
      <c r="AE448" s="12" t="s">
        <v>86</v>
      </c>
      <c r="AF448" s="12" t="s">
        <v>87</v>
      </c>
      <c r="AG448" s="18">
        <v>65.98</v>
      </c>
      <c r="AH448" s="12" t="s">
        <v>109</v>
      </c>
      <c r="AI448" s="12" t="s">
        <v>89</v>
      </c>
      <c r="AJ448" s="12" t="s">
        <v>89</v>
      </c>
      <c r="AK448" s="12" t="s">
        <v>89</v>
      </c>
      <c r="AL448" s="12" t="s">
        <v>89</v>
      </c>
      <c r="AM448" s="12" t="s">
        <v>91</v>
      </c>
      <c r="AN448" s="17" t="s">
        <v>92</v>
      </c>
    </row>
    <row r="449" spans="1:40">
      <c r="A449" s="12" t="s">
        <v>1619</v>
      </c>
      <c r="B449" s="12" t="s">
        <v>1608</v>
      </c>
      <c r="C449" s="12" t="s">
        <v>1620</v>
      </c>
      <c r="D449" s="12" t="s">
        <v>89</v>
      </c>
      <c r="E449" s="12" t="s">
        <v>1128</v>
      </c>
      <c r="F449" s="12" t="s">
        <v>1621</v>
      </c>
      <c r="G449" s="12" t="s">
        <v>407</v>
      </c>
      <c r="H449" s="34" t="s">
        <v>1622</v>
      </c>
      <c r="I449" s="12" t="s">
        <v>82</v>
      </c>
      <c r="J449" s="12" t="s">
        <v>83</v>
      </c>
      <c r="K449" s="18">
        <v>0</v>
      </c>
      <c r="L449" s="18">
        <v>0</v>
      </c>
      <c r="M449" s="12" t="s">
        <v>84</v>
      </c>
      <c r="N449" s="35">
        <v>5353000</v>
      </c>
      <c r="O449" s="35">
        <v>4519176.449999999</v>
      </c>
      <c r="P449" s="35">
        <v>3025816.97</v>
      </c>
      <c r="Q449" s="35">
        <v>1249313.7</v>
      </c>
      <c r="R449" s="18">
        <f>N449-O449</f>
        <v>833823.5500000007</v>
      </c>
      <c r="S449" s="18">
        <f>O449-P449</f>
        <v>1493359.4799999995</v>
      </c>
      <c r="T449" s="18">
        <f>N449-Q449</f>
        <v>4103686.3</v>
      </c>
      <c r="U449" s="36">
        <f>IF(N449&gt;0,Q449/N449,0)</f>
        <v>0.2333857089482533</v>
      </c>
      <c r="V449" s="35">
        <v>48568596.86</v>
      </c>
      <c r="W449" s="35">
        <v>3625779.83</v>
      </c>
      <c r="X449" s="36">
        <v>0.07465276051625265</v>
      </c>
      <c r="Y449" s="35">
        <v>18887232</v>
      </c>
      <c r="Z449" s="17" t="s">
        <v>327</v>
      </c>
      <c r="AA449" s="35">
        <v>5730000</v>
      </c>
      <c r="AB449" s="35">
        <v>7379001</v>
      </c>
      <c r="AC449" s="35">
        <v>1300000</v>
      </c>
      <c r="AD449" s="35">
        <v>1500000</v>
      </c>
      <c r="AE449" s="12" t="s">
        <v>86</v>
      </c>
      <c r="AF449" s="12" t="s">
        <v>87</v>
      </c>
      <c r="AG449" s="18">
        <v>-1</v>
      </c>
      <c r="AH449" s="12" t="s">
        <v>140</v>
      </c>
      <c r="AI449" s="12" t="s">
        <v>89</v>
      </c>
      <c r="AJ449" s="12" t="s">
        <v>89</v>
      </c>
      <c r="AK449" s="12" t="s">
        <v>89</v>
      </c>
      <c r="AL449" s="12" t="s">
        <v>89</v>
      </c>
      <c r="AM449" s="12" t="s">
        <v>91</v>
      </c>
      <c r="AN449" s="17" t="s">
        <v>92</v>
      </c>
    </row>
    <row r="450" spans="1:40">
      <c r="A450" s="12" t="s">
        <v>1619</v>
      </c>
      <c r="B450" s="12" t="s">
        <v>1608</v>
      </c>
      <c r="C450" s="12" t="s">
        <v>1620</v>
      </c>
      <c r="D450" s="12" t="s">
        <v>89</v>
      </c>
      <c r="E450" s="12" t="s">
        <v>1128</v>
      </c>
      <c r="F450" s="12" t="s">
        <v>1631</v>
      </c>
      <c r="G450" s="12" t="s">
        <v>1363</v>
      </c>
      <c r="H450" s="34" t="s">
        <v>1632</v>
      </c>
      <c r="I450" s="12" t="s">
        <v>82</v>
      </c>
      <c r="J450" s="12" t="s">
        <v>106</v>
      </c>
      <c r="K450" s="18">
        <v>0</v>
      </c>
      <c r="L450" s="18">
        <v>0</v>
      </c>
      <c r="M450" s="12" t="s">
        <v>121</v>
      </c>
      <c r="N450" s="35">
        <v>5062649</v>
      </c>
      <c r="O450" s="35">
        <v>4791585.130000002</v>
      </c>
      <c r="P450" s="35">
        <v>4789408.11</v>
      </c>
      <c r="Q450" s="35">
        <v>4676286.710000001</v>
      </c>
      <c r="R450" s="18">
        <f>N450-O450</f>
        <v>271063.86999999825</v>
      </c>
      <c r="S450" s="18">
        <f>O450-P450</f>
        <v>2177.0200000014156</v>
      </c>
      <c r="T450" s="18">
        <f>N450-Q450</f>
        <v>386362.2899999991</v>
      </c>
      <c r="U450" s="36">
        <f>IF(N450&gt;0,Q450/N450,0)</f>
        <v>0.9236837691098081</v>
      </c>
      <c r="V450" s="35">
        <v>52914975.17</v>
      </c>
      <c r="W450" s="35">
        <v>51919743.67</v>
      </c>
      <c r="X450" s="36">
        <v>0.9811918743833363</v>
      </c>
      <c r="Y450" s="35">
        <v>7624937</v>
      </c>
      <c r="Z450" s="17" t="s">
        <v>1385</v>
      </c>
      <c r="AA450" s="35">
        <v>1750000</v>
      </c>
      <c r="AB450" s="35">
        <v>0</v>
      </c>
      <c r="AC450" s="35">
        <v>0</v>
      </c>
      <c r="AD450" s="35">
        <v>0</v>
      </c>
      <c r="AE450" s="12" t="s">
        <v>86</v>
      </c>
      <c r="AF450" s="12" t="s">
        <v>87</v>
      </c>
      <c r="AG450" s="18">
        <v>84.67</v>
      </c>
      <c r="AH450" s="12" t="s">
        <v>204</v>
      </c>
      <c r="AI450" s="12" t="s">
        <v>89</v>
      </c>
      <c r="AJ450" s="12" t="s">
        <v>89</v>
      </c>
      <c r="AK450" s="12" t="s">
        <v>89</v>
      </c>
      <c r="AL450" s="12" t="s">
        <v>89</v>
      </c>
      <c r="AM450" s="12" t="s">
        <v>91</v>
      </c>
      <c r="AN450" s="17" t="s">
        <v>92</v>
      </c>
    </row>
    <row r="451" spans="1:40">
      <c r="A451" s="12" t="s">
        <v>1619</v>
      </c>
      <c r="B451" s="12" t="s">
        <v>1608</v>
      </c>
      <c r="C451" s="12" t="s">
        <v>1620</v>
      </c>
      <c r="D451" s="12" t="s">
        <v>89</v>
      </c>
      <c r="E451" s="12" t="s">
        <v>1128</v>
      </c>
      <c r="F451" s="12" t="s">
        <v>1633</v>
      </c>
      <c r="G451" s="12" t="s">
        <v>1634</v>
      </c>
      <c r="H451" s="34" t="s">
        <v>1635</v>
      </c>
      <c r="I451" s="12" t="s">
        <v>82</v>
      </c>
      <c r="J451" s="12" t="s">
        <v>106</v>
      </c>
      <c r="K451" s="18">
        <v>0</v>
      </c>
      <c r="L451" s="18">
        <v>0</v>
      </c>
      <c r="M451" s="12" t="s">
        <v>107</v>
      </c>
      <c r="N451" s="35">
        <v>4860569</v>
      </c>
      <c r="O451" s="35">
        <v>4527702.750000001</v>
      </c>
      <c r="P451" s="35">
        <v>4509534.29</v>
      </c>
      <c r="Q451" s="35">
        <v>4364263.45</v>
      </c>
      <c r="R451" s="18">
        <f>N451-O451</f>
        <v>332866.24999999907</v>
      </c>
      <c r="S451" s="18">
        <f>O451-P451</f>
        <v>18168.460000000894</v>
      </c>
      <c r="T451" s="18">
        <f>N451-Q451</f>
        <v>496305.5499999998</v>
      </c>
      <c r="U451" s="36">
        <f>IF(N451&gt;0,Q451/N451,0)</f>
        <v>0.8978914711425762</v>
      </c>
      <c r="V451" s="35">
        <v>41841724.44</v>
      </c>
      <c r="W451" s="35">
        <v>39150555.07</v>
      </c>
      <c r="X451" s="36">
        <v>0.9356821592317719</v>
      </c>
      <c r="Y451" s="35">
        <v>11029186.1</v>
      </c>
      <c r="Z451" s="17" t="s">
        <v>113</v>
      </c>
      <c r="AA451" s="35">
        <v>1580000</v>
      </c>
      <c r="AB451" s="35">
        <v>285490</v>
      </c>
      <c r="AC451" s="35">
        <v>0</v>
      </c>
      <c r="AD451" s="35">
        <v>0</v>
      </c>
      <c r="AE451" s="12" t="s">
        <v>86</v>
      </c>
      <c r="AF451" s="12" t="s">
        <v>87</v>
      </c>
      <c r="AG451" s="18">
        <v>96.65000000000001</v>
      </c>
      <c r="AH451" s="12" t="s">
        <v>109</v>
      </c>
      <c r="AI451" s="12" t="s">
        <v>89</v>
      </c>
      <c r="AJ451" s="12" t="s">
        <v>89</v>
      </c>
      <c r="AK451" s="12" t="s">
        <v>89</v>
      </c>
      <c r="AL451" s="12" t="s">
        <v>89</v>
      </c>
      <c r="AM451" s="12" t="s">
        <v>91</v>
      </c>
      <c r="AN451" s="17" t="s">
        <v>92</v>
      </c>
    </row>
    <row r="452" spans="1:40">
      <c r="A452" s="12" t="s">
        <v>1619</v>
      </c>
      <c r="B452" s="12" t="s">
        <v>1608</v>
      </c>
      <c r="C452" s="12" t="s">
        <v>1620</v>
      </c>
      <c r="D452" s="12" t="s">
        <v>89</v>
      </c>
      <c r="E452" s="12" t="s">
        <v>1128</v>
      </c>
      <c r="F452" s="12" t="s">
        <v>1633</v>
      </c>
      <c r="G452" s="12" t="s">
        <v>1636</v>
      </c>
      <c r="H452" s="34" t="s">
        <v>1635</v>
      </c>
      <c r="I452" s="12" t="s">
        <v>82</v>
      </c>
      <c r="J452" s="12" t="s">
        <v>106</v>
      </c>
      <c r="K452" s="18">
        <v>0</v>
      </c>
      <c r="L452" s="18">
        <v>0</v>
      </c>
      <c r="M452" s="12" t="s">
        <v>107</v>
      </c>
      <c r="N452" s="35">
        <v>3664997</v>
      </c>
      <c r="O452" s="35">
        <v>3623867.98</v>
      </c>
      <c r="P452" s="35">
        <v>3271679.72</v>
      </c>
      <c r="Q452" s="35">
        <v>3096526.68</v>
      </c>
      <c r="R452" s="18">
        <f>N452-O452</f>
        <v>41129.02000000002</v>
      </c>
      <c r="S452" s="18">
        <f>O452-P452</f>
        <v>352188.2599999998</v>
      </c>
      <c r="T452" s="18">
        <f>N452-Q452</f>
        <v>568470.3200000003</v>
      </c>
      <c r="U452" s="36">
        <f>IF(N452&gt;0,Q452/N452,0)</f>
        <v>0.8448920094613992</v>
      </c>
      <c r="V452" s="35">
        <v>41841724.44</v>
      </c>
      <c r="W452" s="35">
        <v>39150555.07</v>
      </c>
      <c r="X452" s="36">
        <v>0.9356821592317719</v>
      </c>
      <c r="Y452" s="35">
        <v>11029186.1</v>
      </c>
      <c r="Z452" s="17" t="s">
        <v>113</v>
      </c>
      <c r="AA452" s="35">
        <v>1580000</v>
      </c>
      <c r="AB452" s="35">
        <v>285490</v>
      </c>
      <c r="AC452" s="35">
        <v>0</v>
      </c>
      <c r="AD452" s="35">
        <v>0</v>
      </c>
      <c r="AE452" s="12" t="s">
        <v>86</v>
      </c>
      <c r="AF452" s="12" t="s">
        <v>87</v>
      </c>
      <c r="AG452" s="18">
        <v>96.65000000000001</v>
      </c>
      <c r="AH452" s="12" t="s">
        <v>109</v>
      </c>
      <c r="AI452" s="12" t="s">
        <v>89</v>
      </c>
      <c r="AJ452" s="12" t="s">
        <v>89</v>
      </c>
      <c r="AK452" s="12" t="s">
        <v>89</v>
      </c>
      <c r="AL452" s="12" t="s">
        <v>89</v>
      </c>
      <c r="AM452" s="12" t="s">
        <v>91</v>
      </c>
      <c r="AN452" s="17" t="s">
        <v>92</v>
      </c>
    </row>
    <row r="453" spans="1:40">
      <c r="A453" s="12" t="s">
        <v>1619</v>
      </c>
      <c r="B453" s="12" t="s">
        <v>1608</v>
      </c>
      <c r="C453" s="12" t="s">
        <v>1620</v>
      </c>
      <c r="D453" s="12" t="s">
        <v>89</v>
      </c>
      <c r="E453" s="12" t="s">
        <v>1128</v>
      </c>
      <c r="F453" s="12" t="s">
        <v>1621</v>
      </c>
      <c r="G453" s="12" t="s">
        <v>526</v>
      </c>
      <c r="H453" s="34" t="s">
        <v>1622</v>
      </c>
      <c r="I453" s="12" t="s">
        <v>82</v>
      </c>
      <c r="J453" s="12" t="s">
        <v>83</v>
      </c>
      <c r="K453" s="18">
        <v>0</v>
      </c>
      <c r="L453" s="18">
        <v>0</v>
      </c>
      <c r="M453" s="12" t="s">
        <v>84</v>
      </c>
      <c r="N453" s="35">
        <v>3422000</v>
      </c>
      <c r="O453" s="35">
        <v>2189475.51</v>
      </c>
      <c r="P453" s="35">
        <v>1234750.52</v>
      </c>
      <c r="Q453" s="35">
        <v>706719.22</v>
      </c>
      <c r="R453" s="18">
        <f>N453-O453</f>
        <v>1232524.4900000002</v>
      </c>
      <c r="S453" s="18">
        <f>O453-P453</f>
        <v>954724.9899999998</v>
      </c>
      <c r="T453" s="18">
        <f>N453-Q453</f>
        <v>2715280.7800000003</v>
      </c>
      <c r="U453" s="36">
        <f>IF(N453&gt;0,Q453/N453,0)</f>
        <v>0.2065222735242548</v>
      </c>
      <c r="V453" s="35">
        <v>48568596.86</v>
      </c>
      <c r="W453" s="35">
        <v>3625779.83</v>
      </c>
      <c r="X453" s="36">
        <v>0.07465276051625265</v>
      </c>
      <c r="Y453" s="35">
        <v>18887232</v>
      </c>
      <c r="Z453" s="17" t="s">
        <v>327</v>
      </c>
      <c r="AA453" s="35">
        <v>5730000</v>
      </c>
      <c r="AB453" s="35">
        <v>7379001</v>
      </c>
      <c r="AC453" s="35">
        <v>1300000</v>
      </c>
      <c r="AD453" s="35">
        <v>1500000</v>
      </c>
      <c r="AE453" s="12" t="s">
        <v>86</v>
      </c>
      <c r="AF453" s="12" t="s">
        <v>87</v>
      </c>
      <c r="AG453" s="18">
        <v>-1</v>
      </c>
      <c r="AH453" s="12" t="s">
        <v>109</v>
      </c>
      <c r="AI453" s="12" t="s">
        <v>89</v>
      </c>
      <c r="AJ453" s="12" t="s">
        <v>89</v>
      </c>
      <c r="AK453" s="12" t="s">
        <v>89</v>
      </c>
      <c r="AL453" s="12" t="s">
        <v>89</v>
      </c>
      <c r="AM453" s="12" t="s">
        <v>91</v>
      </c>
      <c r="AN453" s="17" t="s">
        <v>92</v>
      </c>
    </row>
    <row r="454" spans="1:40">
      <c r="A454" s="12" t="s">
        <v>1619</v>
      </c>
      <c r="B454" s="12" t="s">
        <v>1608</v>
      </c>
      <c r="C454" s="12" t="s">
        <v>1620</v>
      </c>
      <c r="D454" s="12" t="s">
        <v>89</v>
      </c>
      <c r="E454" s="12" t="s">
        <v>1128</v>
      </c>
      <c r="F454" s="12" t="s">
        <v>1637</v>
      </c>
      <c r="G454" s="12" t="s">
        <v>1370</v>
      </c>
      <c r="H454" s="34" t="s">
        <v>1638</v>
      </c>
      <c r="I454" s="12" t="s">
        <v>82</v>
      </c>
      <c r="J454" s="12" t="s">
        <v>106</v>
      </c>
      <c r="K454" s="18">
        <v>0</v>
      </c>
      <c r="L454" s="18">
        <v>0</v>
      </c>
      <c r="M454" s="12" t="s">
        <v>121</v>
      </c>
      <c r="N454" s="35">
        <v>1998145</v>
      </c>
      <c r="O454" s="35">
        <v>1935732.31</v>
      </c>
      <c r="P454" s="35">
        <v>1932385.9</v>
      </c>
      <c r="Q454" s="35">
        <v>1849231.35</v>
      </c>
      <c r="R454" s="18">
        <f>N454-O454</f>
        <v>62412.689999999944</v>
      </c>
      <c r="S454" s="18">
        <f>O454-P454</f>
        <v>3346.410000000149</v>
      </c>
      <c r="T454" s="18">
        <f>N454-Q454</f>
        <v>148913.6499999999</v>
      </c>
      <c r="U454" s="36">
        <f>IF(N454&gt;0,Q454/N454,0)</f>
        <v>0.9254740521834002</v>
      </c>
      <c r="V454" s="35">
        <v>19782785.73</v>
      </c>
      <c r="W454" s="35">
        <v>18620973.03</v>
      </c>
      <c r="X454" s="36">
        <v>0.9412715319340418</v>
      </c>
      <c r="Y454" s="35">
        <v>2302588</v>
      </c>
      <c r="Z454" s="17" t="s">
        <v>1385</v>
      </c>
      <c r="AA454" s="35">
        <v>1850000</v>
      </c>
      <c r="AB454" s="35">
        <v>0</v>
      </c>
      <c r="AC454" s="35">
        <v>0</v>
      </c>
      <c r="AD454" s="35">
        <v>0</v>
      </c>
      <c r="AE454" s="12" t="s">
        <v>86</v>
      </c>
      <c r="AF454" s="12" t="s">
        <v>87</v>
      </c>
      <c r="AG454" s="18">
        <v>94.33</v>
      </c>
      <c r="AH454" s="12" t="s">
        <v>140</v>
      </c>
      <c r="AI454" s="12" t="s">
        <v>89</v>
      </c>
      <c r="AJ454" s="12" t="s">
        <v>89</v>
      </c>
      <c r="AK454" s="12" t="s">
        <v>89</v>
      </c>
      <c r="AL454" s="12" t="s">
        <v>89</v>
      </c>
      <c r="AM454" s="12" t="s">
        <v>91</v>
      </c>
      <c r="AN454" s="17" t="s">
        <v>92</v>
      </c>
    </row>
    <row r="455" spans="1:40">
      <c r="A455" s="12" t="s">
        <v>1619</v>
      </c>
      <c r="B455" s="12" t="s">
        <v>1608</v>
      </c>
      <c r="C455" s="12" t="s">
        <v>1620</v>
      </c>
      <c r="D455" s="12" t="s">
        <v>89</v>
      </c>
      <c r="E455" s="12" t="s">
        <v>1128</v>
      </c>
      <c r="F455" s="12" t="s">
        <v>1631</v>
      </c>
      <c r="G455" s="12" t="s">
        <v>801</v>
      </c>
      <c r="H455" s="34" t="s">
        <v>1632</v>
      </c>
      <c r="I455" s="12" t="s">
        <v>82</v>
      </c>
      <c r="J455" s="12" t="s">
        <v>106</v>
      </c>
      <c r="K455" s="18">
        <v>0</v>
      </c>
      <c r="L455" s="18">
        <v>0</v>
      </c>
      <c r="M455" s="12" t="s">
        <v>121</v>
      </c>
      <c r="N455" s="35">
        <v>1888290</v>
      </c>
      <c r="O455" s="35">
        <v>1878163.81</v>
      </c>
      <c r="P455" s="35">
        <v>1815895.06</v>
      </c>
      <c r="Q455" s="35">
        <v>1807695.78</v>
      </c>
      <c r="R455" s="18">
        <f>N455-O455</f>
        <v>10126.189999999944</v>
      </c>
      <c r="S455" s="18">
        <f>O455-P455</f>
        <v>62268.75</v>
      </c>
      <c r="T455" s="18">
        <f>N455-Q455</f>
        <v>80594.21999999997</v>
      </c>
      <c r="U455" s="36">
        <f>IF(N455&gt;0,Q455/N455,0)</f>
        <v>0.9573189393578317</v>
      </c>
      <c r="V455" s="35">
        <v>52914975.17</v>
      </c>
      <c r="W455" s="35">
        <v>51919743.67</v>
      </c>
      <c r="X455" s="36">
        <v>0.9811918743833363</v>
      </c>
      <c r="Y455" s="35">
        <v>7624937</v>
      </c>
      <c r="Z455" s="17" t="s">
        <v>1385</v>
      </c>
      <c r="AA455" s="35">
        <v>1750000</v>
      </c>
      <c r="AB455" s="35">
        <v>0</v>
      </c>
      <c r="AC455" s="35">
        <v>0</v>
      </c>
      <c r="AD455" s="35">
        <v>0</v>
      </c>
      <c r="AE455" s="12" t="s">
        <v>86</v>
      </c>
      <c r="AF455" s="12" t="s">
        <v>87</v>
      </c>
      <c r="AG455" s="18">
        <v>84.67</v>
      </c>
      <c r="AH455" s="12" t="s">
        <v>109</v>
      </c>
      <c r="AI455" s="12" t="s">
        <v>89</v>
      </c>
      <c r="AJ455" s="12" t="s">
        <v>89</v>
      </c>
      <c r="AK455" s="12" t="s">
        <v>89</v>
      </c>
      <c r="AL455" s="12" t="s">
        <v>89</v>
      </c>
      <c r="AM455" s="12" t="s">
        <v>91</v>
      </c>
      <c r="AN455" s="17" t="s">
        <v>92</v>
      </c>
    </row>
    <row r="456" spans="1:40">
      <c r="A456" s="12" t="s">
        <v>1619</v>
      </c>
      <c r="B456" s="12" t="s">
        <v>1608</v>
      </c>
      <c r="C456" s="12" t="s">
        <v>1620</v>
      </c>
      <c r="D456" s="12" t="s">
        <v>89</v>
      </c>
      <c r="E456" s="12" t="s">
        <v>1128</v>
      </c>
      <c r="F456" s="12" t="s">
        <v>1621</v>
      </c>
      <c r="G456" s="12" t="s">
        <v>1639</v>
      </c>
      <c r="H456" s="34" t="s">
        <v>1622</v>
      </c>
      <c r="I456" s="12" t="s">
        <v>82</v>
      </c>
      <c r="J456" s="12" t="s">
        <v>83</v>
      </c>
      <c r="K456" s="18">
        <v>0</v>
      </c>
      <c r="L456" s="18">
        <v>0</v>
      </c>
      <c r="M456" s="12" t="s">
        <v>84</v>
      </c>
      <c r="N456" s="35">
        <v>1733600</v>
      </c>
      <c r="O456" s="35">
        <v>1695198.51</v>
      </c>
      <c r="P456" s="35">
        <v>1318461.51</v>
      </c>
      <c r="Q456" s="35">
        <v>1216702.31</v>
      </c>
      <c r="R456" s="18">
        <f>N456-O456</f>
        <v>38401.48999999976</v>
      </c>
      <c r="S456" s="18">
        <f>O456-P456</f>
        <v>376737.00000000023</v>
      </c>
      <c r="T456" s="18">
        <f>N456-Q456</f>
        <v>516897.68999999994</v>
      </c>
      <c r="U456" s="36">
        <f>IF(N456&gt;0,Q456/N456,0)</f>
        <v>0.7018356656668205</v>
      </c>
      <c r="V456" s="35">
        <v>48568596.86</v>
      </c>
      <c r="W456" s="35">
        <v>3625779.83</v>
      </c>
      <c r="X456" s="36">
        <v>0.07465276051625265</v>
      </c>
      <c r="Y456" s="35">
        <v>18887232</v>
      </c>
      <c r="Z456" s="17" t="s">
        <v>327</v>
      </c>
      <c r="AA456" s="35">
        <v>5730000</v>
      </c>
      <c r="AB456" s="35">
        <v>7379001</v>
      </c>
      <c r="AC456" s="35">
        <v>1300000</v>
      </c>
      <c r="AD456" s="35">
        <v>1500000</v>
      </c>
      <c r="AE456" s="12" t="s">
        <v>86</v>
      </c>
      <c r="AF456" s="12" t="s">
        <v>87</v>
      </c>
      <c r="AG456" s="18">
        <v>-1</v>
      </c>
      <c r="AH456" s="12" t="s">
        <v>109</v>
      </c>
      <c r="AI456" s="12" t="s">
        <v>89</v>
      </c>
      <c r="AJ456" s="12" t="s">
        <v>89</v>
      </c>
      <c r="AK456" s="12" t="s">
        <v>89</v>
      </c>
      <c r="AL456" s="12" t="s">
        <v>89</v>
      </c>
      <c r="AM456" s="12" t="s">
        <v>91</v>
      </c>
      <c r="AN456" s="17" t="s">
        <v>92</v>
      </c>
    </row>
    <row r="457" spans="1:40">
      <c r="A457" s="12" t="s">
        <v>1619</v>
      </c>
      <c r="B457" s="12" t="s">
        <v>1608</v>
      </c>
      <c r="C457" s="12" t="s">
        <v>1620</v>
      </c>
      <c r="D457" s="12" t="s">
        <v>89</v>
      </c>
      <c r="E457" s="12" t="s">
        <v>1128</v>
      </c>
      <c r="F457" s="12" t="s">
        <v>1569</v>
      </c>
      <c r="G457" s="12" t="s">
        <v>429</v>
      </c>
      <c r="H457" s="34" t="s">
        <v>1640</v>
      </c>
      <c r="I457" s="12" t="s">
        <v>1123</v>
      </c>
      <c r="J457" s="12" t="s">
        <v>1124</v>
      </c>
      <c r="K457" s="18">
        <v>20520.64000000001</v>
      </c>
      <c r="L457" s="18">
        <v>0</v>
      </c>
      <c r="M457" s="12" t="s">
        <v>1125</v>
      </c>
      <c r="N457" s="35">
        <v>390300</v>
      </c>
      <c r="O457" s="35">
        <v>369779.36</v>
      </c>
      <c r="P457" s="35">
        <v>250120.7</v>
      </c>
      <c r="Q457" s="35">
        <v>221110.7</v>
      </c>
      <c r="R457" s="18">
        <f>N457-O457</f>
        <v>20520.640000000014</v>
      </c>
      <c r="S457" s="18">
        <f>O457-P457</f>
        <v>119658.65999999997</v>
      </c>
      <c r="T457" s="18">
        <f>N457-Q457</f>
        <v>169189.30000000002</v>
      </c>
      <c r="U457" s="36">
        <f>IF(N457&gt;0,Q457/N457,0)</f>
        <v>0.566514732257238</v>
      </c>
      <c r="V457" s="17" t="s">
        <v>151</v>
      </c>
      <c r="W457" s="17" t="s">
        <v>151</v>
      </c>
      <c r="X457" s="17" t="s">
        <v>151</v>
      </c>
      <c r="Y457" s="17" t="s">
        <v>151</v>
      </c>
      <c r="Z457" s="17" t="s">
        <v>89</v>
      </c>
      <c r="AA457" s="12" t="s">
        <v>99</v>
      </c>
      <c r="AB457" s="12" t="s">
        <v>99</v>
      </c>
      <c r="AC457" s="12" t="s">
        <v>99</v>
      </c>
      <c r="AD457" s="12" t="s">
        <v>99</v>
      </c>
      <c r="AE457" s="12" t="s">
        <v>89</v>
      </c>
      <c r="AF457" s="12" t="s">
        <v>89</v>
      </c>
      <c r="AG457" s="17" t="s">
        <v>151</v>
      </c>
      <c r="AH457" s="12" t="s">
        <v>1126</v>
      </c>
      <c r="AI457" s="12" t="s">
        <v>89</v>
      </c>
      <c r="AJ457" s="12" t="s">
        <v>89</v>
      </c>
      <c r="AK457" s="12" t="s">
        <v>89</v>
      </c>
      <c r="AL457" s="12" t="s">
        <v>89</v>
      </c>
      <c r="AM457" s="12" t="s">
        <v>89</v>
      </c>
      <c r="AN457" s="17" t="s">
        <v>89</v>
      </c>
    </row>
    <row r="458" spans="1:40">
      <c r="A458" s="12" t="s">
        <v>1619</v>
      </c>
      <c r="B458" s="12" t="s">
        <v>1608</v>
      </c>
      <c r="C458" s="12" t="s">
        <v>1620</v>
      </c>
      <c r="D458" s="12" t="s">
        <v>89</v>
      </c>
      <c r="E458" s="12" t="s">
        <v>1128</v>
      </c>
      <c r="F458" s="12" t="s">
        <v>1633</v>
      </c>
      <c r="G458" s="12" t="s">
        <v>404</v>
      </c>
      <c r="H458" s="34" t="s">
        <v>1635</v>
      </c>
      <c r="I458" s="12" t="s">
        <v>82</v>
      </c>
      <c r="J458" s="12" t="s">
        <v>106</v>
      </c>
      <c r="K458" s="18">
        <v>0</v>
      </c>
      <c r="L458" s="18">
        <v>0</v>
      </c>
      <c r="M458" s="12" t="s">
        <v>107</v>
      </c>
      <c r="N458" s="35">
        <v>318683</v>
      </c>
      <c r="O458" s="35">
        <v>303987.53</v>
      </c>
      <c r="P458" s="35">
        <v>303987.53</v>
      </c>
      <c r="Q458" s="35">
        <v>288256.93</v>
      </c>
      <c r="R458" s="18">
        <f>N458-O458</f>
        <v>14695.469999999972</v>
      </c>
      <c r="S458" s="18">
        <f>O458-P458</f>
        <v>0.0</v>
      </c>
      <c r="T458" s="18">
        <f>N458-Q458</f>
        <v>30426.070000000007</v>
      </c>
      <c r="U458" s="36">
        <f>IF(N458&gt;0,Q458/N458,0)</f>
        <v>0.9045255943994502</v>
      </c>
      <c r="V458" s="35">
        <v>41841724.44</v>
      </c>
      <c r="W458" s="35">
        <v>39150555.07</v>
      </c>
      <c r="X458" s="36">
        <v>0.9356821592317719</v>
      </c>
      <c r="Y458" s="35">
        <v>11029186.1</v>
      </c>
      <c r="Z458" s="17" t="s">
        <v>113</v>
      </c>
      <c r="AA458" s="35">
        <v>1580000</v>
      </c>
      <c r="AB458" s="35">
        <v>285490</v>
      </c>
      <c r="AC458" s="35">
        <v>0</v>
      </c>
      <c r="AD458" s="35">
        <v>0</v>
      </c>
      <c r="AE458" s="12" t="s">
        <v>86</v>
      </c>
      <c r="AF458" s="12" t="s">
        <v>87</v>
      </c>
      <c r="AG458" s="18">
        <v>96.65000000000001</v>
      </c>
      <c r="AH458" s="12" t="s">
        <v>182</v>
      </c>
      <c r="AI458" s="12" t="s">
        <v>89</v>
      </c>
      <c r="AJ458" s="12" t="s">
        <v>89</v>
      </c>
      <c r="AK458" s="12" t="s">
        <v>89</v>
      </c>
      <c r="AL458" s="12" t="s">
        <v>89</v>
      </c>
      <c r="AM458" s="12" t="s">
        <v>91</v>
      </c>
      <c r="AN458" s="17" t="s">
        <v>92</v>
      </c>
    </row>
    <row r="459" spans="1:40">
      <c r="A459" s="12" t="s">
        <v>1619</v>
      </c>
      <c r="B459" s="12" t="s">
        <v>1608</v>
      </c>
      <c r="C459" s="12" t="s">
        <v>1620</v>
      </c>
      <c r="D459" s="12" t="s">
        <v>89</v>
      </c>
      <c r="E459" s="12" t="s">
        <v>1128</v>
      </c>
      <c r="F459" s="12" t="s">
        <v>1627</v>
      </c>
      <c r="G459" s="12" t="s">
        <v>1641</v>
      </c>
      <c r="H459" s="34" t="s">
        <v>1629</v>
      </c>
      <c r="I459" s="12" t="s">
        <v>82</v>
      </c>
      <c r="J459" s="12" t="s">
        <v>83</v>
      </c>
      <c r="K459" s="18">
        <v>3616.599999999977</v>
      </c>
      <c r="L459" s="18">
        <v>505.0400000000373</v>
      </c>
      <c r="M459" s="12" t="s">
        <v>84</v>
      </c>
      <c r="N459" s="35">
        <v>304784</v>
      </c>
      <c r="O459" s="35">
        <v>301167.4</v>
      </c>
      <c r="P459" s="35">
        <v>300662.36</v>
      </c>
      <c r="Q459" s="35">
        <v>299374.49</v>
      </c>
      <c r="R459" s="18">
        <f>N459-O459</f>
        <v>3616.5999999999767</v>
      </c>
      <c r="S459" s="18">
        <f>O459-P459</f>
        <v>505.04000000003725</v>
      </c>
      <c r="T459" s="18">
        <f>N459-Q459</f>
        <v>5409.510000000009</v>
      </c>
      <c r="U459" s="36">
        <f>IF(N459&gt;0,Q459/N459,0)</f>
        <v>0.9822513320909234</v>
      </c>
      <c r="V459" s="35">
        <v>17247769.74</v>
      </c>
      <c r="W459" s="35">
        <v>13144260.92</v>
      </c>
      <c r="X459" s="36">
        <v>0.7620846705482515</v>
      </c>
      <c r="Y459" s="35">
        <v>6932054.99</v>
      </c>
      <c r="Z459" s="17" t="s">
        <v>113</v>
      </c>
      <c r="AA459" s="35">
        <v>4665000</v>
      </c>
      <c r="AB459" s="35">
        <v>62456</v>
      </c>
      <c r="AC459" s="35">
        <v>0</v>
      </c>
      <c r="AD459" s="35">
        <v>0</v>
      </c>
      <c r="AE459" s="12" t="s">
        <v>86</v>
      </c>
      <c r="AF459" s="12" t="s">
        <v>87</v>
      </c>
      <c r="AG459" s="18">
        <v>65.98</v>
      </c>
      <c r="AH459" s="12" t="s">
        <v>182</v>
      </c>
      <c r="AI459" s="12" t="s">
        <v>89</v>
      </c>
      <c r="AJ459" s="12" t="s">
        <v>89</v>
      </c>
      <c r="AK459" s="12" t="s">
        <v>89</v>
      </c>
      <c r="AL459" s="12" t="s">
        <v>89</v>
      </c>
      <c r="AM459" s="12" t="s">
        <v>91</v>
      </c>
      <c r="AN459" s="17" t="s">
        <v>92</v>
      </c>
    </row>
    <row r="460" spans="1:40">
      <c r="A460" s="12" t="s">
        <v>1619</v>
      </c>
      <c r="B460" s="12" t="s">
        <v>1608</v>
      </c>
      <c r="C460" s="12" t="s">
        <v>1620</v>
      </c>
      <c r="D460" s="12" t="s">
        <v>89</v>
      </c>
      <c r="E460" s="12" t="s">
        <v>1128</v>
      </c>
      <c r="F460" s="12" t="s">
        <v>1642</v>
      </c>
      <c r="G460" s="12" t="s">
        <v>818</v>
      </c>
      <c r="H460" s="34" t="s">
        <v>1643</v>
      </c>
      <c r="I460" s="12" t="s">
        <v>82</v>
      </c>
      <c r="J460" s="12" t="s">
        <v>83</v>
      </c>
      <c r="K460" s="18">
        <v>0</v>
      </c>
      <c r="L460" s="18">
        <v>0</v>
      </c>
      <c r="M460" s="12" t="s">
        <v>84</v>
      </c>
      <c r="N460" s="35">
        <v>300185</v>
      </c>
      <c r="O460" s="35">
        <v>114970.07</v>
      </c>
      <c r="P460" s="35">
        <v>114970.07</v>
      </c>
      <c r="Q460" s="35">
        <v>12801.37</v>
      </c>
      <c r="R460" s="18">
        <f>N460-O460</f>
        <v>185214.93</v>
      </c>
      <c r="S460" s="18">
        <f>O460-P460</f>
        <v>-1.4551915228366852e-11</v>
      </c>
      <c r="T460" s="18">
        <f>N460-Q460</f>
        <v>287383.63</v>
      </c>
      <c r="U460" s="36">
        <f>IF(N460&gt;0,Q460/N460,0)</f>
        <v>0.04264493562303246</v>
      </c>
      <c r="V460" s="35">
        <v>42038935.16</v>
      </c>
      <c r="W460" s="35">
        <v>690829.12</v>
      </c>
      <c r="X460" s="36">
        <v>0.01643307846335088</v>
      </c>
      <c r="Y460" s="35">
        <v>855253</v>
      </c>
      <c r="Z460" s="17" t="s">
        <v>113</v>
      </c>
      <c r="AA460" s="35">
        <v>6500000</v>
      </c>
      <c r="AB460" s="35">
        <v>4715948</v>
      </c>
      <c r="AC460" s="35">
        <v>5327000</v>
      </c>
      <c r="AD460" s="35">
        <v>7815000</v>
      </c>
      <c r="AE460" s="12" t="s">
        <v>86</v>
      </c>
      <c r="AF460" s="12" t="s">
        <v>87</v>
      </c>
      <c r="AG460" s="18">
        <v>-1</v>
      </c>
      <c r="AH460" s="12" t="s">
        <v>114</v>
      </c>
      <c r="AI460" s="12" t="s">
        <v>89</v>
      </c>
      <c r="AJ460" s="12" t="s">
        <v>89</v>
      </c>
      <c r="AK460" s="12" t="s">
        <v>89</v>
      </c>
      <c r="AL460" s="12" t="s">
        <v>89</v>
      </c>
      <c r="AM460" s="12" t="s">
        <v>91</v>
      </c>
      <c r="AN460" s="17" t="s">
        <v>92</v>
      </c>
    </row>
    <row r="461" spans="1:40">
      <c r="A461" s="12" t="s">
        <v>1619</v>
      </c>
      <c r="B461" s="12" t="s">
        <v>1608</v>
      </c>
      <c r="C461" s="12" t="s">
        <v>1620</v>
      </c>
      <c r="D461" s="12" t="s">
        <v>89</v>
      </c>
      <c r="E461" s="12" t="s">
        <v>1128</v>
      </c>
      <c r="F461" s="12" t="s">
        <v>1642</v>
      </c>
      <c r="G461" s="12" t="s">
        <v>815</v>
      </c>
      <c r="H461" s="34" t="s">
        <v>1643</v>
      </c>
      <c r="I461" s="12" t="s">
        <v>82</v>
      </c>
      <c r="J461" s="12" t="s">
        <v>83</v>
      </c>
      <c r="K461" s="18">
        <v>0</v>
      </c>
      <c r="L461" s="18">
        <v>0</v>
      </c>
      <c r="M461" s="12" t="s">
        <v>84</v>
      </c>
      <c r="N461" s="35">
        <v>292185</v>
      </c>
      <c r="O461" s="35">
        <v>72896.23000000001</v>
      </c>
      <c r="P461" s="35">
        <v>72896.23</v>
      </c>
      <c r="Q461" s="35">
        <v>12396.83</v>
      </c>
      <c r="R461" s="18">
        <f>N461-O461</f>
        <v>219288.77</v>
      </c>
      <c r="S461" s="18">
        <f>O461-P461</f>
        <v>1.4551915228366852e-11</v>
      </c>
      <c r="T461" s="18">
        <f>N461-Q461</f>
        <v>279788.17</v>
      </c>
      <c r="U461" s="36">
        <f>IF(N461&gt;0,Q461/N461,0)</f>
        <v>0.04242801649639783</v>
      </c>
      <c r="V461" s="35">
        <v>42038935.16</v>
      </c>
      <c r="W461" s="35">
        <v>690829.12</v>
      </c>
      <c r="X461" s="36">
        <v>0.01643307846335088</v>
      </c>
      <c r="Y461" s="35">
        <v>855253</v>
      </c>
      <c r="Z461" s="17" t="s">
        <v>113</v>
      </c>
      <c r="AA461" s="35">
        <v>6500000</v>
      </c>
      <c r="AB461" s="35">
        <v>4715948</v>
      </c>
      <c r="AC461" s="35">
        <v>5327000</v>
      </c>
      <c r="AD461" s="35">
        <v>7815000</v>
      </c>
      <c r="AE461" s="12" t="s">
        <v>86</v>
      </c>
      <c r="AF461" s="12" t="s">
        <v>87</v>
      </c>
      <c r="AG461" s="18">
        <v>-1</v>
      </c>
      <c r="AH461" s="12" t="s">
        <v>109</v>
      </c>
      <c r="AI461" s="12" t="s">
        <v>89</v>
      </c>
      <c r="AJ461" s="12" t="s">
        <v>89</v>
      </c>
      <c r="AK461" s="12" t="s">
        <v>89</v>
      </c>
      <c r="AL461" s="12" t="s">
        <v>89</v>
      </c>
      <c r="AM461" s="12" t="s">
        <v>91</v>
      </c>
      <c r="AN461" s="17" t="s">
        <v>92</v>
      </c>
    </row>
    <row r="462" spans="1:40">
      <c r="A462" s="12" t="s">
        <v>1619</v>
      </c>
      <c r="B462" s="12" t="s">
        <v>1608</v>
      </c>
      <c r="C462" s="12" t="s">
        <v>1620</v>
      </c>
      <c r="D462" s="12" t="s">
        <v>89</v>
      </c>
      <c r="E462" s="12" t="s">
        <v>1128</v>
      </c>
      <c r="F462" s="12" t="s">
        <v>1644</v>
      </c>
      <c r="G462" s="12" t="s">
        <v>1618</v>
      </c>
      <c r="H462" s="34" t="s">
        <v>1645</v>
      </c>
      <c r="I462" s="12" t="s">
        <v>82</v>
      </c>
      <c r="J462" s="12" t="s">
        <v>106</v>
      </c>
      <c r="K462" s="18">
        <v>0</v>
      </c>
      <c r="L462" s="18">
        <v>0</v>
      </c>
      <c r="M462" s="12" t="s">
        <v>121</v>
      </c>
      <c r="N462" s="35">
        <v>267289</v>
      </c>
      <c r="O462" s="35">
        <v>267284.07</v>
      </c>
      <c r="P462" s="35">
        <v>267284.07</v>
      </c>
      <c r="Q462" s="35">
        <v>245284.07</v>
      </c>
      <c r="R462" s="18">
        <f>N462-O462</f>
        <v>4.929999999993015</v>
      </c>
      <c r="S462" s="18">
        <f>O462-P462</f>
        <v>0.0</v>
      </c>
      <c r="T462" s="18">
        <f>N462-Q462</f>
        <v>22004.929999999993</v>
      </c>
      <c r="U462" s="36">
        <f>IF(N462&gt;0,Q462/N462,0)</f>
        <v>0.9176736416388254</v>
      </c>
      <c r="V462" s="35">
        <v>26892462.91</v>
      </c>
      <c r="W462" s="35">
        <v>721592.1899999999</v>
      </c>
      <c r="X462" s="36">
        <v>0.02683250665492876</v>
      </c>
      <c r="Y462" s="35">
        <v>267289</v>
      </c>
      <c r="Z462" s="17" t="s">
        <v>85</v>
      </c>
      <c r="AA462" s="35">
        <v>7834316</v>
      </c>
      <c r="AB462" s="35">
        <v>8107762</v>
      </c>
      <c r="AC462" s="35">
        <v>700000</v>
      </c>
      <c r="AD462" s="35">
        <v>900000</v>
      </c>
      <c r="AE462" s="12" t="s">
        <v>86</v>
      </c>
      <c r="AF462" s="12" t="s">
        <v>87</v>
      </c>
      <c r="AG462" s="18">
        <v>-1</v>
      </c>
      <c r="AH462" s="12" t="s">
        <v>169</v>
      </c>
      <c r="AI462" s="12" t="s">
        <v>89</v>
      </c>
      <c r="AJ462" s="12" t="s">
        <v>89</v>
      </c>
      <c r="AK462" s="12" t="s">
        <v>89</v>
      </c>
      <c r="AL462" s="12" t="s">
        <v>89</v>
      </c>
      <c r="AM462" s="12" t="s">
        <v>91</v>
      </c>
      <c r="AN462" s="17" t="s">
        <v>92</v>
      </c>
    </row>
    <row r="463" spans="1:40">
      <c r="A463" s="12" t="s">
        <v>1619</v>
      </c>
      <c r="B463" s="12" t="s">
        <v>1608</v>
      </c>
      <c r="C463" s="12" t="s">
        <v>1620</v>
      </c>
      <c r="D463" s="12" t="s">
        <v>89</v>
      </c>
      <c r="E463" s="12" t="s">
        <v>1128</v>
      </c>
      <c r="F463" s="12" t="s">
        <v>1642</v>
      </c>
      <c r="G463" s="12" t="s">
        <v>1646</v>
      </c>
      <c r="H463" s="34" t="s">
        <v>1643</v>
      </c>
      <c r="I463" s="12" t="s">
        <v>82</v>
      </c>
      <c r="J463" s="12" t="s">
        <v>83</v>
      </c>
      <c r="K463" s="18">
        <v>0</v>
      </c>
      <c r="L463" s="18">
        <v>0</v>
      </c>
      <c r="M463" s="12" t="s">
        <v>84</v>
      </c>
      <c r="N463" s="35">
        <v>262883</v>
      </c>
      <c r="O463" s="35">
        <v>262882.9</v>
      </c>
      <c r="P463" s="35">
        <v>262822.9</v>
      </c>
      <c r="Q463" s="35">
        <v>262822.9</v>
      </c>
      <c r="R463" s="18">
        <f>N463-O463</f>
        <v>0.09999999997671694</v>
      </c>
      <c r="S463" s="18">
        <f>O463-P463</f>
        <v>60.0</v>
      </c>
      <c r="T463" s="18">
        <f>N463-Q463</f>
        <v>60.09999999997672</v>
      </c>
      <c r="U463" s="36">
        <f>IF(N463&gt;0,Q463/N463,0)</f>
        <v>0.9997713811847857</v>
      </c>
      <c r="V463" s="35">
        <v>42038935.16</v>
      </c>
      <c r="W463" s="35">
        <v>690829.12</v>
      </c>
      <c r="X463" s="36">
        <v>0.01643307846335088</v>
      </c>
      <c r="Y463" s="35">
        <v>855253</v>
      </c>
      <c r="Z463" s="17" t="s">
        <v>113</v>
      </c>
      <c r="AA463" s="35">
        <v>6500000</v>
      </c>
      <c r="AB463" s="35">
        <v>4715948</v>
      </c>
      <c r="AC463" s="35">
        <v>5327000</v>
      </c>
      <c r="AD463" s="35">
        <v>7815000</v>
      </c>
      <c r="AE463" s="12" t="s">
        <v>86</v>
      </c>
      <c r="AF463" s="12" t="s">
        <v>87</v>
      </c>
      <c r="AG463" s="18">
        <v>-1</v>
      </c>
      <c r="AH463" s="12" t="s">
        <v>169</v>
      </c>
      <c r="AI463" s="12" t="s">
        <v>89</v>
      </c>
      <c r="AJ463" s="12" t="s">
        <v>89</v>
      </c>
      <c r="AK463" s="12" t="s">
        <v>89</v>
      </c>
      <c r="AL463" s="12" t="s">
        <v>89</v>
      </c>
      <c r="AM463" s="12" t="s">
        <v>91</v>
      </c>
      <c r="AN463" s="17" t="s">
        <v>92</v>
      </c>
    </row>
    <row r="464" spans="1:40">
      <c r="A464" s="12" t="s">
        <v>1619</v>
      </c>
      <c r="B464" s="12" t="s">
        <v>1608</v>
      </c>
      <c r="C464" s="12" t="s">
        <v>1620</v>
      </c>
      <c r="D464" s="12" t="s">
        <v>89</v>
      </c>
      <c r="E464" s="12" t="s">
        <v>1128</v>
      </c>
      <c r="F464" s="12" t="s">
        <v>1569</v>
      </c>
      <c r="G464" s="12" t="s">
        <v>394</v>
      </c>
      <c r="H464" s="34" t="s">
        <v>1640</v>
      </c>
      <c r="I464" s="12" t="s">
        <v>1123</v>
      </c>
      <c r="J464" s="12" t="s">
        <v>1124</v>
      </c>
      <c r="K464" s="18">
        <v>19926.14999999999</v>
      </c>
      <c r="L464" s="18">
        <v>0</v>
      </c>
      <c r="M464" s="12" t="s">
        <v>1125</v>
      </c>
      <c r="N464" s="35">
        <v>230000</v>
      </c>
      <c r="O464" s="35">
        <v>210073.85</v>
      </c>
      <c r="P464" s="35">
        <v>209443.15</v>
      </c>
      <c r="Q464" s="35">
        <v>192936.75</v>
      </c>
      <c r="R464" s="18">
        <f>N464-O464</f>
        <v>19926.149999999994</v>
      </c>
      <c r="S464" s="18">
        <f>O464-P464</f>
        <v>630.7000000000116</v>
      </c>
      <c r="T464" s="18">
        <f>N464-Q464</f>
        <v>37063.25</v>
      </c>
      <c r="U464" s="36">
        <f>IF(N464&gt;0,Q464/N464,0)</f>
        <v>0.8388554347826087</v>
      </c>
      <c r="V464" s="17" t="s">
        <v>151</v>
      </c>
      <c r="W464" s="17" t="s">
        <v>151</v>
      </c>
      <c r="X464" s="17" t="s">
        <v>151</v>
      </c>
      <c r="Y464" s="17" t="s">
        <v>151</v>
      </c>
      <c r="Z464" s="17" t="s">
        <v>89</v>
      </c>
      <c r="AA464" s="12" t="s">
        <v>99</v>
      </c>
      <c r="AB464" s="12" t="s">
        <v>99</v>
      </c>
      <c r="AC464" s="12" t="s">
        <v>99</v>
      </c>
      <c r="AD464" s="12" t="s">
        <v>99</v>
      </c>
      <c r="AE464" s="12" t="s">
        <v>89</v>
      </c>
      <c r="AF464" s="12" t="s">
        <v>89</v>
      </c>
      <c r="AG464" s="17" t="s">
        <v>151</v>
      </c>
      <c r="AH464" s="12" t="s">
        <v>1126</v>
      </c>
      <c r="AI464" s="12" t="s">
        <v>89</v>
      </c>
      <c r="AJ464" s="12" t="s">
        <v>89</v>
      </c>
      <c r="AK464" s="12" t="s">
        <v>89</v>
      </c>
      <c r="AL464" s="12" t="s">
        <v>89</v>
      </c>
      <c r="AM464" s="12" t="s">
        <v>89</v>
      </c>
      <c r="AN464" s="17" t="s">
        <v>89</v>
      </c>
    </row>
    <row r="465" spans="1:40">
      <c r="A465" s="12" t="s">
        <v>1619</v>
      </c>
      <c r="B465" s="12" t="s">
        <v>1608</v>
      </c>
      <c r="C465" s="12" t="s">
        <v>1620</v>
      </c>
      <c r="D465" s="12" t="s">
        <v>89</v>
      </c>
      <c r="E465" s="12" t="s">
        <v>1128</v>
      </c>
      <c r="F465" s="12" t="s">
        <v>1631</v>
      </c>
      <c r="G465" s="12" t="s">
        <v>216</v>
      </c>
      <c r="H465" s="34" t="s">
        <v>1632</v>
      </c>
      <c r="I465" s="12" t="s">
        <v>82</v>
      </c>
      <c r="J465" s="12" t="s">
        <v>106</v>
      </c>
      <c r="K465" s="18">
        <v>0</v>
      </c>
      <c r="L465" s="18">
        <v>0</v>
      </c>
      <c r="M465" s="12" t="s">
        <v>121</v>
      </c>
      <c r="N465" s="35">
        <v>190283</v>
      </c>
      <c r="O465" s="35">
        <v>190281.56</v>
      </c>
      <c r="P465" s="35">
        <v>190281.56</v>
      </c>
      <c r="Q465" s="35">
        <v>190281.56</v>
      </c>
      <c r="R465" s="18">
        <f>N465-O465</f>
        <v>1.4400000000023283</v>
      </c>
      <c r="S465" s="18">
        <f>O465-P465</f>
        <v>0.0</v>
      </c>
      <c r="T465" s="18">
        <f>N465-Q465</f>
        <v>1.4400000000023283</v>
      </c>
      <c r="U465" s="36">
        <f>IF(N465&gt;0,Q465/N465,0)</f>
        <v>0.9999924323244851</v>
      </c>
      <c r="V465" s="35">
        <v>52914975.17</v>
      </c>
      <c r="W465" s="35">
        <v>51919743.67</v>
      </c>
      <c r="X465" s="36">
        <v>0.9811918743833363</v>
      </c>
      <c r="Y465" s="35">
        <v>7624937</v>
      </c>
      <c r="Z465" s="17" t="s">
        <v>1385</v>
      </c>
      <c r="AA465" s="35">
        <v>1750000</v>
      </c>
      <c r="AB465" s="35">
        <v>0</v>
      </c>
      <c r="AC465" s="35">
        <v>0</v>
      </c>
      <c r="AD465" s="35">
        <v>0</v>
      </c>
      <c r="AE465" s="12" t="s">
        <v>86</v>
      </c>
      <c r="AF465" s="12" t="s">
        <v>87</v>
      </c>
      <c r="AG465" s="18">
        <v>84.67</v>
      </c>
      <c r="AH465" s="12" t="s">
        <v>145</v>
      </c>
      <c r="AI465" s="12" t="s">
        <v>89</v>
      </c>
      <c r="AJ465" s="12" t="s">
        <v>89</v>
      </c>
      <c r="AK465" s="12" t="s">
        <v>89</v>
      </c>
      <c r="AL465" s="12" t="s">
        <v>89</v>
      </c>
      <c r="AM465" s="12" t="s">
        <v>91</v>
      </c>
      <c r="AN465" s="17" t="s">
        <v>92</v>
      </c>
    </row>
    <row r="466" spans="1:40">
      <c r="A466" s="12" t="s">
        <v>1619</v>
      </c>
      <c r="B466" s="12" t="s">
        <v>1608</v>
      </c>
      <c r="C466" s="12" t="s">
        <v>1620</v>
      </c>
      <c r="D466" s="12" t="s">
        <v>89</v>
      </c>
      <c r="E466" s="12" t="s">
        <v>1128</v>
      </c>
      <c r="F466" s="12" t="s">
        <v>1627</v>
      </c>
      <c r="G466" s="12" t="s">
        <v>805</v>
      </c>
      <c r="H466" s="34" t="s">
        <v>1629</v>
      </c>
      <c r="I466" s="12" t="s">
        <v>82</v>
      </c>
      <c r="J466" s="12" t="s">
        <v>83</v>
      </c>
      <c r="K466" s="18">
        <v>2190.940000000002</v>
      </c>
      <c r="L466" s="18">
        <v>0</v>
      </c>
      <c r="M466" s="12" t="s">
        <v>84</v>
      </c>
      <c r="N466" s="35">
        <v>176980</v>
      </c>
      <c r="O466" s="35">
        <v>174789.06</v>
      </c>
      <c r="P466" s="35">
        <v>174789.06</v>
      </c>
      <c r="Q466" s="35">
        <v>171789.06</v>
      </c>
      <c r="R466" s="18">
        <f>N466-O466</f>
        <v>2190.9400000000023</v>
      </c>
      <c r="S466" s="18">
        <f>O466-P466</f>
        <v>0.0</v>
      </c>
      <c r="T466" s="18">
        <f>N466-Q466</f>
        <v>5190.940000000002</v>
      </c>
      <c r="U466" s="36">
        <f>IF(N466&gt;0,Q466/N466,0)</f>
        <v>0.9706693411684936</v>
      </c>
      <c r="V466" s="35">
        <v>17247769.74</v>
      </c>
      <c r="W466" s="35">
        <v>13144260.92</v>
      </c>
      <c r="X466" s="36">
        <v>0.7620846705482515</v>
      </c>
      <c r="Y466" s="35">
        <v>6932054.99</v>
      </c>
      <c r="Z466" s="17" t="s">
        <v>113</v>
      </c>
      <c r="AA466" s="35">
        <v>4665000</v>
      </c>
      <c r="AB466" s="35">
        <v>62456</v>
      </c>
      <c r="AC466" s="35">
        <v>0</v>
      </c>
      <c r="AD466" s="35">
        <v>0</v>
      </c>
      <c r="AE466" s="12" t="s">
        <v>86</v>
      </c>
      <c r="AF466" s="12" t="s">
        <v>87</v>
      </c>
      <c r="AG466" s="18">
        <v>65.98</v>
      </c>
      <c r="AH466" s="12" t="s">
        <v>136</v>
      </c>
      <c r="AI466" s="12" t="s">
        <v>89</v>
      </c>
      <c r="AJ466" s="12" t="s">
        <v>89</v>
      </c>
      <c r="AK466" s="12" t="s">
        <v>89</v>
      </c>
      <c r="AL466" s="12" t="s">
        <v>89</v>
      </c>
      <c r="AM466" s="12" t="s">
        <v>91</v>
      </c>
      <c r="AN466" s="17" t="s">
        <v>92</v>
      </c>
    </row>
    <row r="467" spans="1:40">
      <c r="A467" s="12" t="s">
        <v>1619</v>
      </c>
      <c r="B467" s="12" t="s">
        <v>1608</v>
      </c>
      <c r="C467" s="12" t="s">
        <v>1620</v>
      </c>
      <c r="D467" s="12" t="s">
        <v>89</v>
      </c>
      <c r="E467" s="12" t="s">
        <v>1128</v>
      </c>
      <c r="F467" s="12" t="s">
        <v>1637</v>
      </c>
      <c r="G467" s="12" t="s">
        <v>219</v>
      </c>
      <c r="H467" s="34" t="s">
        <v>1638</v>
      </c>
      <c r="I467" s="12" t="s">
        <v>82</v>
      </c>
      <c r="J467" s="12" t="s">
        <v>106</v>
      </c>
      <c r="K467" s="18">
        <v>0</v>
      </c>
      <c r="L467" s="18">
        <v>0</v>
      </c>
      <c r="M467" s="12" t="s">
        <v>121</v>
      </c>
      <c r="N467" s="35">
        <v>154443</v>
      </c>
      <c r="O467" s="35">
        <v>109916.88</v>
      </c>
      <c r="P467" s="35">
        <v>92420.89</v>
      </c>
      <c r="Q467" s="35">
        <v>90449.34999999999</v>
      </c>
      <c r="R467" s="18">
        <f>N467-O467</f>
        <v>44526.12000000001</v>
      </c>
      <c r="S467" s="18">
        <f>O467-P467</f>
        <v>17495.98999999999</v>
      </c>
      <c r="T467" s="18">
        <f>N467-Q467</f>
        <v>63993.65000000001</v>
      </c>
      <c r="U467" s="36">
        <f>IF(N467&gt;0,Q467/N467,0)</f>
        <v>0.5856487506717688</v>
      </c>
      <c r="V467" s="35">
        <v>19782785.73</v>
      </c>
      <c r="W467" s="35">
        <v>18620973.03</v>
      </c>
      <c r="X467" s="36">
        <v>0.9412715319340418</v>
      </c>
      <c r="Y467" s="35">
        <v>2302588</v>
      </c>
      <c r="Z467" s="17" t="s">
        <v>1385</v>
      </c>
      <c r="AA467" s="35">
        <v>1850000</v>
      </c>
      <c r="AB467" s="35">
        <v>0</v>
      </c>
      <c r="AC467" s="35">
        <v>0</v>
      </c>
      <c r="AD467" s="35">
        <v>0</v>
      </c>
      <c r="AE467" s="12" t="s">
        <v>86</v>
      </c>
      <c r="AF467" s="12" t="s">
        <v>87</v>
      </c>
      <c r="AG467" s="18">
        <v>94.33</v>
      </c>
      <c r="AH467" s="12" t="s">
        <v>136</v>
      </c>
      <c r="AI467" s="12" t="s">
        <v>89</v>
      </c>
      <c r="AJ467" s="12" t="s">
        <v>89</v>
      </c>
      <c r="AK467" s="12" t="s">
        <v>89</v>
      </c>
      <c r="AL467" s="12" t="s">
        <v>89</v>
      </c>
      <c r="AM467" s="12" t="s">
        <v>91</v>
      </c>
      <c r="AN467" s="17" t="s">
        <v>92</v>
      </c>
    </row>
    <row r="468" spans="1:40">
      <c r="A468" s="12" t="s">
        <v>1619</v>
      </c>
      <c r="B468" s="12" t="s">
        <v>1608</v>
      </c>
      <c r="C468" s="12" t="s">
        <v>1620</v>
      </c>
      <c r="D468" s="12" t="s">
        <v>89</v>
      </c>
      <c r="E468" s="12" t="s">
        <v>1128</v>
      </c>
      <c r="F468" s="12" t="s">
        <v>1647</v>
      </c>
      <c r="G468" s="12" t="s">
        <v>1098</v>
      </c>
      <c r="H468" s="34" t="s">
        <v>1648</v>
      </c>
      <c r="I468" s="12" t="s">
        <v>82</v>
      </c>
      <c r="J468" s="12" t="s">
        <v>106</v>
      </c>
      <c r="K468" s="18">
        <v>0</v>
      </c>
      <c r="L468" s="18">
        <v>0</v>
      </c>
      <c r="M468" s="12" t="s">
        <v>121</v>
      </c>
      <c r="N468" s="35">
        <v>152639</v>
      </c>
      <c r="O468" s="35">
        <v>152604.55</v>
      </c>
      <c r="P468" s="35">
        <v>152604.55</v>
      </c>
      <c r="Q468" s="35">
        <v>152604.55</v>
      </c>
      <c r="R468" s="18">
        <f>N468-O468</f>
        <v>34.45000000001164</v>
      </c>
      <c r="S468" s="18">
        <f>O468-P468</f>
        <v>0.0</v>
      </c>
      <c r="T468" s="18">
        <f>N468-Q468</f>
        <v>34.45000000001164</v>
      </c>
      <c r="U468" s="36">
        <f>IF(N468&gt;0,Q468/N468,0)</f>
        <v>0.9997743040769397</v>
      </c>
      <c r="V468" s="35">
        <v>6802642.86</v>
      </c>
      <c r="W468" s="35">
        <v>184966.21</v>
      </c>
      <c r="X468" s="36">
        <v>0.02719034554755385</v>
      </c>
      <c r="Y468" s="35">
        <v>152639</v>
      </c>
      <c r="Z468" s="17" t="s">
        <v>1385</v>
      </c>
      <c r="AA468" s="12" t="s">
        <v>99</v>
      </c>
      <c r="AB468" s="12" t="s">
        <v>99</v>
      </c>
      <c r="AC468" s="12" t="s">
        <v>99</v>
      </c>
      <c r="AD468" s="12" t="s">
        <v>99</v>
      </c>
      <c r="AE468" s="12" t="s">
        <v>86</v>
      </c>
      <c r="AF468" s="12" t="s">
        <v>87</v>
      </c>
      <c r="AG468" s="18">
        <v>-1</v>
      </c>
      <c r="AH468" s="12" t="s">
        <v>169</v>
      </c>
      <c r="AI468" s="12" t="s">
        <v>89</v>
      </c>
      <c r="AJ468" s="12" t="s">
        <v>89</v>
      </c>
      <c r="AK468" s="12" t="s">
        <v>89</v>
      </c>
      <c r="AL468" s="12" t="s">
        <v>89</v>
      </c>
      <c r="AM468" s="12" t="s">
        <v>1649</v>
      </c>
      <c r="AN468" s="17" t="s">
        <v>92</v>
      </c>
    </row>
    <row r="469" spans="1:40">
      <c r="A469" s="12" t="s">
        <v>1619</v>
      </c>
      <c r="B469" s="12" t="s">
        <v>1608</v>
      </c>
      <c r="C469" s="12" t="s">
        <v>1620</v>
      </c>
      <c r="D469" s="12" t="s">
        <v>89</v>
      </c>
      <c r="E469" s="12" t="s">
        <v>1128</v>
      </c>
      <c r="F469" s="12" t="s">
        <v>1637</v>
      </c>
      <c r="G469" s="12" t="s">
        <v>1359</v>
      </c>
      <c r="H469" s="34" t="s">
        <v>1638</v>
      </c>
      <c r="I469" s="12" t="s">
        <v>82</v>
      </c>
      <c r="J469" s="12" t="s">
        <v>106</v>
      </c>
      <c r="K469" s="18">
        <v>0</v>
      </c>
      <c r="L469" s="18">
        <v>0</v>
      </c>
      <c r="M469" s="12" t="s">
        <v>121</v>
      </c>
      <c r="N469" s="35">
        <v>150000</v>
      </c>
      <c r="O469" s="35">
        <v>149949.14</v>
      </c>
      <c r="P469" s="35">
        <v>149949.14</v>
      </c>
      <c r="Q469" s="35">
        <v>148925.24</v>
      </c>
      <c r="R469" s="18">
        <f>N469-O469</f>
        <v>50.85999999998603</v>
      </c>
      <c r="S469" s="18">
        <f>O469-P469</f>
        <v>0.0</v>
      </c>
      <c r="T469" s="18">
        <f>N469-Q469</f>
        <v>1074.7600000000093</v>
      </c>
      <c r="U469" s="36">
        <f>IF(N469&gt;0,Q469/N469,0)</f>
        <v>0.9928349333333333</v>
      </c>
      <c r="V469" s="35">
        <v>19782785.73</v>
      </c>
      <c r="W469" s="35">
        <v>18620973.03</v>
      </c>
      <c r="X469" s="36">
        <v>0.9412715319340418</v>
      </c>
      <c r="Y469" s="35">
        <v>2302588</v>
      </c>
      <c r="Z469" s="17" t="s">
        <v>1385</v>
      </c>
      <c r="AA469" s="35">
        <v>1850000</v>
      </c>
      <c r="AB469" s="35">
        <v>0</v>
      </c>
      <c r="AC469" s="35">
        <v>0</v>
      </c>
      <c r="AD469" s="35">
        <v>0</v>
      </c>
      <c r="AE469" s="12" t="s">
        <v>86</v>
      </c>
      <c r="AF469" s="12" t="s">
        <v>87</v>
      </c>
      <c r="AG469" s="18">
        <v>94.33</v>
      </c>
      <c r="AH469" s="12" t="s">
        <v>259</v>
      </c>
      <c r="AI469" s="12" t="s">
        <v>89</v>
      </c>
      <c r="AJ469" s="12" t="s">
        <v>89</v>
      </c>
      <c r="AK469" s="12" t="s">
        <v>89</v>
      </c>
      <c r="AL469" s="12" t="s">
        <v>89</v>
      </c>
      <c r="AM469" s="12" t="s">
        <v>91</v>
      </c>
      <c r="AN469" s="17" t="s">
        <v>92</v>
      </c>
    </row>
    <row r="470" spans="1:40">
      <c r="A470" s="12" t="s">
        <v>1619</v>
      </c>
      <c r="B470" s="12" t="s">
        <v>1608</v>
      </c>
      <c r="C470" s="12" t="s">
        <v>1620</v>
      </c>
      <c r="D470" s="12" t="s">
        <v>89</v>
      </c>
      <c r="E470" s="12" t="s">
        <v>1128</v>
      </c>
      <c r="F470" s="12" t="s">
        <v>1650</v>
      </c>
      <c r="G470" s="12" t="s">
        <v>425</v>
      </c>
      <c r="H470" s="34" t="s">
        <v>1651</v>
      </c>
      <c r="I470" s="12" t="s">
        <v>82</v>
      </c>
      <c r="J470" s="12" t="s">
        <v>83</v>
      </c>
      <c r="K470" s="18">
        <v>0</v>
      </c>
      <c r="L470" s="18">
        <v>0</v>
      </c>
      <c r="M470" s="12" t="s">
        <v>84</v>
      </c>
      <c r="N470" s="35">
        <v>150000</v>
      </c>
      <c r="O470" s="35">
        <v>149147</v>
      </c>
      <c r="P470" s="35">
        <v>107750.4</v>
      </c>
      <c r="Q470" s="35">
        <v>88700.39999999999</v>
      </c>
      <c r="R470" s="18">
        <f>N470-O470</f>
        <v>853.0</v>
      </c>
      <c r="S470" s="18">
        <f>O470-P470</f>
        <v>41396.600000000006</v>
      </c>
      <c r="T470" s="18">
        <f>N470-Q470</f>
        <v>61299.600000000006</v>
      </c>
      <c r="U470" s="36">
        <f>IF(N470&gt;0,Q470/N470,0)</f>
        <v>0.591336</v>
      </c>
      <c r="V470" s="35">
        <v>11897636.67</v>
      </c>
      <c r="W470" s="35">
        <v>88700.39999999999</v>
      </c>
      <c r="X470" s="36">
        <v>0.007455295741519731</v>
      </c>
      <c r="Y470" s="35">
        <v>150000</v>
      </c>
      <c r="Z470" s="17" t="s">
        <v>113</v>
      </c>
      <c r="AA470" s="35">
        <v>150000</v>
      </c>
      <c r="AB470" s="35">
        <v>414813</v>
      </c>
      <c r="AC470" s="35">
        <v>900000</v>
      </c>
      <c r="AD470" s="35">
        <v>1046334</v>
      </c>
      <c r="AE470" s="12" t="s">
        <v>86</v>
      </c>
      <c r="AF470" s="12" t="s">
        <v>87</v>
      </c>
      <c r="AG470" s="18">
        <v>-1</v>
      </c>
      <c r="AH470" s="12" t="s">
        <v>169</v>
      </c>
      <c r="AI470" s="12" t="s">
        <v>89</v>
      </c>
      <c r="AJ470" s="12" t="s">
        <v>89</v>
      </c>
      <c r="AK470" s="12" t="s">
        <v>89</v>
      </c>
      <c r="AL470" s="12" t="s">
        <v>89</v>
      </c>
      <c r="AM470" s="12" t="s">
        <v>91</v>
      </c>
      <c r="AN470" s="17" t="s">
        <v>92</v>
      </c>
    </row>
    <row r="471" spans="1:40">
      <c r="A471" s="12" t="s">
        <v>1619</v>
      </c>
      <c r="B471" s="12" t="s">
        <v>1608</v>
      </c>
      <c r="C471" s="12" t="s">
        <v>1620</v>
      </c>
      <c r="D471" s="12" t="s">
        <v>89</v>
      </c>
      <c r="E471" s="12" t="s">
        <v>1128</v>
      </c>
      <c r="F471" s="12" t="s">
        <v>1633</v>
      </c>
      <c r="G471" s="12" t="s">
        <v>417</v>
      </c>
      <c r="H471" s="34" t="s">
        <v>1635</v>
      </c>
      <c r="I471" s="12" t="s">
        <v>82</v>
      </c>
      <c r="J471" s="12" t="s">
        <v>106</v>
      </c>
      <c r="K471" s="18">
        <v>0</v>
      </c>
      <c r="L471" s="18">
        <v>0</v>
      </c>
      <c r="M471" s="12" t="s">
        <v>107</v>
      </c>
      <c r="N471" s="35">
        <v>69000</v>
      </c>
      <c r="O471" s="35">
        <v>43756.53999999999</v>
      </c>
      <c r="P471" s="35">
        <v>43756.53999999999</v>
      </c>
      <c r="Q471" s="35">
        <v>40656.53999999999</v>
      </c>
      <c r="R471" s="18">
        <f>N471-O471</f>
        <v>25243.460000000006</v>
      </c>
      <c r="S471" s="18">
        <f>O471-P471</f>
        <v>0.0</v>
      </c>
      <c r="T471" s="18">
        <f>N471-Q471</f>
        <v>28343.460000000006</v>
      </c>
      <c r="U471" s="36">
        <f>IF(N471&gt;0,Q471/N471,0)</f>
        <v>0.5892252173913043</v>
      </c>
      <c r="V471" s="35">
        <v>41841724.44</v>
      </c>
      <c r="W471" s="35">
        <v>39150555.07</v>
      </c>
      <c r="X471" s="36">
        <v>0.9356821592317719</v>
      </c>
      <c r="Y471" s="35">
        <v>11029186.1</v>
      </c>
      <c r="Z471" s="17" t="s">
        <v>113</v>
      </c>
      <c r="AA471" s="35">
        <v>1580000</v>
      </c>
      <c r="AB471" s="35">
        <v>285490</v>
      </c>
      <c r="AC471" s="35">
        <v>0</v>
      </c>
      <c r="AD471" s="35">
        <v>0</v>
      </c>
      <c r="AE471" s="12" t="s">
        <v>86</v>
      </c>
      <c r="AF471" s="12" t="s">
        <v>87</v>
      </c>
      <c r="AG471" s="18">
        <v>96.65000000000001</v>
      </c>
      <c r="AH471" s="12" t="s">
        <v>136</v>
      </c>
      <c r="AI471" s="12" t="s">
        <v>89</v>
      </c>
      <c r="AJ471" s="12" t="s">
        <v>89</v>
      </c>
      <c r="AK471" s="12" t="s">
        <v>89</v>
      </c>
      <c r="AL471" s="12" t="s">
        <v>89</v>
      </c>
      <c r="AM471" s="12" t="s">
        <v>91</v>
      </c>
      <c r="AN471" s="17" t="s">
        <v>92</v>
      </c>
    </row>
    <row r="472" spans="1:40">
      <c r="A472" s="12" t="s">
        <v>1619</v>
      </c>
      <c r="B472" s="12" t="s">
        <v>1608</v>
      </c>
      <c r="C472" s="12" t="s">
        <v>1620</v>
      </c>
      <c r="D472" s="12" t="s">
        <v>89</v>
      </c>
      <c r="E472" s="12" t="s">
        <v>1128</v>
      </c>
      <c r="F472" s="12" t="s">
        <v>1569</v>
      </c>
      <c r="G472" s="12" t="s">
        <v>80</v>
      </c>
      <c r="H472" s="34" t="s">
        <v>1640</v>
      </c>
      <c r="I472" s="12" t="s">
        <v>1123</v>
      </c>
      <c r="J472" s="12" t="s">
        <v>1124</v>
      </c>
      <c r="K472" s="18">
        <v>42914</v>
      </c>
      <c r="L472" s="18">
        <v>0</v>
      </c>
      <c r="M472" s="12" t="s">
        <v>1125</v>
      </c>
      <c r="N472" s="35">
        <v>57914</v>
      </c>
      <c r="O472" s="35">
        <v>15000</v>
      </c>
      <c r="P472" s="35">
        <v>15000</v>
      </c>
      <c r="Q472" s="35">
        <v>10000</v>
      </c>
      <c r="R472" s="18">
        <f>N472-O472</f>
        <v>42914.0</v>
      </c>
      <c r="S472" s="18">
        <f>O472-P472</f>
        <v>0.0</v>
      </c>
      <c r="T472" s="18">
        <f>N472-Q472</f>
        <v>47914.0</v>
      </c>
      <c r="U472" s="36">
        <f>IF(N472&gt;0,Q472/N472,0)</f>
        <v>0.17266982076872603</v>
      </c>
      <c r="V472" s="17" t="s">
        <v>151</v>
      </c>
      <c r="W472" s="17" t="s">
        <v>151</v>
      </c>
      <c r="X472" s="17" t="s">
        <v>151</v>
      </c>
      <c r="Y472" s="17" t="s">
        <v>151</v>
      </c>
      <c r="Z472" s="17" t="s">
        <v>89</v>
      </c>
      <c r="AA472" s="12" t="s">
        <v>99</v>
      </c>
      <c r="AB472" s="12" t="s">
        <v>99</v>
      </c>
      <c r="AC472" s="12" t="s">
        <v>99</v>
      </c>
      <c r="AD472" s="12" t="s">
        <v>99</v>
      </c>
      <c r="AE472" s="12" t="s">
        <v>89</v>
      </c>
      <c r="AF472" s="12" t="s">
        <v>89</v>
      </c>
      <c r="AG472" s="17" t="s">
        <v>151</v>
      </c>
      <c r="AH472" s="12" t="s">
        <v>1126</v>
      </c>
      <c r="AI472" s="12" t="s">
        <v>89</v>
      </c>
      <c r="AJ472" s="12" t="s">
        <v>89</v>
      </c>
      <c r="AK472" s="12" t="s">
        <v>89</v>
      </c>
      <c r="AL472" s="12" t="s">
        <v>89</v>
      </c>
      <c r="AM472" s="12" t="s">
        <v>89</v>
      </c>
      <c r="AN472" s="17" t="s">
        <v>89</v>
      </c>
    </row>
    <row r="473" spans="1:40">
      <c r="A473" s="12" t="s">
        <v>1619</v>
      </c>
      <c r="B473" s="12" t="s">
        <v>1608</v>
      </c>
      <c r="C473" s="12" t="s">
        <v>1620</v>
      </c>
      <c r="D473" s="12" t="s">
        <v>89</v>
      </c>
      <c r="E473" s="12" t="s">
        <v>1128</v>
      </c>
      <c r="F473" s="12" t="s">
        <v>1631</v>
      </c>
      <c r="G473" s="12" t="s">
        <v>214</v>
      </c>
      <c r="H473" s="34" t="s">
        <v>1632</v>
      </c>
      <c r="I473" s="12" t="s">
        <v>82</v>
      </c>
      <c r="J473" s="12" t="s">
        <v>106</v>
      </c>
      <c r="K473" s="18">
        <v>0</v>
      </c>
      <c r="L473" s="18">
        <v>0</v>
      </c>
      <c r="M473" s="12" t="s">
        <v>121</v>
      </c>
      <c r="N473" s="35">
        <v>49820</v>
      </c>
      <c r="O473" s="35">
        <v>49819.22</v>
      </c>
      <c r="P473" s="35">
        <v>49819.22</v>
      </c>
      <c r="Q473" s="35">
        <v>49819.22</v>
      </c>
      <c r="R473" s="18">
        <f>N473-O473</f>
        <v>0.7799999999988358</v>
      </c>
      <c r="S473" s="18">
        <f>O473-P473</f>
        <v>0.0</v>
      </c>
      <c r="T473" s="18">
        <f>N473-Q473</f>
        <v>0.7799999999988358</v>
      </c>
      <c r="U473" s="36">
        <f>IF(N473&gt;0,Q473/N473,0)</f>
        <v>0.9999843436370935</v>
      </c>
      <c r="V473" s="35">
        <v>52914975.17</v>
      </c>
      <c r="W473" s="35">
        <v>51919743.67</v>
      </c>
      <c r="X473" s="36">
        <v>0.9811918743833363</v>
      </c>
      <c r="Y473" s="35">
        <v>7624937</v>
      </c>
      <c r="Z473" s="17" t="s">
        <v>1385</v>
      </c>
      <c r="AA473" s="35">
        <v>1750000</v>
      </c>
      <c r="AB473" s="35">
        <v>0</v>
      </c>
      <c r="AC473" s="35">
        <v>0</v>
      </c>
      <c r="AD473" s="35">
        <v>0</v>
      </c>
      <c r="AE473" s="12" t="s">
        <v>86</v>
      </c>
      <c r="AF473" s="12" t="s">
        <v>87</v>
      </c>
      <c r="AG473" s="18">
        <v>84.67</v>
      </c>
      <c r="AH473" s="12" t="s">
        <v>182</v>
      </c>
      <c r="AI473" s="12" t="s">
        <v>89</v>
      </c>
      <c r="AJ473" s="12" t="s">
        <v>89</v>
      </c>
      <c r="AK473" s="12" t="s">
        <v>89</v>
      </c>
      <c r="AL473" s="12" t="s">
        <v>89</v>
      </c>
      <c r="AM473" s="12" t="s">
        <v>91</v>
      </c>
      <c r="AN473" s="17" t="s">
        <v>92</v>
      </c>
    </row>
    <row r="474" spans="1:40">
      <c r="A474" s="12" t="s">
        <v>1619</v>
      </c>
      <c r="B474" s="12" t="s">
        <v>1608</v>
      </c>
      <c r="C474" s="12" t="s">
        <v>1620</v>
      </c>
      <c r="D474" s="12" t="s">
        <v>89</v>
      </c>
      <c r="E474" s="12" t="s">
        <v>1128</v>
      </c>
      <c r="F474" s="12" t="s">
        <v>1633</v>
      </c>
      <c r="G474" s="12" t="s">
        <v>1374</v>
      </c>
      <c r="H474" s="34" t="s">
        <v>1635</v>
      </c>
      <c r="I474" s="12" t="s">
        <v>82</v>
      </c>
      <c r="J474" s="12" t="s">
        <v>106</v>
      </c>
      <c r="K474" s="18">
        <v>0</v>
      </c>
      <c r="L474" s="18">
        <v>0</v>
      </c>
      <c r="M474" s="12" t="s">
        <v>107</v>
      </c>
      <c r="N474" s="35">
        <v>45545</v>
      </c>
      <c r="O474" s="35">
        <v>41539.48</v>
      </c>
      <c r="P474" s="35">
        <v>41538.98</v>
      </c>
      <c r="Q474" s="35">
        <v>36436.48</v>
      </c>
      <c r="R474" s="18">
        <f>N474-O474</f>
        <v>4005.520000000004</v>
      </c>
      <c r="S474" s="18">
        <f>O474-P474</f>
        <v>0.5</v>
      </c>
      <c r="T474" s="18">
        <f>N474-Q474</f>
        <v>9108.520000000004</v>
      </c>
      <c r="U474" s="36">
        <f>IF(N474&gt;0,Q474/N474,0)</f>
        <v>0.8000105390273355</v>
      </c>
      <c r="V474" s="35">
        <v>41841724.44</v>
      </c>
      <c r="W474" s="35">
        <v>39150555.07</v>
      </c>
      <c r="X474" s="36">
        <v>0.9356821592317719</v>
      </c>
      <c r="Y474" s="35">
        <v>11029186.1</v>
      </c>
      <c r="Z474" s="17" t="s">
        <v>113</v>
      </c>
      <c r="AA474" s="35">
        <v>1580000</v>
      </c>
      <c r="AB474" s="35">
        <v>285490</v>
      </c>
      <c r="AC474" s="35">
        <v>0</v>
      </c>
      <c r="AD474" s="35">
        <v>0</v>
      </c>
      <c r="AE474" s="12" t="s">
        <v>86</v>
      </c>
      <c r="AF474" s="12" t="s">
        <v>87</v>
      </c>
      <c r="AG474" s="18">
        <v>96.65000000000001</v>
      </c>
      <c r="AH474" s="12" t="s">
        <v>182</v>
      </c>
      <c r="AI474" s="12" t="s">
        <v>89</v>
      </c>
      <c r="AJ474" s="12" t="s">
        <v>89</v>
      </c>
      <c r="AK474" s="12" t="s">
        <v>89</v>
      </c>
      <c r="AL474" s="12" t="s">
        <v>89</v>
      </c>
      <c r="AM474" s="12" t="s">
        <v>91</v>
      </c>
      <c r="AN474" s="17" t="s">
        <v>92</v>
      </c>
    </row>
    <row r="475" spans="1:40">
      <c r="A475" s="12" t="s">
        <v>1619</v>
      </c>
      <c r="B475" s="12" t="s">
        <v>1608</v>
      </c>
      <c r="C475" s="12" t="s">
        <v>1620</v>
      </c>
      <c r="D475" s="12" t="s">
        <v>89</v>
      </c>
      <c r="E475" s="12" t="s">
        <v>1128</v>
      </c>
      <c r="F475" s="12" t="s">
        <v>1631</v>
      </c>
      <c r="G475" s="12" t="s">
        <v>540</v>
      </c>
      <c r="H475" s="34" t="s">
        <v>1632</v>
      </c>
      <c r="I475" s="12" t="s">
        <v>82</v>
      </c>
      <c r="J475" s="12" t="s">
        <v>106</v>
      </c>
      <c r="K475" s="18">
        <v>0</v>
      </c>
      <c r="L475" s="18">
        <v>0</v>
      </c>
      <c r="M475" s="12" t="s">
        <v>121</v>
      </c>
      <c r="N475" s="35">
        <v>41248</v>
      </c>
      <c r="O475" s="35">
        <v>27287.93</v>
      </c>
      <c r="P475" s="35">
        <v>27287.93</v>
      </c>
      <c r="Q475" s="35">
        <v>27287.93</v>
      </c>
      <c r="R475" s="18">
        <f>N475-O475</f>
        <v>13960.07</v>
      </c>
      <c r="S475" s="18">
        <f>O475-P475</f>
        <v>0.0</v>
      </c>
      <c r="T475" s="18">
        <f>N475-Q475</f>
        <v>13960.07</v>
      </c>
      <c r="U475" s="36">
        <f>IF(N475&gt;0,Q475/N475,0)</f>
        <v>0.661557651280062</v>
      </c>
      <c r="V475" s="35">
        <v>52914975.17</v>
      </c>
      <c r="W475" s="35">
        <v>51919743.67</v>
      </c>
      <c r="X475" s="36">
        <v>0.9811918743833363</v>
      </c>
      <c r="Y475" s="35">
        <v>7624937</v>
      </c>
      <c r="Z475" s="17" t="s">
        <v>1385</v>
      </c>
      <c r="AA475" s="35">
        <v>1750000</v>
      </c>
      <c r="AB475" s="35">
        <v>0</v>
      </c>
      <c r="AC475" s="35">
        <v>0</v>
      </c>
      <c r="AD475" s="35">
        <v>0</v>
      </c>
      <c r="AE475" s="12" t="s">
        <v>86</v>
      </c>
      <c r="AF475" s="12" t="s">
        <v>87</v>
      </c>
      <c r="AG475" s="18">
        <v>84.67</v>
      </c>
      <c r="AH475" s="12" t="s">
        <v>182</v>
      </c>
      <c r="AI475" s="12" t="s">
        <v>89</v>
      </c>
      <c r="AJ475" s="12" t="s">
        <v>89</v>
      </c>
      <c r="AK475" s="12" t="s">
        <v>89</v>
      </c>
      <c r="AL475" s="12" t="s">
        <v>89</v>
      </c>
      <c r="AM475" s="12" t="s">
        <v>91</v>
      </c>
      <c r="AN475" s="17" t="s">
        <v>92</v>
      </c>
    </row>
    <row r="476" spans="1:40">
      <c r="A476" s="12" t="s">
        <v>1619</v>
      </c>
      <c r="B476" s="12" t="s">
        <v>1608</v>
      </c>
      <c r="C476" s="12" t="s">
        <v>1620</v>
      </c>
      <c r="D476" s="12" t="s">
        <v>89</v>
      </c>
      <c r="E476" s="12" t="s">
        <v>1128</v>
      </c>
      <c r="F476" s="12" t="s">
        <v>1652</v>
      </c>
      <c r="G476" s="12" t="s">
        <v>564</v>
      </c>
      <c r="H476" s="34" t="s">
        <v>1653</v>
      </c>
      <c r="I476" s="12" t="s">
        <v>82</v>
      </c>
      <c r="J476" s="12" t="s">
        <v>106</v>
      </c>
      <c r="K476" s="18">
        <v>0</v>
      </c>
      <c r="L476" s="18">
        <v>0</v>
      </c>
      <c r="M476" s="12" t="s">
        <v>121</v>
      </c>
      <c r="N476" s="35">
        <v>32000</v>
      </c>
      <c r="O476" s="35">
        <v>31660.63</v>
      </c>
      <c r="P476" s="35">
        <v>31233.95</v>
      </c>
      <c r="Q476" s="35">
        <v>31233.95</v>
      </c>
      <c r="R476" s="18">
        <f>N476-O476</f>
        <v>339.3700000000026</v>
      </c>
      <c r="S476" s="18">
        <f>O476-P476</f>
        <v>426.6800000000003</v>
      </c>
      <c r="T476" s="18">
        <f>N476-Q476</f>
        <v>766.0500000000029</v>
      </c>
      <c r="U476" s="36">
        <f>IF(N476&gt;0,Q476/N476,0)</f>
        <v>0.9760609374999999</v>
      </c>
      <c r="V476" s="35">
        <v>30010512.63</v>
      </c>
      <c r="W476" s="35">
        <v>28528403.91</v>
      </c>
      <c r="X476" s="36">
        <v>0.9506136820029388</v>
      </c>
      <c r="Y476" s="35">
        <v>34081</v>
      </c>
      <c r="Z476" s="17" t="s">
        <v>1654</v>
      </c>
      <c r="AA476" s="35">
        <v>20000</v>
      </c>
      <c r="AB476" s="35">
        <v>0</v>
      </c>
      <c r="AC476" s="35">
        <v>0</v>
      </c>
      <c r="AD476" s="35">
        <v>0</v>
      </c>
      <c r="AE476" s="12" t="s">
        <v>313</v>
      </c>
      <c r="AF476" s="12" t="s">
        <v>314</v>
      </c>
      <c r="AG476" s="18">
        <v>97.26000000000001</v>
      </c>
      <c r="AH476" s="12" t="s">
        <v>136</v>
      </c>
      <c r="AI476" s="12" t="s">
        <v>89</v>
      </c>
      <c r="AJ476" s="12" t="s">
        <v>89</v>
      </c>
      <c r="AK476" s="12" t="s">
        <v>89</v>
      </c>
      <c r="AL476" s="12" t="s">
        <v>89</v>
      </c>
      <c r="AM476" s="12" t="s">
        <v>91</v>
      </c>
      <c r="AN476" s="17" t="s">
        <v>92</v>
      </c>
    </row>
    <row r="477" spans="1:40">
      <c r="A477" s="12" t="s">
        <v>1619</v>
      </c>
      <c r="B477" s="12" t="s">
        <v>1608</v>
      </c>
      <c r="C477" s="12" t="s">
        <v>1620</v>
      </c>
      <c r="D477" s="12" t="s">
        <v>89</v>
      </c>
      <c r="E477" s="12" t="s">
        <v>1128</v>
      </c>
      <c r="F477" s="12" t="s">
        <v>1633</v>
      </c>
      <c r="G477" s="12" t="s">
        <v>119</v>
      </c>
      <c r="H477" s="34" t="s">
        <v>1635</v>
      </c>
      <c r="I477" s="12" t="s">
        <v>82</v>
      </c>
      <c r="J477" s="12" t="s">
        <v>106</v>
      </c>
      <c r="K477" s="18">
        <v>0</v>
      </c>
      <c r="L477" s="18">
        <v>0</v>
      </c>
      <c r="M477" s="12" t="s">
        <v>107</v>
      </c>
      <c r="N477" s="35">
        <v>21135</v>
      </c>
      <c r="O477" s="35">
        <v>20274</v>
      </c>
      <c r="P477" s="35">
        <v>20274</v>
      </c>
      <c r="Q477" s="35">
        <v>20274</v>
      </c>
      <c r="R477" s="18">
        <f>N477-O477</f>
        <v>861.0</v>
      </c>
      <c r="S477" s="18">
        <f>O477-P477</f>
        <v>0.0</v>
      </c>
      <c r="T477" s="18">
        <f>N477-Q477</f>
        <v>861.0</v>
      </c>
      <c r="U477" s="36">
        <f>IF(N477&gt;0,Q477/N477,0)</f>
        <v>0.9592618878637331</v>
      </c>
      <c r="V477" s="35">
        <v>41841724.44</v>
      </c>
      <c r="W477" s="35">
        <v>39150555.07</v>
      </c>
      <c r="X477" s="36">
        <v>0.9356821592317719</v>
      </c>
      <c r="Y477" s="35">
        <v>11029186.1</v>
      </c>
      <c r="Z477" s="17" t="s">
        <v>113</v>
      </c>
      <c r="AA477" s="35">
        <v>1580000</v>
      </c>
      <c r="AB477" s="35">
        <v>285490</v>
      </c>
      <c r="AC477" s="35">
        <v>0</v>
      </c>
      <c r="AD477" s="35">
        <v>0</v>
      </c>
      <c r="AE477" s="12" t="s">
        <v>86</v>
      </c>
      <c r="AF477" s="12" t="s">
        <v>87</v>
      </c>
      <c r="AG477" s="18">
        <v>96.65000000000001</v>
      </c>
      <c r="AH477" s="12" t="s">
        <v>182</v>
      </c>
      <c r="AI477" s="12" t="s">
        <v>89</v>
      </c>
      <c r="AJ477" s="12" t="s">
        <v>89</v>
      </c>
      <c r="AK477" s="12" t="s">
        <v>89</v>
      </c>
      <c r="AL477" s="12" t="s">
        <v>89</v>
      </c>
      <c r="AM477" s="12" t="s">
        <v>91</v>
      </c>
      <c r="AN477" s="17" t="s">
        <v>92</v>
      </c>
    </row>
    <row r="478" spans="1:40">
      <c r="A478" s="12" t="s">
        <v>1619</v>
      </c>
      <c r="B478" s="12" t="s">
        <v>1608</v>
      </c>
      <c r="C478" s="12" t="s">
        <v>1620</v>
      </c>
      <c r="D478" s="12" t="s">
        <v>89</v>
      </c>
      <c r="E478" s="12" t="s">
        <v>1128</v>
      </c>
      <c r="F478" s="12" t="s">
        <v>1624</v>
      </c>
      <c r="G478" s="12" t="s">
        <v>421</v>
      </c>
      <c r="H478" s="34" t="s">
        <v>1625</v>
      </c>
      <c r="I478" s="12" t="s">
        <v>82</v>
      </c>
      <c r="J478" s="12" t="s">
        <v>83</v>
      </c>
      <c r="K478" s="18">
        <v>0</v>
      </c>
      <c r="L478" s="18">
        <v>114.1350318126378</v>
      </c>
      <c r="M478" s="12" t="s">
        <v>84</v>
      </c>
      <c r="N478" s="35">
        <v>5726</v>
      </c>
      <c r="O478" s="35">
        <v>5726</v>
      </c>
      <c r="P478" s="35">
        <v>5104.8</v>
      </c>
      <c r="Q478" s="35">
        <v>5104.8</v>
      </c>
      <c r="R478" s="18">
        <f>N478-O478</f>
        <v>0.0</v>
      </c>
      <c r="S478" s="18">
        <f>O478-P478</f>
        <v>621.1999999999998</v>
      </c>
      <c r="T478" s="18">
        <f>N478-Q478</f>
        <v>621.1999999999998</v>
      </c>
      <c r="U478" s="36">
        <f>IF(N478&gt;0,Q478/N478,0)</f>
        <v>0.8915123995808593</v>
      </c>
      <c r="V478" s="35">
        <v>26392488.54</v>
      </c>
      <c r="W478" s="35">
        <v>22621602.33</v>
      </c>
      <c r="X478" s="36">
        <v>0.857122748986519</v>
      </c>
      <c r="Y478" s="35">
        <v>5335675</v>
      </c>
      <c r="Z478" s="17" t="s">
        <v>113</v>
      </c>
      <c r="AA478" s="35">
        <v>2780000</v>
      </c>
      <c r="AB478" s="35">
        <v>108325</v>
      </c>
      <c r="AC478" s="35">
        <v>0</v>
      </c>
      <c r="AD478" s="35">
        <v>0</v>
      </c>
      <c r="AE478" s="12" t="s">
        <v>86</v>
      </c>
      <c r="AF478" s="12" t="s">
        <v>87</v>
      </c>
      <c r="AG478" s="18">
        <v>66.61</v>
      </c>
      <c r="AH478" s="12" t="s">
        <v>259</v>
      </c>
      <c r="AI478" s="12" t="s">
        <v>89</v>
      </c>
      <c r="AJ478" s="12" t="s">
        <v>89</v>
      </c>
      <c r="AK478" s="12" t="s">
        <v>89</v>
      </c>
      <c r="AL478" s="12" t="s">
        <v>89</v>
      </c>
      <c r="AM478" s="12" t="s">
        <v>91</v>
      </c>
      <c r="AN478" s="17" t="s">
        <v>92</v>
      </c>
    </row>
    <row r="479" spans="1:40">
      <c r="A479" s="12" t="s">
        <v>1619</v>
      </c>
      <c r="B479" s="12" t="s">
        <v>1608</v>
      </c>
      <c r="C479" s="12" t="s">
        <v>1620</v>
      </c>
      <c r="D479" s="12" t="s">
        <v>89</v>
      </c>
      <c r="E479" s="12" t="s">
        <v>1128</v>
      </c>
      <c r="F479" s="12" t="s">
        <v>1621</v>
      </c>
      <c r="G479" s="12" t="s">
        <v>808</v>
      </c>
      <c r="H479" s="34" t="s">
        <v>1622</v>
      </c>
      <c r="I479" s="12" t="s">
        <v>82</v>
      </c>
      <c r="J479" s="12" t="s">
        <v>83</v>
      </c>
      <c r="K479" s="18">
        <v>0</v>
      </c>
      <c r="L479" s="18">
        <v>0</v>
      </c>
      <c r="M479" s="12" t="s">
        <v>84</v>
      </c>
      <c r="N479" s="35">
        <v>2400</v>
      </c>
      <c r="O479" s="35">
        <v>2400</v>
      </c>
      <c r="P479" s="35">
        <v>2400</v>
      </c>
      <c r="Q479" s="35">
        <v>2400</v>
      </c>
      <c r="R479" s="18">
        <f>N479-O479</f>
        <v>0.0</v>
      </c>
      <c r="S479" s="18">
        <f>O479-P479</f>
        <v>0.0</v>
      </c>
      <c r="T479" s="18">
        <f>N479-Q479</f>
        <v>0.0</v>
      </c>
      <c r="U479" s="36">
        <f>IF(N479&gt;0,Q479/N479,0)</f>
        <v>1.0</v>
      </c>
      <c r="V479" s="35">
        <v>48568596.86</v>
      </c>
      <c r="W479" s="35">
        <v>3625779.83</v>
      </c>
      <c r="X479" s="36">
        <v>0.07465276051625265</v>
      </c>
      <c r="Y479" s="35">
        <v>18887232</v>
      </c>
      <c r="Z479" s="17" t="s">
        <v>327</v>
      </c>
      <c r="AA479" s="35">
        <v>5730000</v>
      </c>
      <c r="AB479" s="35">
        <v>7379001</v>
      </c>
      <c r="AC479" s="35">
        <v>1300000</v>
      </c>
      <c r="AD479" s="35">
        <v>1500000</v>
      </c>
      <c r="AE479" s="12" t="s">
        <v>86</v>
      </c>
      <c r="AF479" s="12" t="s">
        <v>87</v>
      </c>
      <c r="AG479" s="18">
        <v>-1</v>
      </c>
      <c r="AH479" s="12" t="s">
        <v>169</v>
      </c>
      <c r="AI479" s="12" t="s">
        <v>89</v>
      </c>
      <c r="AJ479" s="12" t="s">
        <v>89</v>
      </c>
      <c r="AK479" s="12" t="s">
        <v>89</v>
      </c>
      <c r="AL479" s="12" t="s">
        <v>89</v>
      </c>
      <c r="AM479" s="12" t="s">
        <v>91</v>
      </c>
      <c r="AN479" s="17" t="s">
        <v>92</v>
      </c>
    </row>
    <row r="480" spans="1:40">
      <c r="A480" s="12" t="s">
        <v>1619</v>
      </c>
      <c r="B480" s="12" t="s">
        <v>1608</v>
      </c>
      <c r="C480" s="12" t="s">
        <v>1620</v>
      </c>
      <c r="D480" s="12" t="s">
        <v>89</v>
      </c>
      <c r="E480" s="12" t="s">
        <v>1128</v>
      </c>
      <c r="F480" s="12" t="s">
        <v>1652</v>
      </c>
      <c r="G480" s="12" t="s">
        <v>529</v>
      </c>
      <c r="H480" s="34" t="s">
        <v>1653</v>
      </c>
      <c r="I480" s="12" t="s">
        <v>82</v>
      </c>
      <c r="J480" s="12" t="s">
        <v>106</v>
      </c>
      <c r="K480" s="18">
        <v>0</v>
      </c>
      <c r="L480" s="18">
        <v>0</v>
      </c>
      <c r="M480" s="12" t="s">
        <v>121</v>
      </c>
      <c r="N480" s="35">
        <v>2081</v>
      </c>
      <c r="O480" s="35">
        <v>2080.85</v>
      </c>
      <c r="P480" s="35">
        <v>2080.85</v>
      </c>
      <c r="Q480" s="35">
        <v>2080.85</v>
      </c>
      <c r="R480" s="18">
        <f>N480-O480</f>
        <v>0.15000000000009095</v>
      </c>
      <c r="S480" s="18">
        <f>O480-P480</f>
        <v>0.0</v>
      </c>
      <c r="T480" s="18">
        <f>N480-Q480</f>
        <v>0.15000000000009095</v>
      </c>
      <c r="U480" s="36">
        <f>IF(N480&gt;0,Q480/N480,0)</f>
        <v>0.9999279192695819</v>
      </c>
      <c r="V480" s="35">
        <v>30010512.63</v>
      </c>
      <c r="W480" s="35">
        <v>28528403.91</v>
      </c>
      <c r="X480" s="36">
        <v>0.9506136820029388</v>
      </c>
      <c r="Y480" s="35">
        <v>34081</v>
      </c>
      <c r="Z480" s="17" t="s">
        <v>1654</v>
      </c>
      <c r="AA480" s="35">
        <v>20000</v>
      </c>
      <c r="AB480" s="35">
        <v>0</v>
      </c>
      <c r="AC480" s="35">
        <v>0</v>
      </c>
      <c r="AD480" s="35">
        <v>0</v>
      </c>
      <c r="AE480" s="12" t="s">
        <v>313</v>
      </c>
      <c r="AF480" s="12" t="s">
        <v>314</v>
      </c>
      <c r="AG480" s="18">
        <v>97.26000000000001</v>
      </c>
      <c r="AH480" s="12" t="s">
        <v>182</v>
      </c>
      <c r="AI480" s="12" t="s">
        <v>89</v>
      </c>
      <c r="AJ480" s="12" t="s">
        <v>89</v>
      </c>
      <c r="AK480" s="12" t="s">
        <v>89</v>
      </c>
      <c r="AL480" s="12" t="s">
        <v>89</v>
      </c>
      <c r="AM480" s="12" t="s">
        <v>91</v>
      </c>
      <c r="AN480" s="17" t="s">
        <v>92</v>
      </c>
    </row>
    <row r="481" spans="1:40">
      <c r="A481" s="12" t="s">
        <v>1619</v>
      </c>
      <c r="B481" s="12" t="s">
        <v>1608</v>
      </c>
      <c r="C481" s="12" t="s">
        <v>1620</v>
      </c>
      <c r="D481" s="12" t="s">
        <v>89</v>
      </c>
      <c r="E481" s="12" t="s">
        <v>1128</v>
      </c>
      <c r="F481" s="12" t="s">
        <v>1631</v>
      </c>
      <c r="G481" s="12" t="s">
        <v>398</v>
      </c>
      <c r="H481" s="34" t="s">
        <v>1632</v>
      </c>
      <c r="I481" s="12" t="s">
        <v>82</v>
      </c>
      <c r="J481" s="12" t="s">
        <v>106</v>
      </c>
      <c r="K481" s="18">
        <v>0</v>
      </c>
      <c r="L481" s="18">
        <v>0</v>
      </c>
      <c r="M481" s="12" t="s">
        <v>121</v>
      </c>
      <c r="N481" s="35">
        <v>1097</v>
      </c>
      <c r="O481" s="35">
        <v>1096.07</v>
      </c>
      <c r="P481" s="35">
        <v>1096.07</v>
      </c>
      <c r="Q481" s="35">
        <v>1096.07</v>
      </c>
      <c r="R481" s="18">
        <f>N481-O481</f>
        <v>0.9300000000000637</v>
      </c>
      <c r="S481" s="18">
        <f>O481-P481</f>
        <v>0.0</v>
      </c>
      <c r="T481" s="18">
        <f>N481-Q481</f>
        <v>0.9300000000000637</v>
      </c>
      <c r="U481" s="36">
        <f>IF(N481&gt;0,Q481/N481,0)</f>
        <v>0.9991522333637192</v>
      </c>
      <c r="V481" s="35">
        <v>52914975.17</v>
      </c>
      <c r="W481" s="35">
        <v>51919743.67</v>
      </c>
      <c r="X481" s="36">
        <v>0.9811918743833363</v>
      </c>
      <c r="Y481" s="35">
        <v>7624937</v>
      </c>
      <c r="Z481" s="17" t="s">
        <v>1385</v>
      </c>
      <c r="AA481" s="35">
        <v>1750000</v>
      </c>
      <c r="AB481" s="35">
        <v>0</v>
      </c>
      <c r="AC481" s="35">
        <v>0</v>
      </c>
      <c r="AD481" s="35">
        <v>0</v>
      </c>
      <c r="AE481" s="12" t="s">
        <v>86</v>
      </c>
      <c r="AF481" s="12" t="s">
        <v>87</v>
      </c>
      <c r="AG481" s="18">
        <v>84.67</v>
      </c>
      <c r="AH481" s="12" t="s">
        <v>182</v>
      </c>
      <c r="AI481" s="12" t="s">
        <v>89</v>
      </c>
      <c r="AJ481" s="12" t="s">
        <v>89</v>
      </c>
      <c r="AK481" s="12" t="s">
        <v>89</v>
      </c>
      <c r="AL481" s="12" t="s">
        <v>89</v>
      </c>
      <c r="AM481" s="12" t="s">
        <v>91</v>
      </c>
      <c r="AN481" s="17" t="s">
        <v>92</v>
      </c>
    </row>
    <row r="482" spans="1:40">
      <c r="A482" s="12" t="s">
        <v>1619</v>
      </c>
      <c r="B482" s="12" t="s">
        <v>1608</v>
      </c>
      <c r="C482" s="12" t="s">
        <v>1620</v>
      </c>
      <c r="D482" s="12" t="s">
        <v>89</v>
      </c>
      <c r="E482" s="12" t="s">
        <v>1128</v>
      </c>
      <c r="F482" s="12" t="s">
        <v>1655</v>
      </c>
      <c r="G482" s="12" t="s">
        <v>1656</v>
      </c>
      <c r="H482" s="34" t="s">
        <v>1657</v>
      </c>
      <c r="I482" s="12" t="s">
        <v>82</v>
      </c>
      <c r="J482" s="12" t="s">
        <v>149</v>
      </c>
      <c r="K482" s="18">
        <v>0</v>
      </c>
      <c r="L482" s="18">
        <v>0</v>
      </c>
      <c r="M482" s="12" t="s">
        <v>150</v>
      </c>
      <c r="N482" s="35">
        <v>0</v>
      </c>
      <c r="O482" s="35">
        <v>0</v>
      </c>
      <c r="P482" s="35">
        <v>0</v>
      </c>
      <c r="Q482" s="35">
        <v>0</v>
      </c>
      <c r="R482" s="18">
        <f>N482-O482</f>
        <v>0.0</v>
      </c>
      <c r="S482" s="18">
        <f>O482-P482</f>
        <v>0.0</v>
      </c>
      <c r="T482" s="18">
        <f>N482-Q482</f>
        <v>0.0</v>
      </c>
      <c r="U482" s="36">
        <f>IF(N482&gt;0,Q482/N482,0)</f>
        <v>0</v>
      </c>
      <c r="V482" s="35">
        <v>25835525.31</v>
      </c>
      <c r="W482" s="35">
        <v>562513.21</v>
      </c>
      <c r="X482" s="36">
        <v>0.02177285746081855</v>
      </c>
      <c r="Y482" s="17" t="s">
        <v>151</v>
      </c>
      <c r="Z482" s="17" t="s">
        <v>1385</v>
      </c>
      <c r="AA482" s="35">
        <v>1315000</v>
      </c>
      <c r="AB482" s="35">
        <v>0</v>
      </c>
      <c r="AC482" s="35">
        <v>0</v>
      </c>
      <c r="AD482" s="35">
        <v>0</v>
      </c>
      <c r="AE482" s="12" t="s">
        <v>203</v>
      </c>
      <c r="AF482" s="12" t="s">
        <v>87</v>
      </c>
      <c r="AG482" s="18">
        <v>-1</v>
      </c>
      <c r="AH482" s="12" t="s">
        <v>182</v>
      </c>
      <c r="AI482" s="12" t="s">
        <v>89</v>
      </c>
      <c r="AJ482" s="12" t="s">
        <v>89</v>
      </c>
      <c r="AK482" s="12" t="s">
        <v>89</v>
      </c>
      <c r="AL482" s="12" t="s">
        <v>89</v>
      </c>
      <c r="AM482" s="12" t="s">
        <v>91</v>
      </c>
      <c r="AN482" s="17" t="s">
        <v>92</v>
      </c>
    </row>
    <row r="483" spans="1:40">
      <c r="A483" s="12" t="s">
        <v>1619</v>
      </c>
      <c r="B483" s="12" t="s">
        <v>1608</v>
      </c>
      <c r="C483" s="12" t="s">
        <v>1620</v>
      </c>
      <c r="D483" s="12" t="s">
        <v>89</v>
      </c>
      <c r="E483" s="12" t="s">
        <v>1128</v>
      </c>
      <c r="F483" s="12" t="s">
        <v>1655</v>
      </c>
      <c r="G483" s="12" t="s">
        <v>1658</v>
      </c>
      <c r="H483" s="34" t="s">
        <v>1657</v>
      </c>
      <c r="I483" s="12" t="s">
        <v>82</v>
      </c>
      <c r="J483" s="12" t="s">
        <v>149</v>
      </c>
      <c r="K483" s="18">
        <v>0</v>
      </c>
      <c r="L483" s="18">
        <v>0</v>
      </c>
      <c r="M483" s="12" t="s">
        <v>150</v>
      </c>
      <c r="N483" s="35">
        <v>0</v>
      </c>
      <c r="O483" s="35">
        <v>0</v>
      </c>
      <c r="P483" s="35">
        <v>0</v>
      </c>
      <c r="Q483" s="35">
        <v>0</v>
      </c>
      <c r="R483" s="18">
        <f>N483-O483</f>
        <v>0.0</v>
      </c>
      <c r="S483" s="18">
        <f>O483-P483</f>
        <v>0.0</v>
      </c>
      <c r="T483" s="18">
        <f>N483-Q483</f>
        <v>0.0</v>
      </c>
      <c r="U483" s="36">
        <f>IF(N483&gt;0,Q483/N483,0)</f>
        <v>0</v>
      </c>
      <c r="V483" s="35">
        <v>25835525.31</v>
      </c>
      <c r="W483" s="35">
        <v>562513.21</v>
      </c>
      <c r="X483" s="36">
        <v>0.02177285746081855</v>
      </c>
      <c r="Y483" s="17" t="s">
        <v>151</v>
      </c>
      <c r="Z483" s="17" t="s">
        <v>1385</v>
      </c>
      <c r="AA483" s="35">
        <v>1315000</v>
      </c>
      <c r="AB483" s="35">
        <v>0</v>
      </c>
      <c r="AC483" s="35">
        <v>0</v>
      </c>
      <c r="AD483" s="35">
        <v>0</v>
      </c>
      <c r="AE483" s="12" t="s">
        <v>203</v>
      </c>
      <c r="AF483" s="12" t="s">
        <v>87</v>
      </c>
      <c r="AG483" s="18">
        <v>-1</v>
      </c>
      <c r="AH483" s="12" t="s">
        <v>182</v>
      </c>
      <c r="AI483" s="12" t="s">
        <v>89</v>
      </c>
      <c r="AJ483" s="12" t="s">
        <v>89</v>
      </c>
      <c r="AK483" s="12" t="s">
        <v>89</v>
      </c>
      <c r="AL483" s="12" t="s">
        <v>89</v>
      </c>
      <c r="AM483" s="12" t="s">
        <v>91</v>
      </c>
      <c r="AN483" s="17" t="s">
        <v>92</v>
      </c>
    </row>
    <row r="484" spans="1:40">
      <c r="A484" s="12" t="s">
        <v>1619</v>
      </c>
      <c r="B484" s="12" t="s">
        <v>1608</v>
      </c>
      <c r="C484" s="12" t="s">
        <v>1620</v>
      </c>
      <c r="D484" s="12" t="s">
        <v>89</v>
      </c>
      <c r="E484" s="12" t="s">
        <v>353</v>
      </c>
      <c r="F484" s="12" t="s">
        <v>1659</v>
      </c>
      <c r="G484" s="12" t="s">
        <v>1660</v>
      </c>
      <c r="H484" s="34" t="s">
        <v>1661</v>
      </c>
      <c r="I484" s="12" t="s">
        <v>162</v>
      </c>
      <c r="J484" s="12" t="s">
        <v>149</v>
      </c>
      <c r="K484" s="18">
        <v>0</v>
      </c>
      <c r="L484" s="18">
        <v>0</v>
      </c>
      <c r="M484" s="12" t="s">
        <v>150</v>
      </c>
      <c r="N484" s="35">
        <v>0</v>
      </c>
      <c r="O484" s="35">
        <v>0</v>
      </c>
      <c r="P484" s="35">
        <v>0</v>
      </c>
      <c r="Q484" s="35">
        <v>0</v>
      </c>
      <c r="R484" s="18">
        <f>N484-O484</f>
        <v>0.0</v>
      </c>
      <c r="S484" s="18">
        <f>O484-P484</f>
        <v>0.0</v>
      </c>
      <c r="T484" s="18">
        <f>N484-Q484</f>
        <v>0.0</v>
      </c>
      <c r="U484" s="36">
        <f>IF(N484&gt;0,Q484/N484,0)</f>
        <v>0</v>
      </c>
      <c r="V484" s="35">
        <v>10076667</v>
      </c>
      <c r="W484" s="35">
        <v>2276132.74</v>
      </c>
      <c r="X484" s="36">
        <v>0.2258815082407705</v>
      </c>
      <c r="Y484" s="17" t="s">
        <v>151</v>
      </c>
      <c r="Z484" s="17" t="s">
        <v>1385</v>
      </c>
      <c r="AA484" s="35">
        <v>50000</v>
      </c>
      <c r="AB484" s="35">
        <v>27160</v>
      </c>
      <c r="AC484" s="35">
        <v>200000</v>
      </c>
      <c r="AD484" s="35">
        <v>200000</v>
      </c>
      <c r="AE484" s="12" t="s">
        <v>86</v>
      </c>
      <c r="AF484" s="12" t="s">
        <v>87</v>
      </c>
      <c r="AG484" s="18">
        <v>5.79</v>
      </c>
      <c r="AH484" s="12" t="s">
        <v>145</v>
      </c>
      <c r="AI484" s="12" t="s">
        <v>89</v>
      </c>
      <c r="AJ484" s="12" t="s">
        <v>89</v>
      </c>
      <c r="AK484" s="12" t="s">
        <v>89</v>
      </c>
      <c r="AL484" s="12" t="s">
        <v>89</v>
      </c>
      <c r="AM484" s="12" t="s">
        <v>91</v>
      </c>
      <c r="AN484" s="17" t="s">
        <v>92</v>
      </c>
    </row>
    <row r="485" spans="1:40">
      <c r="A485" s="12" t="s">
        <v>1619</v>
      </c>
      <c r="B485" s="12" t="s">
        <v>1608</v>
      </c>
      <c r="C485" s="12" t="s">
        <v>1620</v>
      </c>
      <c r="D485" s="12" t="s">
        <v>89</v>
      </c>
      <c r="E485" s="12" t="s">
        <v>1128</v>
      </c>
      <c r="F485" s="12" t="s">
        <v>1644</v>
      </c>
      <c r="G485" s="12" t="s">
        <v>1613</v>
      </c>
      <c r="H485" s="34" t="s">
        <v>1645</v>
      </c>
      <c r="I485" s="12" t="s">
        <v>82</v>
      </c>
      <c r="J485" s="12" t="s">
        <v>149</v>
      </c>
      <c r="K485" s="18">
        <v>0</v>
      </c>
      <c r="L485" s="18">
        <v>0</v>
      </c>
      <c r="M485" s="12" t="s">
        <v>150</v>
      </c>
      <c r="N485" s="35">
        <v>0</v>
      </c>
      <c r="O485" s="35">
        <v>0</v>
      </c>
      <c r="P485" s="35">
        <v>0</v>
      </c>
      <c r="Q485" s="35">
        <v>0</v>
      </c>
      <c r="R485" s="18">
        <f>N485-O485</f>
        <v>0.0</v>
      </c>
      <c r="S485" s="18">
        <f>O485-P485</f>
        <v>0.0</v>
      </c>
      <c r="T485" s="18">
        <f>N485-Q485</f>
        <v>0.0</v>
      </c>
      <c r="U485" s="36">
        <f>IF(N485&gt;0,Q485/N485,0)</f>
        <v>0</v>
      </c>
      <c r="V485" s="35">
        <v>26892462.91</v>
      </c>
      <c r="W485" s="35">
        <v>721592.1899999999</v>
      </c>
      <c r="X485" s="36">
        <v>0.02683250665492876</v>
      </c>
      <c r="Y485" s="35">
        <v>267289</v>
      </c>
      <c r="Z485" s="17" t="s">
        <v>85</v>
      </c>
      <c r="AA485" s="35">
        <v>7834316</v>
      </c>
      <c r="AB485" s="35">
        <v>8107762</v>
      </c>
      <c r="AC485" s="35">
        <v>700000</v>
      </c>
      <c r="AD485" s="35">
        <v>900000</v>
      </c>
      <c r="AE485" s="12" t="s">
        <v>86</v>
      </c>
      <c r="AF485" s="12" t="s">
        <v>87</v>
      </c>
      <c r="AG485" s="18">
        <v>-1</v>
      </c>
      <c r="AH485" s="12" t="s">
        <v>182</v>
      </c>
      <c r="AI485" s="12" t="s">
        <v>89</v>
      </c>
      <c r="AJ485" s="12" t="s">
        <v>89</v>
      </c>
      <c r="AK485" s="12" t="s">
        <v>89</v>
      </c>
      <c r="AL485" s="12" t="s">
        <v>89</v>
      </c>
      <c r="AM485" s="12" t="s">
        <v>91</v>
      </c>
      <c r="AN485" s="17" t="s">
        <v>92</v>
      </c>
    </row>
    <row r="486" spans="1:40">
      <c r="A486" s="12" t="s">
        <v>1619</v>
      </c>
      <c r="B486" s="12" t="s">
        <v>1608</v>
      </c>
      <c r="C486" s="12" t="s">
        <v>1620</v>
      </c>
      <c r="D486" s="12" t="s">
        <v>89</v>
      </c>
      <c r="E486" s="12" t="s">
        <v>1128</v>
      </c>
      <c r="F486" s="12" t="s">
        <v>1642</v>
      </c>
      <c r="G486" s="12" t="s">
        <v>1662</v>
      </c>
      <c r="H486" s="34" t="s">
        <v>1643</v>
      </c>
      <c r="I486" s="12" t="s">
        <v>82</v>
      </c>
      <c r="J486" s="12" t="s">
        <v>149</v>
      </c>
      <c r="K486" s="18">
        <v>0</v>
      </c>
      <c r="L486" s="18">
        <v>0</v>
      </c>
      <c r="M486" s="12" t="s">
        <v>150</v>
      </c>
      <c r="N486" s="35">
        <v>0</v>
      </c>
      <c r="O486" s="35">
        <v>0</v>
      </c>
      <c r="P486" s="35">
        <v>0</v>
      </c>
      <c r="Q486" s="35">
        <v>0</v>
      </c>
      <c r="R486" s="18">
        <f>N486-O486</f>
        <v>0.0</v>
      </c>
      <c r="S486" s="18">
        <f>O486-P486</f>
        <v>0.0</v>
      </c>
      <c r="T486" s="18">
        <f>N486-Q486</f>
        <v>0.0</v>
      </c>
      <c r="U486" s="36">
        <f>IF(N486&gt;0,Q486/N486,0)</f>
        <v>0</v>
      </c>
      <c r="V486" s="35">
        <v>42038935.16</v>
      </c>
      <c r="W486" s="35">
        <v>690829.12</v>
      </c>
      <c r="X486" s="36">
        <v>0.01643307846335088</v>
      </c>
      <c r="Y486" s="35">
        <v>855253</v>
      </c>
      <c r="Z486" s="17" t="s">
        <v>113</v>
      </c>
      <c r="AA486" s="35">
        <v>6500000</v>
      </c>
      <c r="AB486" s="35">
        <v>4715948</v>
      </c>
      <c r="AC486" s="35">
        <v>5327000</v>
      </c>
      <c r="AD486" s="35">
        <v>7815000</v>
      </c>
      <c r="AE486" s="12" t="s">
        <v>86</v>
      </c>
      <c r="AF486" s="12" t="s">
        <v>87</v>
      </c>
      <c r="AG486" s="18">
        <v>-1</v>
      </c>
      <c r="AH486" s="12" t="s">
        <v>182</v>
      </c>
      <c r="AI486" s="12" t="s">
        <v>89</v>
      </c>
      <c r="AJ486" s="12" t="s">
        <v>89</v>
      </c>
      <c r="AK486" s="12" t="s">
        <v>89</v>
      </c>
      <c r="AL486" s="12" t="s">
        <v>89</v>
      </c>
      <c r="AM486" s="12" t="s">
        <v>91</v>
      </c>
      <c r="AN486" s="17" t="s">
        <v>92</v>
      </c>
    </row>
    <row r="487" spans="1:40">
      <c r="A487" s="12" t="s">
        <v>1663</v>
      </c>
      <c r="B487" s="12" t="s">
        <v>1608</v>
      </c>
      <c r="C487" s="12" t="s">
        <v>1664</v>
      </c>
      <c r="D487" s="12" t="s">
        <v>89</v>
      </c>
      <c r="E487" s="12" t="s">
        <v>1128</v>
      </c>
      <c r="F487" s="12" t="s">
        <v>1665</v>
      </c>
      <c r="G487" s="12" t="s">
        <v>1359</v>
      </c>
      <c r="H487" s="34" t="s">
        <v>1666</v>
      </c>
      <c r="I487" s="12" t="s">
        <v>82</v>
      </c>
      <c r="J487" s="12" t="s">
        <v>83</v>
      </c>
      <c r="K487" s="18">
        <v>0</v>
      </c>
      <c r="L487" s="18">
        <v>0</v>
      </c>
      <c r="M487" s="12" t="s">
        <v>84</v>
      </c>
      <c r="N487" s="35">
        <v>10473026</v>
      </c>
      <c r="O487" s="35">
        <v>10350810.32</v>
      </c>
      <c r="P487" s="35">
        <v>9421739.599999998</v>
      </c>
      <c r="Q487" s="35">
        <v>8610776.949999999</v>
      </c>
      <c r="R487" s="18">
        <f>N487-O487</f>
        <v>122215.6799999997</v>
      </c>
      <c r="S487" s="18">
        <f>O487-P487</f>
        <v>929070.7200000025</v>
      </c>
      <c r="T487" s="18">
        <f>N487-Q487</f>
        <v>1862249.0500000007</v>
      </c>
      <c r="U487" s="36">
        <f>IF(N487&gt;0,Q487/N487,0)</f>
        <v>0.8221861523116623</v>
      </c>
      <c r="V487" s="35">
        <v>31330146.86</v>
      </c>
      <c r="W487" s="35">
        <v>15595170.93</v>
      </c>
      <c r="X487" s="36">
        <v>0.4977688422492125</v>
      </c>
      <c r="Y487" s="35">
        <v>16473026</v>
      </c>
      <c r="Z487" s="17" t="s">
        <v>327</v>
      </c>
      <c r="AA487" s="35">
        <v>3820398</v>
      </c>
      <c r="AB487" s="35">
        <v>9531185</v>
      </c>
      <c r="AC487" s="35">
        <v>1200000</v>
      </c>
      <c r="AD487" s="35">
        <v>610419</v>
      </c>
      <c r="AE487" s="12" t="s">
        <v>86</v>
      </c>
      <c r="AF487" s="12" t="s">
        <v>87</v>
      </c>
      <c r="AG487" s="18">
        <v>45.81</v>
      </c>
      <c r="AH487" s="12" t="s">
        <v>514</v>
      </c>
      <c r="AI487" s="12" t="s">
        <v>89</v>
      </c>
      <c r="AJ487" s="12" t="s">
        <v>89</v>
      </c>
      <c r="AK487" s="12" t="s">
        <v>89</v>
      </c>
      <c r="AL487" s="12" t="s">
        <v>89</v>
      </c>
      <c r="AM487" s="12" t="s">
        <v>91</v>
      </c>
      <c r="AN487" s="17" t="s">
        <v>92</v>
      </c>
    </row>
    <row r="488" spans="1:40">
      <c r="A488" s="12" t="s">
        <v>1663</v>
      </c>
      <c r="B488" s="12" t="s">
        <v>1608</v>
      </c>
      <c r="C488" s="12" t="s">
        <v>1664</v>
      </c>
      <c r="D488" s="12" t="s">
        <v>89</v>
      </c>
      <c r="E488" s="12" t="s">
        <v>1128</v>
      </c>
      <c r="F488" s="12" t="s">
        <v>1667</v>
      </c>
      <c r="G488" s="12" t="s">
        <v>1370</v>
      </c>
      <c r="H488" s="34" t="s">
        <v>1668</v>
      </c>
      <c r="I488" s="12" t="s">
        <v>82</v>
      </c>
      <c r="J488" s="12" t="s">
        <v>83</v>
      </c>
      <c r="K488" s="18">
        <v>0</v>
      </c>
      <c r="L488" s="18">
        <v>0</v>
      </c>
      <c r="M488" s="12" t="s">
        <v>84</v>
      </c>
      <c r="N488" s="35">
        <v>5701948</v>
      </c>
      <c r="O488" s="35">
        <v>5522663</v>
      </c>
      <c r="P488" s="35">
        <v>4679313.660000001</v>
      </c>
      <c r="Q488" s="35">
        <v>2802264.63</v>
      </c>
      <c r="R488" s="18">
        <f>N488-O488</f>
        <v>179285.0</v>
      </c>
      <c r="S488" s="18">
        <f>O488-P488</f>
        <v>843349.3399999989</v>
      </c>
      <c r="T488" s="18">
        <f>N488-Q488</f>
        <v>2899683.37</v>
      </c>
      <c r="U488" s="36">
        <f>IF(N488&gt;0,Q488/N488,0)</f>
        <v>0.49145741595679227</v>
      </c>
      <c r="V488" s="35">
        <v>28147151.16</v>
      </c>
      <c r="W488" s="35">
        <v>3046987.65</v>
      </c>
      <c r="X488" s="36">
        <v>0.1082520796751212</v>
      </c>
      <c r="Y488" s="35">
        <v>14701948</v>
      </c>
      <c r="Z488" s="17" t="s">
        <v>327</v>
      </c>
      <c r="AA488" s="35">
        <v>5141948</v>
      </c>
      <c r="AB488" s="35">
        <v>7818572</v>
      </c>
      <c r="AC488" s="35">
        <v>2825581</v>
      </c>
      <c r="AD488" s="35">
        <v>9181810</v>
      </c>
      <c r="AE488" s="12" t="s">
        <v>86</v>
      </c>
      <c r="AF488" s="12" t="s">
        <v>87</v>
      </c>
      <c r="AG488" s="18">
        <v>2.7</v>
      </c>
      <c r="AH488" s="12" t="s">
        <v>1669</v>
      </c>
      <c r="AI488" s="12" t="s">
        <v>89</v>
      </c>
      <c r="AJ488" s="12" t="s">
        <v>89</v>
      </c>
      <c r="AK488" s="12" t="s">
        <v>89</v>
      </c>
      <c r="AL488" s="12" t="s">
        <v>89</v>
      </c>
      <c r="AM488" s="12" t="s">
        <v>91</v>
      </c>
      <c r="AN488" s="17" t="s">
        <v>92</v>
      </c>
    </row>
    <row r="489" spans="1:40">
      <c r="A489" s="12" t="s">
        <v>1663</v>
      </c>
      <c r="B489" s="12" t="s">
        <v>1608</v>
      </c>
      <c r="C489" s="12" t="s">
        <v>1664</v>
      </c>
      <c r="D489" s="12" t="s">
        <v>89</v>
      </c>
      <c r="E489" s="12" t="s">
        <v>1128</v>
      </c>
      <c r="F489" s="12" t="s">
        <v>1670</v>
      </c>
      <c r="G489" s="12" t="s">
        <v>1634</v>
      </c>
      <c r="H489" s="34" t="s">
        <v>1671</v>
      </c>
      <c r="I489" s="12" t="s">
        <v>82</v>
      </c>
      <c r="J489" s="12" t="s">
        <v>106</v>
      </c>
      <c r="K489" s="18">
        <v>0</v>
      </c>
      <c r="L489" s="18">
        <v>0</v>
      </c>
      <c r="M489" s="12" t="s">
        <v>121</v>
      </c>
      <c r="N489" s="35">
        <v>2603149</v>
      </c>
      <c r="O489" s="35">
        <v>2600805.44</v>
      </c>
      <c r="P489" s="35">
        <v>2600730.439999999</v>
      </c>
      <c r="Q489" s="35">
        <v>2578514.239999999</v>
      </c>
      <c r="R489" s="18">
        <f>N489-O489</f>
        <v>2343.560000000056</v>
      </c>
      <c r="S489" s="18">
        <f>O489-P489</f>
        <v>75.00000000046566</v>
      </c>
      <c r="T489" s="18">
        <f>N489-Q489</f>
        <v>24634.760000000708</v>
      </c>
      <c r="U489" s="36">
        <f>IF(N489&gt;0,Q489/N489,0)</f>
        <v>0.9905365539967168</v>
      </c>
      <c r="V489" s="35">
        <v>81661957.97</v>
      </c>
      <c r="W489" s="35">
        <v>75338469.66</v>
      </c>
      <c r="X489" s="36">
        <v>0.922565066192473</v>
      </c>
      <c r="Y489" s="35">
        <v>3882438</v>
      </c>
      <c r="Z489" s="17" t="s">
        <v>85</v>
      </c>
      <c r="AA489" s="35">
        <v>6632458</v>
      </c>
      <c r="AB489" s="35">
        <v>451100</v>
      </c>
      <c r="AC489" s="35">
        <v>500000</v>
      </c>
      <c r="AD489" s="35">
        <v>500000</v>
      </c>
      <c r="AE489" s="12" t="s">
        <v>86</v>
      </c>
      <c r="AF489" s="12" t="s">
        <v>87</v>
      </c>
      <c r="AG489" s="18">
        <v>97.33</v>
      </c>
      <c r="AH489" s="12" t="s">
        <v>1672</v>
      </c>
      <c r="AI489" s="12" t="s">
        <v>89</v>
      </c>
      <c r="AJ489" s="12" t="s">
        <v>89</v>
      </c>
      <c r="AK489" s="12" t="s">
        <v>89</v>
      </c>
      <c r="AL489" s="12" t="s">
        <v>89</v>
      </c>
      <c r="AM489" s="12" t="s">
        <v>91</v>
      </c>
      <c r="AN489" s="17" t="s">
        <v>92</v>
      </c>
    </row>
    <row r="490" spans="1:40">
      <c r="A490" s="12" t="s">
        <v>1663</v>
      </c>
      <c r="B490" s="12" t="s">
        <v>1608</v>
      </c>
      <c r="C490" s="12" t="s">
        <v>1664</v>
      </c>
      <c r="D490" s="12" t="s">
        <v>89</v>
      </c>
      <c r="E490" s="12" t="s">
        <v>1128</v>
      </c>
      <c r="F490" s="12" t="s">
        <v>1670</v>
      </c>
      <c r="G490" s="12" t="s">
        <v>564</v>
      </c>
      <c r="H490" s="34" t="s">
        <v>1671</v>
      </c>
      <c r="I490" s="12" t="s">
        <v>82</v>
      </c>
      <c r="J490" s="12" t="s">
        <v>106</v>
      </c>
      <c r="K490" s="18">
        <v>0</v>
      </c>
      <c r="L490" s="18">
        <v>0</v>
      </c>
      <c r="M490" s="12" t="s">
        <v>121</v>
      </c>
      <c r="N490" s="35">
        <v>1279289</v>
      </c>
      <c r="O490" s="35">
        <v>1150930.2</v>
      </c>
      <c r="P490" s="35">
        <v>1150636.74</v>
      </c>
      <c r="Q490" s="35">
        <v>1143186.01</v>
      </c>
      <c r="R490" s="18">
        <f>N490-O490</f>
        <v>128358.80000000005</v>
      </c>
      <c r="S490" s="18">
        <f>O490-P490</f>
        <v>293.45999999996275</v>
      </c>
      <c r="T490" s="18">
        <f>N490-Q490</f>
        <v>136102.99</v>
      </c>
      <c r="U490" s="36">
        <f>IF(N490&gt;0,Q490/N490,0)</f>
        <v>0.8936104429882537</v>
      </c>
      <c r="V490" s="35">
        <v>81661957.97</v>
      </c>
      <c r="W490" s="35">
        <v>75338469.66</v>
      </c>
      <c r="X490" s="36">
        <v>0.922565066192473</v>
      </c>
      <c r="Y490" s="35">
        <v>3882438</v>
      </c>
      <c r="Z490" s="17" t="s">
        <v>85</v>
      </c>
      <c r="AA490" s="35">
        <v>6632458</v>
      </c>
      <c r="AB490" s="35">
        <v>451100</v>
      </c>
      <c r="AC490" s="35">
        <v>500000</v>
      </c>
      <c r="AD490" s="35">
        <v>500000</v>
      </c>
      <c r="AE490" s="12" t="s">
        <v>86</v>
      </c>
      <c r="AF490" s="12" t="s">
        <v>87</v>
      </c>
      <c r="AG490" s="18">
        <v>97.33</v>
      </c>
      <c r="AH490" s="12" t="s">
        <v>136</v>
      </c>
      <c r="AI490" s="12" t="s">
        <v>89</v>
      </c>
      <c r="AJ490" s="12" t="s">
        <v>89</v>
      </c>
      <c r="AK490" s="12" t="s">
        <v>89</v>
      </c>
      <c r="AL490" s="12" t="s">
        <v>89</v>
      </c>
      <c r="AM490" s="12" t="s">
        <v>91</v>
      </c>
      <c r="AN490" s="17" t="s">
        <v>92</v>
      </c>
    </row>
    <row r="491" spans="1:40">
      <c r="A491" s="12" t="s">
        <v>1663</v>
      </c>
      <c r="B491" s="12" t="s">
        <v>1608</v>
      </c>
      <c r="C491" s="12" t="s">
        <v>1664</v>
      </c>
      <c r="D491" s="12" t="s">
        <v>89</v>
      </c>
      <c r="E491" s="12" t="s">
        <v>1128</v>
      </c>
      <c r="F491" s="12" t="s">
        <v>1673</v>
      </c>
      <c r="G491" s="12" t="s">
        <v>80</v>
      </c>
      <c r="H491" s="34" t="s">
        <v>1674</v>
      </c>
      <c r="I491" s="12" t="s">
        <v>82</v>
      </c>
      <c r="J491" s="12" t="s">
        <v>106</v>
      </c>
      <c r="K491" s="18">
        <v>0</v>
      </c>
      <c r="L491" s="18">
        <v>0</v>
      </c>
      <c r="M491" s="12" t="s">
        <v>267</v>
      </c>
      <c r="N491" s="35">
        <v>30000</v>
      </c>
      <c r="O491" s="35">
        <v>0</v>
      </c>
      <c r="P491" s="35">
        <v>0</v>
      </c>
      <c r="Q491" s="35">
        <v>0</v>
      </c>
      <c r="R491" s="18">
        <f>N491-O491</f>
        <v>30000.0</v>
      </c>
      <c r="S491" s="18">
        <f>O491-P491</f>
        <v>0.0</v>
      </c>
      <c r="T491" s="18">
        <f>N491-Q491</f>
        <v>30000.0</v>
      </c>
      <c r="U491" s="36">
        <f>IF(N491&gt;0,Q491/N491,0)</f>
        <v>0.0</v>
      </c>
      <c r="V491" s="35">
        <v>42541461.85</v>
      </c>
      <c r="W491" s="35">
        <v>40276296.89</v>
      </c>
      <c r="X491" s="36">
        <v>0.9467539463503415</v>
      </c>
      <c r="Y491" s="35">
        <v>30000</v>
      </c>
      <c r="Z491" s="17" t="s">
        <v>85</v>
      </c>
      <c r="AA491" s="35">
        <v>2215165</v>
      </c>
      <c r="AB491" s="35">
        <v>30192</v>
      </c>
      <c r="AC491" s="35">
        <v>745055</v>
      </c>
      <c r="AD491" s="35">
        <v>1459918</v>
      </c>
      <c r="AE491" s="12" t="s">
        <v>86</v>
      </c>
      <c r="AF491" s="12" t="s">
        <v>87</v>
      </c>
      <c r="AG491" s="18">
        <v>95.12</v>
      </c>
      <c r="AH491" s="12" t="s">
        <v>145</v>
      </c>
      <c r="AI491" s="12" t="s">
        <v>89</v>
      </c>
      <c r="AJ491" s="12" t="s">
        <v>89</v>
      </c>
      <c r="AK491" s="12" t="s">
        <v>89</v>
      </c>
      <c r="AL491" s="12" t="s">
        <v>89</v>
      </c>
      <c r="AM491" s="12" t="s">
        <v>91</v>
      </c>
      <c r="AN491" s="17" t="s">
        <v>92</v>
      </c>
    </row>
    <row r="492" spans="1:40">
      <c r="A492" s="12" t="s">
        <v>1663</v>
      </c>
      <c r="B492" s="12" t="s">
        <v>1608</v>
      </c>
      <c r="C492" s="12" t="s">
        <v>1664</v>
      </c>
      <c r="D492" s="12" t="s">
        <v>89</v>
      </c>
      <c r="E492" s="12" t="s">
        <v>1128</v>
      </c>
      <c r="F492" s="12" t="s">
        <v>1675</v>
      </c>
      <c r="G492" s="12" t="s">
        <v>1559</v>
      </c>
      <c r="H492" s="34" t="s">
        <v>1676</v>
      </c>
      <c r="I492" s="12" t="s">
        <v>82</v>
      </c>
      <c r="J492" s="12" t="s">
        <v>149</v>
      </c>
      <c r="K492" s="18">
        <v>0</v>
      </c>
      <c r="L492" s="18">
        <v>0</v>
      </c>
      <c r="M492" s="12" t="s">
        <v>150</v>
      </c>
      <c r="N492" s="35">
        <v>0</v>
      </c>
      <c r="O492" s="35">
        <v>0</v>
      </c>
      <c r="P492" s="35">
        <v>0</v>
      </c>
      <c r="Q492" s="35">
        <v>0</v>
      </c>
      <c r="R492" s="18">
        <f>N492-O492</f>
        <v>0.0</v>
      </c>
      <c r="S492" s="18">
        <f>O492-P492</f>
        <v>0.0</v>
      </c>
      <c r="T492" s="18">
        <f>N492-Q492</f>
        <v>0.0</v>
      </c>
      <c r="U492" s="36">
        <f>IF(N492&gt;0,Q492/N492,0)</f>
        <v>0</v>
      </c>
      <c r="V492" s="35">
        <v>32949276.98</v>
      </c>
      <c r="W492" s="35">
        <v>156228.06</v>
      </c>
      <c r="X492" s="36">
        <v>0.004741471568399799</v>
      </c>
      <c r="Y492" s="17" t="s">
        <v>151</v>
      </c>
      <c r="Z492" s="17" t="s">
        <v>1677</v>
      </c>
      <c r="AA492" s="35">
        <v>500000</v>
      </c>
      <c r="AB492" s="35">
        <v>0</v>
      </c>
      <c r="AC492" s="35">
        <v>0</v>
      </c>
      <c r="AD492" s="35">
        <v>0</v>
      </c>
      <c r="AE492" s="12" t="s">
        <v>203</v>
      </c>
      <c r="AF492" s="12" t="s">
        <v>87</v>
      </c>
      <c r="AG492" s="18">
        <v>-1</v>
      </c>
      <c r="AH492" s="12" t="s">
        <v>136</v>
      </c>
      <c r="AI492" s="12" t="s">
        <v>89</v>
      </c>
      <c r="AJ492" s="12" t="s">
        <v>89</v>
      </c>
      <c r="AK492" s="12" t="s">
        <v>89</v>
      </c>
      <c r="AL492" s="12" t="s">
        <v>89</v>
      </c>
      <c r="AM492" s="12" t="s">
        <v>91</v>
      </c>
      <c r="AN492" s="17" t="s">
        <v>92</v>
      </c>
    </row>
    <row r="493" spans="1:40">
      <c r="A493" s="12" t="s">
        <v>1678</v>
      </c>
      <c r="B493" s="12" t="s">
        <v>1608</v>
      </c>
      <c r="C493" s="12" t="s">
        <v>1679</v>
      </c>
      <c r="D493" s="12" t="s">
        <v>89</v>
      </c>
      <c r="E493" s="12" t="s">
        <v>1128</v>
      </c>
      <c r="F493" s="12" t="s">
        <v>1680</v>
      </c>
      <c r="G493" s="12" t="s">
        <v>214</v>
      </c>
      <c r="H493" s="34" t="s">
        <v>1681</v>
      </c>
      <c r="I493" s="12" t="s">
        <v>82</v>
      </c>
      <c r="J493" s="12" t="s">
        <v>83</v>
      </c>
      <c r="K493" s="18">
        <v>0</v>
      </c>
      <c r="L493" s="18">
        <v>0</v>
      </c>
      <c r="M493" s="12" t="s">
        <v>84</v>
      </c>
      <c r="N493" s="35">
        <v>7439155</v>
      </c>
      <c r="O493" s="35">
        <v>6176396.639999999</v>
      </c>
      <c r="P493" s="35">
        <v>5945652.51</v>
      </c>
      <c r="Q493" s="35">
        <v>5504731.600000001</v>
      </c>
      <c r="R493" s="18">
        <f>N493-O493</f>
        <v>1262758.3600000013</v>
      </c>
      <c r="S493" s="18">
        <f>O493-P493</f>
        <v>230744.12999999896</v>
      </c>
      <c r="T493" s="18">
        <f>N493-Q493</f>
        <v>1934423.3999999994</v>
      </c>
      <c r="U493" s="36">
        <f>IF(N493&gt;0,Q493/N493,0)</f>
        <v>0.7399673215573543</v>
      </c>
      <c r="V493" s="35">
        <v>33315749.89</v>
      </c>
      <c r="W493" s="35">
        <v>7458385.49</v>
      </c>
      <c r="X493" s="36">
        <v>0.22386965668267</v>
      </c>
      <c r="Y493" s="35">
        <v>14391503.08</v>
      </c>
      <c r="Z493" s="17" t="s">
        <v>98</v>
      </c>
      <c r="AA493" s="35">
        <v>500000</v>
      </c>
      <c r="AB493" s="35">
        <v>4356339</v>
      </c>
      <c r="AC493" s="35">
        <v>4468789</v>
      </c>
      <c r="AD493" s="35">
        <v>15297612</v>
      </c>
      <c r="AE493" s="12" t="s">
        <v>86</v>
      </c>
      <c r="AF493" s="12" t="s">
        <v>87</v>
      </c>
      <c r="AG493" s="18">
        <v>10.77</v>
      </c>
      <c r="AH493" s="12" t="s">
        <v>514</v>
      </c>
      <c r="AI493" s="12" t="s">
        <v>89</v>
      </c>
      <c r="AJ493" s="12" t="s">
        <v>89</v>
      </c>
      <c r="AK493" s="12" t="s">
        <v>89</v>
      </c>
      <c r="AL493" s="12" t="s">
        <v>89</v>
      </c>
      <c r="AM493" s="12" t="s">
        <v>91</v>
      </c>
      <c r="AN493" s="17" t="s">
        <v>92</v>
      </c>
    </row>
    <row r="494" spans="1:40">
      <c r="A494" s="12" t="s">
        <v>1678</v>
      </c>
      <c r="B494" s="12" t="s">
        <v>1608</v>
      </c>
      <c r="C494" s="12" t="s">
        <v>1679</v>
      </c>
      <c r="D494" s="12" t="s">
        <v>89</v>
      </c>
      <c r="E494" s="12" t="s">
        <v>1128</v>
      </c>
      <c r="F494" s="12" t="s">
        <v>1682</v>
      </c>
      <c r="G494" s="12" t="s">
        <v>1559</v>
      </c>
      <c r="H494" s="34" t="s">
        <v>1683</v>
      </c>
      <c r="I494" s="12" t="s">
        <v>82</v>
      </c>
      <c r="J494" s="12" t="s">
        <v>83</v>
      </c>
      <c r="K494" s="18">
        <v>0</v>
      </c>
      <c r="L494" s="18">
        <v>0</v>
      </c>
      <c r="M494" s="12" t="s">
        <v>84</v>
      </c>
      <c r="N494" s="35">
        <v>4417847</v>
      </c>
      <c r="O494" s="35">
        <v>4295083.77</v>
      </c>
      <c r="P494" s="35">
        <v>4149509.42</v>
      </c>
      <c r="Q494" s="35">
        <v>3703840.530000001</v>
      </c>
      <c r="R494" s="18">
        <f>N494-O494</f>
        <v>122763.23000000045</v>
      </c>
      <c r="S494" s="18">
        <f>O494-P494</f>
        <v>145574.34999999963</v>
      </c>
      <c r="T494" s="18">
        <f>N494-Q494</f>
        <v>714006.4699999993</v>
      </c>
      <c r="U494" s="36">
        <f>IF(N494&gt;0,Q494/N494,0)</f>
        <v>0.8383813495578277</v>
      </c>
      <c r="V494" s="35">
        <v>50827856.54</v>
      </c>
      <c r="W494" s="35">
        <v>32268148.14</v>
      </c>
      <c r="X494" s="36">
        <v>0.6348516411390659</v>
      </c>
      <c r="Y494" s="35">
        <v>4417847</v>
      </c>
      <c r="Z494" s="17" t="s">
        <v>236</v>
      </c>
      <c r="AA494" s="35">
        <v>8534000</v>
      </c>
      <c r="AB494" s="35">
        <v>7018517</v>
      </c>
      <c r="AC494" s="35">
        <v>6966429</v>
      </c>
      <c r="AD494" s="35">
        <v>5165856</v>
      </c>
      <c r="AE494" s="12" t="s">
        <v>86</v>
      </c>
      <c r="AF494" s="12" t="s">
        <v>87</v>
      </c>
      <c r="AG494" s="18">
        <v>68.98999999999999</v>
      </c>
      <c r="AH494" s="12" t="s">
        <v>274</v>
      </c>
      <c r="AI494" s="12" t="s">
        <v>89</v>
      </c>
      <c r="AJ494" s="12" t="s">
        <v>89</v>
      </c>
      <c r="AK494" s="12" t="s">
        <v>89</v>
      </c>
      <c r="AL494" s="12" t="s">
        <v>89</v>
      </c>
      <c r="AM494" s="12" t="s">
        <v>91</v>
      </c>
      <c r="AN494" s="17" t="s">
        <v>92</v>
      </c>
    </row>
    <row r="495" spans="1:40">
      <c r="A495" s="12" t="s">
        <v>1678</v>
      </c>
      <c r="B495" s="12" t="s">
        <v>1608</v>
      </c>
      <c r="C495" s="12" t="s">
        <v>1679</v>
      </c>
      <c r="D495" s="12" t="s">
        <v>89</v>
      </c>
      <c r="E495" s="12" t="s">
        <v>1128</v>
      </c>
      <c r="F495" s="12" t="s">
        <v>1684</v>
      </c>
      <c r="G495" s="12" t="s">
        <v>421</v>
      </c>
      <c r="H495" s="34" t="s">
        <v>1685</v>
      </c>
      <c r="I495" s="12" t="s">
        <v>82</v>
      </c>
      <c r="J495" s="12" t="s">
        <v>106</v>
      </c>
      <c r="K495" s="18">
        <v>0</v>
      </c>
      <c r="L495" s="18">
        <v>0</v>
      </c>
      <c r="M495" s="12" t="s">
        <v>121</v>
      </c>
      <c r="N495" s="35">
        <v>2000000</v>
      </c>
      <c r="O495" s="35">
        <v>1999999.53</v>
      </c>
      <c r="P495" s="35">
        <v>1984655.58</v>
      </c>
      <c r="Q495" s="35">
        <v>1956578.22</v>
      </c>
      <c r="R495" s="18">
        <f>N495-O495</f>
        <v>0.4699999999720603</v>
      </c>
      <c r="S495" s="18">
        <f>O495-P495</f>
        <v>15343.949999999953</v>
      </c>
      <c r="T495" s="18">
        <f>N495-Q495</f>
        <v>43421.779999999795</v>
      </c>
      <c r="U495" s="36">
        <f>IF(N495&gt;0,Q495/N495,0)</f>
        <v>0.9782891100000001</v>
      </c>
      <c r="V495" s="35">
        <v>32438518.93</v>
      </c>
      <c r="W495" s="35">
        <v>31683827.08</v>
      </c>
      <c r="X495" s="36">
        <v>0.9767347007541074</v>
      </c>
      <c r="Y495" s="35">
        <v>2000000</v>
      </c>
      <c r="Z495" s="17" t="s">
        <v>113</v>
      </c>
      <c r="AA495" s="35">
        <v>2000000</v>
      </c>
      <c r="AB495" s="35">
        <v>37016</v>
      </c>
      <c r="AC495" s="35">
        <v>0</v>
      </c>
      <c r="AD495" s="35">
        <v>0</v>
      </c>
      <c r="AE495" s="12" t="s">
        <v>86</v>
      </c>
      <c r="AF495" s="12" t="s">
        <v>87</v>
      </c>
      <c r="AG495" s="18">
        <v>95.84999999999999</v>
      </c>
      <c r="AH495" s="12" t="s">
        <v>1686</v>
      </c>
      <c r="AI495" s="12" t="s">
        <v>89</v>
      </c>
      <c r="AJ495" s="12" t="s">
        <v>89</v>
      </c>
      <c r="AK495" s="12" t="s">
        <v>89</v>
      </c>
      <c r="AL495" s="12" t="s">
        <v>89</v>
      </c>
      <c r="AM495" s="12" t="s">
        <v>91</v>
      </c>
      <c r="AN495" s="17" t="s">
        <v>92</v>
      </c>
    </row>
    <row r="496" spans="1:40">
      <c r="A496" s="12" t="s">
        <v>1678</v>
      </c>
      <c r="B496" s="12" t="s">
        <v>1608</v>
      </c>
      <c r="C496" s="12" t="s">
        <v>1679</v>
      </c>
      <c r="D496" s="12" t="s">
        <v>89</v>
      </c>
      <c r="E496" s="12" t="s">
        <v>1128</v>
      </c>
      <c r="F496" s="12" t="s">
        <v>1687</v>
      </c>
      <c r="G496" s="12" t="s">
        <v>512</v>
      </c>
      <c r="H496" s="34" t="s">
        <v>1688</v>
      </c>
      <c r="I496" s="12" t="s">
        <v>82</v>
      </c>
      <c r="J496" s="12" t="s">
        <v>83</v>
      </c>
      <c r="K496" s="18">
        <v>0</v>
      </c>
      <c r="L496" s="18">
        <v>0</v>
      </c>
      <c r="M496" s="12" t="s">
        <v>84</v>
      </c>
      <c r="N496" s="35">
        <v>431850</v>
      </c>
      <c r="O496" s="35">
        <v>285110</v>
      </c>
      <c r="P496" s="35">
        <v>38979</v>
      </c>
      <c r="Q496" s="35">
        <v>0</v>
      </c>
      <c r="R496" s="18">
        <f>N496-O496</f>
        <v>146740.0</v>
      </c>
      <c r="S496" s="18">
        <f>O496-P496</f>
        <v>246131.0</v>
      </c>
      <c r="T496" s="18">
        <f>N496-Q496</f>
        <v>431850.0</v>
      </c>
      <c r="U496" s="36">
        <f>IF(N496&gt;0,Q496/N496,0)</f>
        <v>0.0</v>
      </c>
      <c r="V496" s="35">
        <v>42700489.35</v>
      </c>
      <c r="W496" s="35">
        <v>277943.91</v>
      </c>
      <c r="X496" s="36">
        <v>0.006509150462464195</v>
      </c>
      <c r="Y496" s="35">
        <v>500000</v>
      </c>
      <c r="Z496" s="17" t="s">
        <v>1385</v>
      </c>
      <c r="AA496" s="35">
        <v>500000</v>
      </c>
      <c r="AB496" s="35">
        <v>0</v>
      </c>
      <c r="AC496" s="35">
        <v>0</v>
      </c>
      <c r="AD496" s="35">
        <v>0</v>
      </c>
      <c r="AE496" s="12" t="s">
        <v>86</v>
      </c>
      <c r="AF496" s="12" t="s">
        <v>87</v>
      </c>
      <c r="AG496" s="18">
        <v>0</v>
      </c>
      <c r="AH496" s="12" t="s">
        <v>1689</v>
      </c>
      <c r="AI496" s="12" t="s">
        <v>89</v>
      </c>
      <c r="AJ496" s="12" t="s">
        <v>89</v>
      </c>
      <c r="AK496" s="12" t="s">
        <v>89</v>
      </c>
      <c r="AL496" s="12" t="s">
        <v>89</v>
      </c>
      <c r="AM496" s="12" t="s">
        <v>91</v>
      </c>
      <c r="AN496" s="17" t="s">
        <v>92</v>
      </c>
    </row>
    <row r="497" spans="1:40">
      <c r="A497" s="12" t="s">
        <v>1678</v>
      </c>
      <c r="B497" s="12" t="s">
        <v>1608</v>
      </c>
      <c r="C497" s="12" t="s">
        <v>1679</v>
      </c>
      <c r="D497" s="12" t="s">
        <v>89</v>
      </c>
      <c r="E497" s="12" t="s">
        <v>353</v>
      </c>
      <c r="F497" s="12" t="s">
        <v>1569</v>
      </c>
      <c r="G497" s="12" t="s">
        <v>805</v>
      </c>
      <c r="H497" s="34" t="s">
        <v>1640</v>
      </c>
      <c r="I497" s="12" t="s">
        <v>1123</v>
      </c>
      <c r="J497" s="12" t="s">
        <v>1124</v>
      </c>
      <c r="K497" s="18">
        <v>63648.5</v>
      </c>
      <c r="L497" s="18">
        <v>0</v>
      </c>
      <c r="M497" s="12" t="s">
        <v>1125</v>
      </c>
      <c r="N497" s="35">
        <v>133500</v>
      </c>
      <c r="O497" s="35">
        <v>69851.5</v>
      </c>
      <c r="P497" s="35">
        <v>69851.5</v>
      </c>
      <c r="Q497" s="35">
        <v>35800.5</v>
      </c>
      <c r="R497" s="18">
        <f>N497-O497</f>
        <v>63648.5</v>
      </c>
      <c r="S497" s="18">
        <f>O497-P497</f>
        <v>0.0</v>
      </c>
      <c r="T497" s="18">
        <f>N497-Q497</f>
        <v>97699.5</v>
      </c>
      <c r="U497" s="36">
        <f>IF(N497&gt;0,Q497/N497,0)</f>
        <v>0.26816853932584267</v>
      </c>
      <c r="V497" s="17" t="s">
        <v>151</v>
      </c>
      <c r="W497" s="17" t="s">
        <v>151</v>
      </c>
      <c r="X497" s="17" t="s">
        <v>151</v>
      </c>
      <c r="Y497" s="17" t="s">
        <v>151</v>
      </c>
      <c r="Z497" s="17" t="s">
        <v>89</v>
      </c>
      <c r="AA497" s="12" t="s">
        <v>99</v>
      </c>
      <c r="AB497" s="12" t="s">
        <v>99</v>
      </c>
      <c r="AC497" s="12" t="s">
        <v>99</v>
      </c>
      <c r="AD497" s="12" t="s">
        <v>99</v>
      </c>
      <c r="AE497" s="12" t="s">
        <v>89</v>
      </c>
      <c r="AF497" s="12" t="s">
        <v>89</v>
      </c>
      <c r="AG497" s="17" t="s">
        <v>151</v>
      </c>
      <c r="AH497" s="12" t="s">
        <v>1126</v>
      </c>
      <c r="AI497" s="12" t="s">
        <v>89</v>
      </c>
      <c r="AJ497" s="12" t="s">
        <v>89</v>
      </c>
      <c r="AK497" s="12" t="s">
        <v>89</v>
      </c>
      <c r="AL497" s="12" t="s">
        <v>89</v>
      </c>
      <c r="AM497" s="12" t="s">
        <v>89</v>
      </c>
      <c r="AN497" s="17" t="s">
        <v>89</v>
      </c>
    </row>
    <row r="498" spans="1:40">
      <c r="A498" s="12" t="s">
        <v>1678</v>
      </c>
      <c r="B498" s="12" t="s">
        <v>1608</v>
      </c>
      <c r="C498" s="12" t="s">
        <v>1679</v>
      </c>
      <c r="D498" s="12" t="s">
        <v>89</v>
      </c>
      <c r="E498" s="12" t="s">
        <v>1128</v>
      </c>
      <c r="F498" s="12" t="s">
        <v>1687</v>
      </c>
      <c r="G498" s="12" t="s">
        <v>1628</v>
      </c>
      <c r="H498" s="34" t="s">
        <v>1688</v>
      </c>
      <c r="I498" s="12" t="s">
        <v>82</v>
      </c>
      <c r="J498" s="12" t="s">
        <v>83</v>
      </c>
      <c r="K498" s="18">
        <v>0</v>
      </c>
      <c r="L498" s="18">
        <v>0</v>
      </c>
      <c r="M498" s="12" t="s">
        <v>84</v>
      </c>
      <c r="N498" s="35">
        <v>68150</v>
      </c>
      <c r="O498" s="35">
        <v>39550</v>
      </c>
      <c r="P498" s="35">
        <v>39550</v>
      </c>
      <c r="Q498" s="35">
        <v>35550</v>
      </c>
      <c r="R498" s="18">
        <f>N498-O498</f>
        <v>28600.0</v>
      </c>
      <c r="S498" s="18">
        <f>O498-P498</f>
        <v>0.0</v>
      </c>
      <c r="T498" s="18">
        <f>N498-Q498</f>
        <v>32600.0</v>
      </c>
      <c r="U498" s="36">
        <f>IF(N498&gt;0,Q498/N498,0)</f>
        <v>0.5216434336023478</v>
      </c>
      <c r="V498" s="35">
        <v>42700489.35</v>
      </c>
      <c r="W498" s="35">
        <v>277943.91</v>
      </c>
      <c r="X498" s="36">
        <v>0.006509150462464195</v>
      </c>
      <c r="Y498" s="35">
        <v>500000</v>
      </c>
      <c r="Z498" s="17" t="s">
        <v>1385</v>
      </c>
      <c r="AA498" s="35">
        <v>500000</v>
      </c>
      <c r="AB498" s="35">
        <v>0</v>
      </c>
      <c r="AC498" s="35">
        <v>0</v>
      </c>
      <c r="AD498" s="35">
        <v>0</v>
      </c>
      <c r="AE498" s="12" t="s">
        <v>86</v>
      </c>
      <c r="AF498" s="12" t="s">
        <v>87</v>
      </c>
      <c r="AG498" s="18">
        <v>0</v>
      </c>
      <c r="AH498" s="12" t="s">
        <v>169</v>
      </c>
      <c r="AI498" s="12" t="s">
        <v>89</v>
      </c>
      <c r="AJ498" s="12" t="s">
        <v>89</v>
      </c>
      <c r="AK498" s="12" t="s">
        <v>89</v>
      </c>
      <c r="AL498" s="12" t="s">
        <v>89</v>
      </c>
      <c r="AM498" s="12" t="s">
        <v>91</v>
      </c>
      <c r="AN498" s="17" t="s">
        <v>92</v>
      </c>
    </row>
    <row r="499" spans="1:40">
      <c r="A499" s="12" t="s">
        <v>1678</v>
      </c>
      <c r="B499" s="12" t="s">
        <v>1608</v>
      </c>
      <c r="C499" s="12" t="s">
        <v>1679</v>
      </c>
      <c r="D499" s="12" t="s">
        <v>89</v>
      </c>
      <c r="E499" s="12" t="s">
        <v>1128</v>
      </c>
      <c r="F499" s="12" t="s">
        <v>1690</v>
      </c>
      <c r="G499" s="12" t="s">
        <v>529</v>
      </c>
      <c r="H499" s="34" t="s">
        <v>1691</v>
      </c>
      <c r="I499" s="12" t="s">
        <v>82</v>
      </c>
      <c r="J499" s="12" t="s">
        <v>106</v>
      </c>
      <c r="K499" s="18">
        <v>0</v>
      </c>
      <c r="L499" s="18">
        <v>0</v>
      </c>
      <c r="M499" s="12" t="s">
        <v>107</v>
      </c>
      <c r="N499" s="35">
        <v>40000</v>
      </c>
      <c r="O499" s="35">
        <v>0</v>
      </c>
      <c r="P499" s="35">
        <v>0</v>
      </c>
      <c r="Q499" s="35">
        <v>0</v>
      </c>
      <c r="R499" s="18">
        <f>N499-O499</f>
        <v>40000.0</v>
      </c>
      <c r="S499" s="18">
        <f>O499-P499</f>
        <v>0.0</v>
      </c>
      <c r="T499" s="18">
        <f>N499-Q499</f>
        <v>40000.0</v>
      </c>
      <c r="U499" s="36">
        <f>IF(N499&gt;0,Q499/N499,0)</f>
        <v>0.0</v>
      </c>
      <c r="V499" s="35">
        <v>23831516.16</v>
      </c>
      <c r="W499" s="35">
        <v>22501378.01</v>
      </c>
      <c r="X499" s="36">
        <v>0.9441857521330276</v>
      </c>
      <c r="Y499" s="35">
        <v>40000</v>
      </c>
      <c r="Z499" s="17" t="s">
        <v>113</v>
      </c>
      <c r="AA499" s="12" t="s">
        <v>99</v>
      </c>
      <c r="AB499" s="12" t="s">
        <v>99</v>
      </c>
      <c r="AC499" s="12" t="s">
        <v>99</v>
      </c>
      <c r="AD499" s="12" t="s">
        <v>99</v>
      </c>
      <c r="AE499" s="12" t="s">
        <v>86</v>
      </c>
      <c r="AF499" s="12" t="s">
        <v>87</v>
      </c>
      <c r="AG499" s="18">
        <v>97.31999999999999</v>
      </c>
      <c r="AH499" s="12" t="s">
        <v>145</v>
      </c>
      <c r="AI499" s="12" t="s">
        <v>89</v>
      </c>
      <c r="AJ499" s="12" t="s">
        <v>89</v>
      </c>
      <c r="AK499" s="12" t="s">
        <v>89</v>
      </c>
      <c r="AL499" s="12" t="s">
        <v>89</v>
      </c>
      <c r="AM499" s="12" t="s">
        <v>91</v>
      </c>
      <c r="AN499" s="17" t="s">
        <v>87</v>
      </c>
    </row>
    <row r="500" spans="1:40">
      <c r="A500" s="12" t="s">
        <v>1678</v>
      </c>
      <c r="B500" s="12" t="s">
        <v>1608</v>
      </c>
      <c r="C500" s="12" t="s">
        <v>1679</v>
      </c>
      <c r="D500" s="12" t="s">
        <v>89</v>
      </c>
      <c r="E500" s="12" t="s">
        <v>1128</v>
      </c>
      <c r="F500" s="12" t="s">
        <v>1692</v>
      </c>
      <c r="G500" s="12" t="s">
        <v>404</v>
      </c>
      <c r="H500" s="34" t="s">
        <v>1693</v>
      </c>
      <c r="I500" s="12" t="s">
        <v>82</v>
      </c>
      <c r="J500" s="12" t="s">
        <v>106</v>
      </c>
      <c r="K500" s="18">
        <v>0</v>
      </c>
      <c r="L500" s="18">
        <v>0</v>
      </c>
      <c r="M500" s="12" t="s">
        <v>175</v>
      </c>
      <c r="N500" s="35">
        <v>30892</v>
      </c>
      <c r="O500" s="35">
        <v>30000</v>
      </c>
      <c r="P500" s="35">
        <v>30000</v>
      </c>
      <c r="Q500" s="35">
        <v>0</v>
      </c>
      <c r="R500" s="18">
        <f>N500-O500</f>
        <v>892.0</v>
      </c>
      <c r="S500" s="18">
        <f>O500-P500</f>
        <v>0.0</v>
      </c>
      <c r="T500" s="18">
        <f>N500-Q500</f>
        <v>30892.0</v>
      </c>
      <c r="U500" s="36">
        <f>IF(N500&gt;0,Q500/N500,0)</f>
        <v>0.0</v>
      </c>
      <c r="V500" s="35">
        <v>23349312</v>
      </c>
      <c r="W500" s="35">
        <v>22684510.22</v>
      </c>
      <c r="X500" s="36">
        <v>0.9715279927734058</v>
      </c>
      <c r="Y500" s="35">
        <v>770194.24</v>
      </c>
      <c r="Z500" s="17" t="s">
        <v>113</v>
      </c>
      <c r="AA500" s="35">
        <v>770194</v>
      </c>
      <c r="AB500" s="35">
        <v>0</v>
      </c>
      <c r="AC500" s="35">
        <v>0</v>
      </c>
      <c r="AD500" s="35">
        <v>0</v>
      </c>
      <c r="AE500" s="12" t="s">
        <v>86</v>
      </c>
      <c r="AF500" s="12" t="s">
        <v>87</v>
      </c>
      <c r="AG500" s="18">
        <v>93.45999999999999</v>
      </c>
      <c r="AH500" s="12" t="s">
        <v>145</v>
      </c>
      <c r="AI500" s="12" t="s">
        <v>89</v>
      </c>
      <c r="AJ500" s="12" t="s">
        <v>89</v>
      </c>
      <c r="AK500" s="12" t="s">
        <v>89</v>
      </c>
      <c r="AL500" s="12" t="s">
        <v>89</v>
      </c>
      <c r="AM500" s="12" t="s">
        <v>91</v>
      </c>
      <c r="AN500" s="17" t="s">
        <v>92</v>
      </c>
    </row>
    <row r="501" spans="1:40">
      <c r="A501" s="12" t="s">
        <v>1678</v>
      </c>
      <c r="B501" s="12" t="s">
        <v>1608</v>
      </c>
      <c r="C501" s="12" t="s">
        <v>1679</v>
      </c>
      <c r="D501" s="12" t="s">
        <v>89</v>
      </c>
      <c r="E501" s="12" t="s">
        <v>353</v>
      </c>
      <c r="F501" s="12" t="s">
        <v>1694</v>
      </c>
      <c r="G501" s="12" t="s">
        <v>119</v>
      </c>
      <c r="H501" s="34" t="s">
        <v>1695</v>
      </c>
      <c r="I501" s="12" t="s">
        <v>162</v>
      </c>
      <c r="J501" s="12" t="s">
        <v>83</v>
      </c>
      <c r="K501" s="18">
        <v>0</v>
      </c>
      <c r="L501" s="18">
        <v>0</v>
      </c>
      <c r="M501" s="12" t="s">
        <v>84</v>
      </c>
      <c r="N501" s="35">
        <v>20000</v>
      </c>
      <c r="O501" s="35">
        <v>20000</v>
      </c>
      <c r="P501" s="35">
        <v>17500</v>
      </c>
      <c r="Q501" s="35">
        <v>0</v>
      </c>
      <c r="R501" s="18">
        <f>N501-O501</f>
        <v>0.0</v>
      </c>
      <c r="S501" s="18">
        <f>O501-P501</f>
        <v>2500.0</v>
      </c>
      <c r="T501" s="18">
        <f>N501-Q501</f>
        <v>20000.0</v>
      </c>
      <c r="U501" s="36">
        <f>IF(N501&gt;0,Q501/N501,0)</f>
        <v>0.0</v>
      </c>
      <c r="V501" s="35">
        <v>713935.17</v>
      </c>
      <c r="W501" s="35">
        <v>0</v>
      </c>
      <c r="X501" s="36">
        <v>0</v>
      </c>
      <c r="Y501" s="35">
        <v>20000</v>
      </c>
      <c r="Z501" s="17" t="s">
        <v>113</v>
      </c>
      <c r="AA501" s="35">
        <v>20000</v>
      </c>
      <c r="AB501" s="35">
        <v>0</v>
      </c>
      <c r="AC501" s="35">
        <v>0</v>
      </c>
      <c r="AD501" s="35">
        <v>0</v>
      </c>
      <c r="AE501" s="12" t="s">
        <v>86</v>
      </c>
      <c r="AF501" s="12" t="s">
        <v>87</v>
      </c>
      <c r="AG501" s="18">
        <v>-1</v>
      </c>
      <c r="AH501" s="12" t="s">
        <v>169</v>
      </c>
      <c r="AI501" s="12" t="s">
        <v>89</v>
      </c>
      <c r="AJ501" s="12" t="s">
        <v>89</v>
      </c>
      <c r="AK501" s="12" t="s">
        <v>89</v>
      </c>
      <c r="AL501" s="12" t="s">
        <v>89</v>
      </c>
      <c r="AM501" s="12" t="s">
        <v>91</v>
      </c>
      <c r="AN501" s="17" t="s">
        <v>92</v>
      </c>
    </row>
    <row r="502" spans="1:40">
      <c r="A502" s="12" t="s">
        <v>1678</v>
      </c>
      <c r="B502" s="12" t="s">
        <v>1608</v>
      </c>
      <c r="C502" s="12" t="s">
        <v>1679</v>
      </c>
      <c r="D502" s="12" t="s">
        <v>89</v>
      </c>
      <c r="E502" s="12" t="s">
        <v>1128</v>
      </c>
      <c r="F502" s="12" t="s">
        <v>1680</v>
      </c>
      <c r="G502" s="12" t="s">
        <v>1658</v>
      </c>
      <c r="H502" s="34" t="s">
        <v>1681</v>
      </c>
      <c r="I502" s="12" t="s">
        <v>82</v>
      </c>
      <c r="J502" s="12" t="s">
        <v>149</v>
      </c>
      <c r="K502" s="18">
        <v>0</v>
      </c>
      <c r="L502" s="18">
        <v>0</v>
      </c>
      <c r="M502" s="12" t="s">
        <v>150</v>
      </c>
      <c r="N502" s="35">
        <v>0</v>
      </c>
      <c r="O502" s="35">
        <v>0</v>
      </c>
      <c r="P502" s="35">
        <v>0</v>
      </c>
      <c r="Q502" s="35">
        <v>0</v>
      </c>
      <c r="R502" s="18">
        <f>N502-O502</f>
        <v>0.0</v>
      </c>
      <c r="S502" s="18">
        <f>O502-P502</f>
        <v>0.0</v>
      </c>
      <c r="T502" s="18">
        <f>N502-Q502</f>
        <v>0.0</v>
      </c>
      <c r="U502" s="36">
        <f>IF(N502&gt;0,Q502/N502,0)</f>
        <v>0</v>
      </c>
      <c r="V502" s="35">
        <v>33315749.89</v>
      </c>
      <c r="W502" s="35">
        <v>7458385.49</v>
      </c>
      <c r="X502" s="36">
        <v>0.22386965668267</v>
      </c>
      <c r="Y502" s="35">
        <v>14391503.08</v>
      </c>
      <c r="Z502" s="17" t="s">
        <v>98</v>
      </c>
      <c r="AA502" s="35">
        <v>500000</v>
      </c>
      <c r="AB502" s="35">
        <v>4356339</v>
      </c>
      <c r="AC502" s="35">
        <v>4468789</v>
      </c>
      <c r="AD502" s="35">
        <v>15297612</v>
      </c>
      <c r="AE502" s="12" t="s">
        <v>86</v>
      </c>
      <c r="AF502" s="12" t="s">
        <v>87</v>
      </c>
      <c r="AG502" s="18">
        <v>10.77</v>
      </c>
      <c r="AH502" s="12" t="s">
        <v>305</v>
      </c>
      <c r="AI502" s="12" t="s">
        <v>89</v>
      </c>
      <c r="AJ502" s="12" t="s">
        <v>89</v>
      </c>
      <c r="AK502" s="12" t="s">
        <v>89</v>
      </c>
      <c r="AL502" s="12" t="s">
        <v>89</v>
      </c>
      <c r="AM502" s="12" t="s">
        <v>91</v>
      </c>
      <c r="AN502" s="17" t="s">
        <v>92</v>
      </c>
    </row>
    <row r="503" spans="1:40">
      <c r="A503" s="12" t="s">
        <v>1696</v>
      </c>
      <c r="B503" s="12" t="s">
        <v>1608</v>
      </c>
      <c r="C503" s="12" t="s">
        <v>1697</v>
      </c>
      <c r="D503" s="12" t="s">
        <v>89</v>
      </c>
      <c r="E503" s="12" t="s">
        <v>102</v>
      </c>
      <c r="F503" s="12" t="s">
        <v>1067</v>
      </c>
      <c r="G503" s="12" t="s">
        <v>324</v>
      </c>
      <c r="H503" s="34" t="s">
        <v>1069</v>
      </c>
      <c r="I503" s="12" t="s">
        <v>82</v>
      </c>
      <c r="J503" s="12" t="s">
        <v>106</v>
      </c>
      <c r="K503" s="18">
        <v>0</v>
      </c>
      <c r="L503" s="18">
        <v>0</v>
      </c>
      <c r="M503" s="12" t="s">
        <v>181</v>
      </c>
      <c r="N503" s="35">
        <v>32592</v>
      </c>
      <c r="O503" s="35">
        <v>0</v>
      </c>
      <c r="P503" s="35">
        <v>0</v>
      </c>
      <c r="Q503" s="35">
        <v>0</v>
      </c>
      <c r="R503" s="18">
        <f>N503-O503</f>
        <v>32592.0</v>
      </c>
      <c r="S503" s="18">
        <f>O503-P503</f>
        <v>0.0</v>
      </c>
      <c r="T503" s="18">
        <f>N503-Q503</f>
        <v>32592.0</v>
      </c>
      <c r="U503" s="36">
        <f>IF(N503&gt;0,Q503/N503,0)</f>
        <v>0.0</v>
      </c>
      <c r="V503" s="35">
        <v>3850781.29</v>
      </c>
      <c r="W503" s="35">
        <v>3695812.29</v>
      </c>
      <c r="X503" s="36">
        <v>0.9597564784054511</v>
      </c>
      <c r="Y503" s="35">
        <v>154969</v>
      </c>
      <c r="Z503" s="17" t="s">
        <v>122</v>
      </c>
      <c r="AA503" s="35">
        <v>154969</v>
      </c>
      <c r="AB503" s="35">
        <v>0</v>
      </c>
      <c r="AC503" s="35">
        <v>0</v>
      </c>
      <c r="AD503" s="35">
        <v>0</v>
      </c>
      <c r="AE503" s="12" t="s">
        <v>86</v>
      </c>
      <c r="AF503" s="12" t="s">
        <v>87</v>
      </c>
      <c r="AG503" s="18">
        <v>100</v>
      </c>
      <c r="AH503" s="12" t="s">
        <v>109</v>
      </c>
      <c r="AI503" s="12" t="s">
        <v>89</v>
      </c>
      <c r="AJ503" s="12" t="s">
        <v>89</v>
      </c>
      <c r="AK503" s="12" t="s">
        <v>89</v>
      </c>
      <c r="AL503" s="12" t="s">
        <v>89</v>
      </c>
      <c r="AM503" s="12" t="s">
        <v>91</v>
      </c>
      <c r="AN503" s="17" t="s">
        <v>92</v>
      </c>
    </row>
    <row r="504" spans="1:40">
      <c r="A504" s="12" t="s">
        <v>1698</v>
      </c>
      <c r="B504" s="12" t="s">
        <v>1608</v>
      </c>
      <c r="C504" s="12" t="s">
        <v>1699</v>
      </c>
      <c r="D504" s="12" t="s">
        <v>89</v>
      </c>
      <c r="E504" s="12" t="s">
        <v>78</v>
      </c>
      <c r="F504" s="12" t="s">
        <v>1700</v>
      </c>
      <c r="G504" s="12" t="s">
        <v>477</v>
      </c>
      <c r="H504" s="34" t="s">
        <v>1701</v>
      </c>
      <c r="I504" s="12" t="s">
        <v>162</v>
      </c>
      <c r="J504" s="12" t="s">
        <v>106</v>
      </c>
      <c r="K504" s="18">
        <v>0</v>
      </c>
      <c r="L504" s="18">
        <v>0</v>
      </c>
      <c r="M504" s="12" t="s">
        <v>121</v>
      </c>
      <c r="N504" s="35">
        <v>41800</v>
      </c>
      <c r="O504" s="35">
        <v>41500</v>
      </c>
      <c r="P504" s="35">
        <v>41500</v>
      </c>
      <c r="Q504" s="35">
        <v>41500</v>
      </c>
      <c r="R504" s="18">
        <f>N504-O504</f>
        <v>300.0</v>
      </c>
      <c r="S504" s="18">
        <f>O504-P504</f>
        <v>0.0</v>
      </c>
      <c r="T504" s="18">
        <f>N504-Q504</f>
        <v>300.0</v>
      </c>
      <c r="U504" s="36">
        <f>IF(N504&gt;0,Q504/N504,0)</f>
        <v>0.992822966507177</v>
      </c>
      <c r="V504" s="35">
        <v>43800</v>
      </c>
      <c r="W504" s="35">
        <v>41500</v>
      </c>
      <c r="X504" s="36">
        <v>0.9474885844748858</v>
      </c>
      <c r="Y504" s="35">
        <v>43800</v>
      </c>
      <c r="Z504" s="17" t="s">
        <v>85</v>
      </c>
      <c r="AA504" s="35">
        <v>43800</v>
      </c>
      <c r="AB504" s="35">
        <v>0</v>
      </c>
      <c r="AC504" s="35">
        <v>0</v>
      </c>
      <c r="AD504" s="35">
        <v>0</v>
      </c>
      <c r="AE504" s="12" t="s">
        <v>86</v>
      </c>
      <c r="AF504" s="12" t="s">
        <v>190</v>
      </c>
      <c r="AG504" s="18">
        <v>99.28</v>
      </c>
      <c r="AH504" s="12" t="s">
        <v>1119</v>
      </c>
      <c r="AI504" s="12" t="s">
        <v>89</v>
      </c>
      <c r="AJ504" s="12" t="s">
        <v>89</v>
      </c>
      <c r="AK504" s="12" t="s">
        <v>89</v>
      </c>
      <c r="AL504" s="12" t="s">
        <v>89</v>
      </c>
      <c r="AM504" s="12" t="s">
        <v>91</v>
      </c>
      <c r="AN504" s="17" t="s">
        <v>92</v>
      </c>
    </row>
  </sheetData>
  <autoFilter ref="A4:AN504"/>
  <conditionalFormatting sqref="J5:J50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4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70.7109375" customWidth="1"/>
    <col min="3" max="3" width="6.7109375" customWidth="1"/>
    <col min="4" max="12" width="15.7109375" customWidth="1"/>
    <col min="13" max="13" width="62.7109375" customWidth="1"/>
    <col min="14" max="14" width="14.7109375" customWidth="1"/>
  </cols>
  <sheetData>
    <row r="1" spans="1:14">
      <c r="A1" s="19" t="s">
        <v>1772</v>
      </c>
    </row>
    <row r="2" spans="1:14">
      <c r="A2" s="2" t="s">
        <v>1773</v>
      </c>
    </row>
    <row r="4" spans="1:14" ht="36" customHeight="1">
      <c r="A4" s="6" t="s">
        <v>39</v>
      </c>
      <c r="B4" s="6" t="s">
        <v>41</v>
      </c>
      <c r="C4" s="6" t="s">
        <v>34</v>
      </c>
      <c r="D4" s="6" t="s">
        <v>1774</v>
      </c>
      <c r="E4" s="6" t="s">
        <v>1712</v>
      </c>
      <c r="F4" s="6" t="s">
        <v>1713</v>
      </c>
      <c r="G4" s="6" t="s">
        <v>1714</v>
      </c>
      <c r="H4" s="6" t="s">
        <v>1715</v>
      </c>
      <c r="I4" s="6" t="s">
        <v>1716</v>
      </c>
      <c r="J4" s="6" t="s">
        <v>1717</v>
      </c>
      <c r="K4" s="6" t="s">
        <v>1775</v>
      </c>
      <c r="L4" s="6" t="s">
        <v>1776</v>
      </c>
      <c r="M4" s="6" t="s">
        <v>1777</v>
      </c>
      <c r="N4" s="6" t="s">
        <v>1778</v>
      </c>
    </row>
    <row r="5" spans="1:14">
      <c r="A5" s="12" t="s">
        <v>79</v>
      </c>
      <c r="B5" s="12" t="s">
        <v>81</v>
      </c>
      <c r="C5" s="12" t="s">
        <v>74</v>
      </c>
      <c r="D5" s="35">
        <v>167354</v>
      </c>
      <c r="E5" s="35">
        <v>0</v>
      </c>
      <c r="F5" s="35">
        <v>0</v>
      </c>
      <c r="G5" s="35">
        <v>167354</v>
      </c>
      <c r="H5" s="35">
        <v>0</v>
      </c>
      <c r="I5" s="35">
        <v>0</v>
      </c>
      <c r="J5" s="12" t="s">
        <v>89</v>
      </c>
      <c r="K5" s="18">
        <f>SUM(E5:J5)</f>
        <v>167354.0</v>
      </c>
      <c r="L5" s="18">
        <f>D5-K5</f>
        <v>0.0</v>
      </c>
      <c r="M5" s="12" t="s">
        <v>1779</v>
      </c>
      <c r="N5" s="12" t="str">
        <f>C5&amp;"|"&amp;A5</f>
        <v>001|2108576</v>
      </c>
    </row>
    <row r="6" spans="1:14">
      <c r="A6" s="12" t="s">
        <v>93</v>
      </c>
      <c r="B6" s="12" t="s">
        <v>95</v>
      </c>
      <c r="C6" s="12" t="s">
        <v>74</v>
      </c>
      <c r="D6" s="35">
        <v>53759397</v>
      </c>
      <c r="E6" s="35">
        <v>53759397</v>
      </c>
      <c r="F6" s="35">
        <v>0</v>
      </c>
      <c r="G6" s="35">
        <v>0</v>
      </c>
      <c r="H6" s="35">
        <v>0</v>
      </c>
      <c r="I6" s="35">
        <v>0</v>
      </c>
      <c r="J6" s="12" t="s">
        <v>89</v>
      </c>
      <c r="K6" s="18">
        <f>SUM(E6:J6)</f>
        <v>53759397.0</v>
      </c>
      <c r="L6" s="18">
        <f>D6-K6</f>
        <v>0.0</v>
      </c>
      <c r="M6" s="12" t="s">
        <v>1779</v>
      </c>
      <c r="N6" s="12" t="str">
        <f>C6&amp;"|"&amp;A6</f>
        <v>001|2279375</v>
      </c>
    </row>
    <row r="7" spans="1:14">
      <c r="A7" s="12" t="s">
        <v>103</v>
      </c>
      <c r="B7" s="12" t="s">
        <v>105</v>
      </c>
      <c r="C7" s="12" t="s">
        <v>74</v>
      </c>
      <c r="D7" s="35">
        <v>10519577</v>
      </c>
      <c r="E7" s="35">
        <v>0</v>
      </c>
      <c r="F7" s="35">
        <v>0</v>
      </c>
      <c r="G7" s="35">
        <v>10519577</v>
      </c>
      <c r="H7" s="35">
        <v>0</v>
      </c>
      <c r="I7" s="35">
        <v>0</v>
      </c>
      <c r="J7" s="12" t="s">
        <v>89</v>
      </c>
      <c r="K7" s="18">
        <f>SUM(E7:J7)</f>
        <v>10519577.0</v>
      </c>
      <c r="L7" s="18">
        <f>D7-K7</f>
        <v>0.0</v>
      </c>
      <c r="M7" s="12" t="s">
        <v>1779</v>
      </c>
      <c r="N7" s="12" t="str">
        <f>C7&amp;"|"&amp;A7</f>
        <v>001|2323700</v>
      </c>
    </row>
    <row r="8" spans="1:14">
      <c r="A8" s="12" t="s">
        <v>110</v>
      </c>
      <c r="B8" s="12" t="s">
        <v>112</v>
      </c>
      <c r="C8" s="12" t="s">
        <v>74</v>
      </c>
      <c r="D8" s="35">
        <v>10208307</v>
      </c>
      <c r="E8" s="35">
        <v>0</v>
      </c>
      <c r="F8" s="35">
        <v>0</v>
      </c>
      <c r="G8" s="35">
        <v>10208307</v>
      </c>
      <c r="H8" s="35">
        <v>0</v>
      </c>
      <c r="I8" s="35">
        <v>0</v>
      </c>
      <c r="J8" s="12" t="s">
        <v>89</v>
      </c>
      <c r="K8" s="18">
        <f>SUM(E8:J8)</f>
        <v>10208307.0</v>
      </c>
      <c r="L8" s="18">
        <f>D8-K8</f>
        <v>0.0</v>
      </c>
      <c r="M8" s="12" t="s">
        <v>1779</v>
      </c>
      <c r="N8" s="12" t="str">
        <f>C8&amp;"|"&amp;A8</f>
        <v>001|2335880</v>
      </c>
    </row>
    <row r="9" spans="1:14">
      <c r="A9" s="12" t="s">
        <v>115</v>
      </c>
      <c r="B9" s="12" t="s">
        <v>117</v>
      </c>
      <c r="C9" s="12" t="s">
        <v>74</v>
      </c>
      <c r="D9" s="35">
        <v>11203165</v>
      </c>
      <c r="E9" s="35">
        <v>1139986</v>
      </c>
      <c r="F9" s="35">
        <v>0</v>
      </c>
      <c r="G9" s="35">
        <v>10063179</v>
      </c>
      <c r="H9" s="35">
        <v>0</v>
      </c>
      <c r="I9" s="35">
        <v>0</v>
      </c>
      <c r="J9" s="12" t="s">
        <v>89</v>
      </c>
      <c r="K9" s="18">
        <f>SUM(E9:J9)</f>
        <v>11203165.0</v>
      </c>
      <c r="L9" s="18">
        <f>D9-K9</f>
        <v>0.0</v>
      </c>
      <c r="M9" s="12" t="s">
        <v>1779</v>
      </c>
      <c r="N9" s="12" t="str">
        <f>C9&amp;"|"&amp;A9</f>
        <v>001|2521936</v>
      </c>
    </row>
    <row r="10" spans="1:14">
      <c r="A10" s="12" t="s">
        <v>118</v>
      </c>
      <c r="B10" s="12" t="s">
        <v>120</v>
      </c>
      <c r="C10" s="12" t="s">
        <v>74</v>
      </c>
      <c r="D10" s="35">
        <v>2079431</v>
      </c>
      <c r="E10" s="35">
        <v>0</v>
      </c>
      <c r="F10" s="35">
        <v>0</v>
      </c>
      <c r="G10" s="35">
        <v>2079431</v>
      </c>
      <c r="H10" s="35">
        <v>0</v>
      </c>
      <c r="I10" s="35">
        <v>0</v>
      </c>
      <c r="J10" s="12" t="s">
        <v>89</v>
      </c>
      <c r="K10" s="18">
        <f>SUM(E10:J10)</f>
        <v>2079431.0</v>
      </c>
      <c r="L10" s="18">
        <f>D10-K10</f>
        <v>0.0</v>
      </c>
      <c r="M10" s="12" t="s">
        <v>1779</v>
      </c>
      <c r="N10" s="12" t="str">
        <f>C10&amp;"|"&amp;A10</f>
        <v>001|2344324</v>
      </c>
    </row>
    <row r="11" spans="1:14">
      <c r="A11" s="12" t="s">
        <v>123</v>
      </c>
      <c r="B11" s="12" t="s">
        <v>125</v>
      </c>
      <c r="C11" s="12" t="s">
        <v>74</v>
      </c>
      <c r="D11" s="35">
        <v>1425006</v>
      </c>
      <c r="E11" s="35">
        <v>0</v>
      </c>
      <c r="F11" s="35">
        <v>0</v>
      </c>
      <c r="G11" s="35">
        <v>1425006</v>
      </c>
      <c r="H11" s="35">
        <v>0</v>
      </c>
      <c r="I11" s="35">
        <v>0</v>
      </c>
      <c r="J11" s="12" t="s">
        <v>89</v>
      </c>
      <c r="K11" s="18">
        <f>SUM(E11:J11)</f>
        <v>1425006.0</v>
      </c>
      <c r="L11" s="18">
        <f>D11-K11</f>
        <v>0.0</v>
      </c>
      <c r="M11" s="12" t="s">
        <v>1779</v>
      </c>
      <c r="N11" s="12" t="str">
        <f>C11&amp;"|"&amp;A11</f>
        <v>001|2490075</v>
      </c>
    </row>
    <row r="12" spans="1:14">
      <c r="A12" s="12" t="s">
        <v>129</v>
      </c>
      <c r="B12" s="12" t="s">
        <v>131</v>
      </c>
      <c r="C12" s="12" t="s">
        <v>74</v>
      </c>
      <c r="D12" s="35">
        <v>9222405</v>
      </c>
      <c r="E12" s="35">
        <v>0</v>
      </c>
      <c r="F12" s="35">
        <v>0</v>
      </c>
      <c r="G12" s="35">
        <v>9222405</v>
      </c>
      <c r="H12" s="35">
        <v>0</v>
      </c>
      <c r="I12" s="35">
        <v>0</v>
      </c>
      <c r="J12" s="12" t="s">
        <v>89</v>
      </c>
      <c r="K12" s="18">
        <f>SUM(E12:J12)</f>
        <v>9222405.0</v>
      </c>
      <c r="L12" s="18">
        <f>D12-K12</f>
        <v>0.0</v>
      </c>
      <c r="M12" s="12" t="s">
        <v>1779</v>
      </c>
      <c r="N12" s="12" t="str">
        <f>C12&amp;"|"&amp;A12</f>
        <v>001|2570978</v>
      </c>
    </row>
    <row r="13" spans="1:14">
      <c r="A13" s="12" t="s">
        <v>132</v>
      </c>
      <c r="B13" s="12" t="s">
        <v>134</v>
      </c>
      <c r="C13" s="12" t="s">
        <v>74</v>
      </c>
      <c r="D13" s="35">
        <v>5194033</v>
      </c>
      <c r="E13" s="35">
        <v>0</v>
      </c>
      <c r="F13" s="35">
        <v>0</v>
      </c>
      <c r="G13" s="35">
        <v>5194033</v>
      </c>
      <c r="H13" s="35">
        <v>0</v>
      </c>
      <c r="I13" s="35">
        <v>0</v>
      </c>
      <c r="J13" s="12" t="s">
        <v>89</v>
      </c>
      <c r="K13" s="18">
        <f>SUM(E13:J13)</f>
        <v>5194033.0</v>
      </c>
      <c r="L13" s="18">
        <f>D13-K13</f>
        <v>0.0</v>
      </c>
      <c r="M13" s="12" t="s">
        <v>1779</v>
      </c>
      <c r="N13" s="12" t="str">
        <f>C13&amp;"|"&amp;A13</f>
        <v>001|2591926</v>
      </c>
    </row>
    <row r="14" spans="1:14">
      <c r="A14" s="12" t="s">
        <v>137</v>
      </c>
      <c r="B14" s="12" t="s">
        <v>139</v>
      </c>
      <c r="C14" s="12" t="s">
        <v>74</v>
      </c>
      <c r="D14" s="35">
        <v>3656326</v>
      </c>
      <c r="E14" s="35">
        <v>0</v>
      </c>
      <c r="F14" s="35">
        <v>0</v>
      </c>
      <c r="G14" s="35">
        <v>3656326</v>
      </c>
      <c r="H14" s="35">
        <v>0</v>
      </c>
      <c r="I14" s="35">
        <v>0</v>
      </c>
      <c r="J14" s="12" t="s">
        <v>89</v>
      </c>
      <c r="K14" s="18">
        <f>SUM(E14:J14)</f>
        <v>3656326.0</v>
      </c>
      <c r="L14" s="18">
        <f>D14-K14</f>
        <v>0.0</v>
      </c>
      <c r="M14" s="12" t="s">
        <v>1779</v>
      </c>
      <c r="N14" s="12" t="str">
        <f>C14&amp;"|"&amp;A14</f>
        <v>001|2629119</v>
      </c>
    </row>
    <row r="15" spans="1:14">
      <c r="A15" s="12" t="s">
        <v>142</v>
      </c>
      <c r="B15" s="12" t="s">
        <v>144</v>
      </c>
      <c r="C15" s="12" t="s">
        <v>74</v>
      </c>
      <c r="D15" s="35">
        <v>2000000</v>
      </c>
      <c r="E15" s="35">
        <v>0</v>
      </c>
      <c r="F15" s="35">
        <v>0</v>
      </c>
      <c r="G15" s="35">
        <v>2000000</v>
      </c>
      <c r="H15" s="35">
        <v>0</v>
      </c>
      <c r="I15" s="35">
        <v>0</v>
      </c>
      <c r="J15" s="12" t="s">
        <v>89</v>
      </c>
      <c r="K15" s="18">
        <f>SUM(E15:J15)</f>
        <v>2000000.0</v>
      </c>
      <c r="L15" s="18">
        <f>D15-K15</f>
        <v>0.0</v>
      </c>
      <c r="M15" s="12" t="s">
        <v>1779</v>
      </c>
      <c r="N15" s="12" t="str">
        <f>C15&amp;"|"&amp;A15</f>
        <v>001|2539673</v>
      </c>
    </row>
    <row r="16" spans="1:14">
      <c r="A16" s="12" t="s">
        <v>146</v>
      </c>
      <c r="B16" s="12" t="s">
        <v>148</v>
      </c>
      <c r="C16" s="12" t="s">
        <v>74</v>
      </c>
      <c r="D16" s="35">
        <v>0</v>
      </c>
      <c r="E16" s="35">
        <v>0</v>
      </c>
      <c r="F16" s="35">
        <v>0</v>
      </c>
      <c r="G16" s="35">
        <v>0</v>
      </c>
      <c r="H16" s="35">
        <v>0</v>
      </c>
      <c r="I16" s="35">
        <v>0</v>
      </c>
      <c r="J16" s="12" t="s">
        <v>89</v>
      </c>
      <c r="K16" s="18">
        <f>SUM(E16:J16)</f>
        <v>0.0</v>
      </c>
      <c r="L16" s="18">
        <f>D16-K16</f>
        <v>0.0</v>
      </c>
      <c r="M16" s="12" t="s">
        <v>1779</v>
      </c>
      <c r="N16" s="12" t="str">
        <f>C16&amp;"|"&amp;A16</f>
        <v>001|2637985</v>
      </c>
    </row>
    <row r="17" spans="1:14">
      <c r="A17" s="12" t="s">
        <v>152</v>
      </c>
      <c r="B17" s="12" t="s">
        <v>154</v>
      </c>
      <c r="C17" s="12" t="s">
        <v>74</v>
      </c>
      <c r="D17" s="35">
        <v>1861270</v>
      </c>
      <c r="E17" s="35">
        <v>0</v>
      </c>
      <c r="F17" s="35">
        <v>451270</v>
      </c>
      <c r="G17" s="35">
        <v>1410000</v>
      </c>
      <c r="H17" s="35">
        <v>0</v>
      </c>
      <c r="I17" s="35">
        <v>0</v>
      </c>
      <c r="J17" s="12" t="s">
        <v>89</v>
      </c>
      <c r="K17" s="18">
        <f>SUM(E17:J17)</f>
        <v>1861270.0</v>
      </c>
      <c r="L17" s="18">
        <f>D17-K17</f>
        <v>0.0</v>
      </c>
      <c r="M17" s="12" t="s">
        <v>1779</v>
      </c>
      <c r="N17" s="12" t="str">
        <f>C17&amp;"|"&amp;A17</f>
        <v>001|2664940</v>
      </c>
    </row>
    <row r="18" spans="1:14">
      <c r="A18" s="12" t="s">
        <v>156</v>
      </c>
      <c r="B18" s="12" t="s">
        <v>158</v>
      </c>
      <c r="C18" s="12" t="s">
        <v>74</v>
      </c>
      <c r="D18" s="35">
        <v>304829</v>
      </c>
      <c r="E18" s="35">
        <v>0</v>
      </c>
      <c r="F18" s="35">
        <v>0</v>
      </c>
      <c r="G18" s="35">
        <v>304829</v>
      </c>
      <c r="H18" s="35">
        <v>0</v>
      </c>
      <c r="I18" s="35">
        <v>0</v>
      </c>
      <c r="J18" s="12" t="s">
        <v>89</v>
      </c>
      <c r="K18" s="18">
        <f>SUM(E18:J18)</f>
        <v>304829.0</v>
      </c>
      <c r="L18" s="18">
        <f>D18-K18</f>
        <v>0.0</v>
      </c>
      <c r="M18" s="12" t="s">
        <v>1779</v>
      </c>
      <c r="N18" s="12" t="str">
        <f>C18&amp;"|"&amp;A18</f>
        <v>001|2637997</v>
      </c>
    </row>
    <row r="19" spans="1:14">
      <c r="A19" s="12" t="s">
        <v>159</v>
      </c>
      <c r="B19" s="12" t="s">
        <v>161</v>
      </c>
      <c r="C19" s="12" t="s">
        <v>74</v>
      </c>
      <c r="D19" s="35">
        <v>677644</v>
      </c>
      <c r="E19" s="35">
        <v>0</v>
      </c>
      <c r="F19" s="35">
        <v>0</v>
      </c>
      <c r="G19" s="35">
        <v>677644</v>
      </c>
      <c r="H19" s="35">
        <v>0</v>
      </c>
      <c r="I19" s="35">
        <v>0</v>
      </c>
      <c r="J19" s="12" t="s">
        <v>89</v>
      </c>
      <c r="K19" s="18">
        <f>SUM(E19:J19)</f>
        <v>677644.0</v>
      </c>
      <c r="L19" s="18">
        <f>D19-K19</f>
        <v>0.0</v>
      </c>
      <c r="M19" s="12" t="s">
        <v>1779</v>
      </c>
      <c r="N19" s="12" t="str">
        <f>C19&amp;"|"&amp;A19</f>
        <v>001|2650476</v>
      </c>
    </row>
    <row r="20" spans="1:14">
      <c r="A20" s="12" t="s">
        <v>165</v>
      </c>
      <c r="B20" s="12" t="s">
        <v>167</v>
      </c>
      <c r="C20" s="12" t="s">
        <v>74</v>
      </c>
      <c r="D20" s="35">
        <v>492669</v>
      </c>
      <c r="E20" s="35">
        <v>0</v>
      </c>
      <c r="F20" s="35">
        <v>0</v>
      </c>
      <c r="G20" s="35">
        <v>492669</v>
      </c>
      <c r="H20" s="35">
        <v>0</v>
      </c>
      <c r="I20" s="35">
        <v>0</v>
      </c>
      <c r="J20" s="12" t="s">
        <v>89</v>
      </c>
      <c r="K20" s="18">
        <f>SUM(E20:J20)</f>
        <v>492669.0</v>
      </c>
      <c r="L20" s="18">
        <f>D20-K20</f>
        <v>0.0</v>
      </c>
      <c r="M20" s="12" t="s">
        <v>1779</v>
      </c>
      <c r="N20" s="12" t="str">
        <f>C20&amp;"|"&amp;A20</f>
        <v>001|2695845</v>
      </c>
    </row>
    <row r="21" spans="1:14">
      <c r="A21" s="12" t="s">
        <v>172</v>
      </c>
      <c r="B21" s="12" t="s">
        <v>174</v>
      </c>
      <c r="C21" s="12" t="s">
        <v>74</v>
      </c>
      <c r="D21" s="35">
        <v>118539</v>
      </c>
      <c r="E21" s="35">
        <v>0</v>
      </c>
      <c r="F21" s="35">
        <v>0</v>
      </c>
      <c r="G21" s="35">
        <v>118539</v>
      </c>
      <c r="H21" s="35">
        <v>0</v>
      </c>
      <c r="I21" s="35">
        <v>0</v>
      </c>
      <c r="J21" s="12" t="s">
        <v>89</v>
      </c>
      <c r="K21" s="18">
        <f>SUM(E21:J21)</f>
        <v>118539.0</v>
      </c>
      <c r="L21" s="18">
        <f>D21-K21</f>
        <v>0.0</v>
      </c>
      <c r="M21" s="12" t="s">
        <v>1779</v>
      </c>
      <c r="N21" s="12" t="str">
        <f>C21&amp;"|"&amp;A21</f>
        <v>001|2196865</v>
      </c>
    </row>
    <row r="22" spans="1:14">
      <c r="A22" s="12" t="s">
        <v>178</v>
      </c>
      <c r="B22" s="12" t="s">
        <v>180</v>
      </c>
      <c r="C22" s="12" t="s">
        <v>74</v>
      </c>
      <c r="D22" s="35">
        <v>909086</v>
      </c>
      <c r="E22" s="35">
        <v>0</v>
      </c>
      <c r="F22" s="35">
        <v>0</v>
      </c>
      <c r="G22" s="35">
        <v>909086</v>
      </c>
      <c r="H22" s="35">
        <v>0</v>
      </c>
      <c r="I22" s="35">
        <v>0</v>
      </c>
      <c r="J22" s="12" t="s">
        <v>89</v>
      </c>
      <c r="K22" s="18">
        <f>SUM(E22:J22)</f>
        <v>909086.0</v>
      </c>
      <c r="L22" s="18">
        <f>D22-K22</f>
        <v>0.0</v>
      </c>
      <c r="M22" s="12" t="s">
        <v>1779</v>
      </c>
      <c r="N22" s="12" t="str">
        <f>C22&amp;"|"&amp;A22</f>
        <v>001|2301117</v>
      </c>
    </row>
    <row r="23" spans="1:14">
      <c r="A23" s="12" t="s">
        <v>185</v>
      </c>
      <c r="B23" s="12" t="s">
        <v>187</v>
      </c>
      <c r="C23" s="12" t="s">
        <v>74</v>
      </c>
      <c r="D23" s="35">
        <v>23560</v>
      </c>
      <c r="E23" s="35">
        <v>0</v>
      </c>
      <c r="F23" s="35">
        <v>0</v>
      </c>
      <c r="G23" s="35">
        <v>23560</v>
      </c>
      <c r="H23" s="35">
        <v>0</v>
      </c>
      <c r="I23" s="35">
        <v>0</v>
      </c>
      <c r="J23" s="12" t="s">
        <v>89</v>
      </c>
      <c r="K23" s="18">
        <f>SUM(E23:J23)</f>
        <v>23560.0</v>
      </c>
      <c r="L23" s="18">
        <f>D23-K23</f>
        <v>0.0</v>
      </c>
      <c r="M23" s="12" t="s">
        <v>1779</v>
      </c>
      <c r="N23" s="12" t="str">
        <f>C23&amp;"|"&amp;A23</f>
        <v>001|2623682</v>
      </c>
    </row>
    <row r="24" spans="1:14">
      <c r="A24" s="12" t="s">
        <v>191</v>
      </c>
      <c r="B24" s="12" t="s">
        <v>193</v>
      </c>
      <c r="C24" s="12" t="s">
        <v>74</v>
      </c>
      <c r="D24" s="35">
        <v>17714</v>
      </c>
      <c r="E24" s="35">
        <v>0</v>
      </c>
      <c r="F24" s="35">
        <v>0</v>
      </c>
      <c r="G24" s="35">
        <v>17714</v>
      </c>
      <c r="H24" s="35">
        <v>0</v>
      </c>
      <c r="I24" s="35">
        <v>0</v>
      </c>
      <c r="J24" s="12" t="s">
        <v>89</v>
      </c>
      <c r="K24" s="18">
        <f>SUM(E24:J24)</f>
        <v>17714.0</v>
      </c>
      <c r="L24" s="18">
        <f>D24-K24</f>
        <v>0.0</v>
      </c>
      <c r="M24" s="12" t="s">
        <v>1779</v>
      </c>
      <c r="N24" s="12" t="str">
        <f>C24&amp;"|"&amp;A24</f>
        <v>001|2196822</v>
      </c>
    </row>
    <row r="25" spans="1:14">
      <c r="A25" s="12" t="s">
        <v>195</v>
      </c>
      <c r="B25" s="12" t="s">
        <v>197</v>
      </c>
      <c r="C25" s="12" t="s">
        <v>74</v>
      </c>
      <c r="D25" s="35">
        <v>0</v>
      </c>
      <c r="E25" s="35">
        <v>0</v>
      </c>
      <c r="F25" s="35">
        <v>0</v>
      </c>
      <c r="G25" s="35">
        <v>0</v>
      </c>
      <c r="H25" s="35">
        <v>0</v>
      </c>
      <c r="I25" s="35">
        <v>0</v>
      </c>
      <c r="J25" s="12" t="s">
        <v>89</v>
      </c>
      <c r="K25" s="18">
        <f>SUM(E25:J25)</f>
        <v>0.0</v>
      </c>
      <c r="L25" s="18">
        <f>D25-K25</f>
        <v>0.0</v>
      </c>
      <c r="M25" s="12" t="s">
        <v>1779</v>
      </c>
      <c r="N25" s="12" t="str">
        <f>C25&amp;"|"&amp;A25</f>
        <v>001|2194504</v>
      </c>
    </row>
    <row r="26" spans="1:14">
      <c r="A26" s="12" t="s">
        <v>199</v>
      </c>
      <c r="B26" s="12" t="s">
        <v>201</v>
      </c>
      <c r="C26" s="12" t="s">
        <v>74</v>
      </c>
      <c r="D26" s="35">
        <v>728529</v>
      </c>
      <c r="E26" s="35">
        <v>0</v>
      </c>
      <c r="F26" s="35">
        <v>0</v>
      </c>
      <c r="G26" s="35">
        <v>728529</v>
      </c>
      <c r="H26" s="35">
        <v>0</v>
      </c>
      <c r="I26" s="35">
        <v>0</v>
      </c>
      <c r="J26" s="12" t="s">
        <v>89</v>
      </c>
      <c r="K26" s="18">
        <f>SUM(E26:J26)</f>
        <v>728529.0</v>
      </c>
      <c r="L26" s="18">
        <f>D26-K26</f>
        <v>0.0</v>
      </c>
      <c r="M26" s="12" t="s">
        <v>1779</v>
      </c>
      <c r="N26" s="12" t="str">
        <f>C26&amp;"|"&amp;A26</f>
        <v>001|2196834</v>
      </c>
    </row>
    <row r="27" spans="1:14">
      <c r="A27" s="12" t="s">
        <v>205</v>
      </c>
      <c r="B27" s="12" t="s">
        <v>207</v>
      </c>
      <c r="C27" s="12" t="s">
        <v>74</v>
      </c>
      <c r="D27" s="35">
        <v>40621</v>
      </c>
      <c r="E27" s="35">
        <v>0</v>
      </c>
      <c r="F27" s="35">
        <v>0</v>
      </c>
      <c r="G27" s="35">
        <v>40621</v>
      </c>
      <c r="H27" s="35">
        <v>0</v>
      </c>
      <c r="I27" s="35">
        <v>0</v>
      </c>
      <c r="J27" s="12" t="s">
        <v>89</v>
      </c>
      <c r="K27" s="18">
        <f>SUM(E27:J27)</f>
        <v>40621.0</v>
      </c>
      <c r="L27" s="18">
        <f>D27-K27</f>
        <v>0.0</v>
      </c>
      <c r="M27" s="12" t="s">
        <v>1779</v>
      </c>
      <c r="N27" s="12" t="str">
        <f>C27&amp;"|"&amp;A27</f>
        <v>001|2490131</v>
      </c>
    </row>
    <row r="28" spans="1:14">
      <c r="A28" s="12" t="s">
        <v>210</v>
      </c>
      <c r="B28" s="12" t="s">
        <v>212</v>
      </c>
      <c r="C28" s="12" t="s">
        <v>74</v>
      </c>
      <c r="D28" s="35">
        <v>0</v>
      </c>
      <c r="E28" s="35">
        <v>0</v>
      </c>
      <c r="F28" s="35">
        <v>0</v>
      </c>
      <c r="G28" s="35">
        <v>0</v>
      </c>
      <c r="H28" s="35">
        <v>0</v>
      </c>
      <c r="I28" s="35">
        <v>0</v>
      </c>
      <c r="J28" s="12" t="s">
        <v>89</v>
      </c>
      <c r="K28" s="18">
        <f>SUM(E28:J28)</f>
        <v>0.0</v>
      </c>
      <c r="L28" s="18">
        <f>D28-K28</f>
        <v>0.0</v>
      </c>
      <c r="M28" s="12" t="s">
        <v>1779</v>
      </c>
      <c r="N28" s="12" t="str">
        <f>C28&amp;"|"&amp;A28</f>
        <v>001|2196857</v>
      </c>
    </row>
    <row r="29" spans="1:14">
      <c r="A29" s="12" t="s">
        <v>215</v>
      </c>
      <c r="B29" s="12" t="s">
        <v>217</v>
      </c>
      <c r="C29" s="12" t="s">
        <v>74</v>
      </c>
      <c r="D29" s="35">
        <v>77590</v>
      </c>
      <c r="E29" s="35">
        <v>0</v>
      </c>
      <c r="F29" s="35">
        <v>0</v>
      </c>
      <c r="G29" s="35">
        <v>77590</v>
      </c>
      <c r="H29" s="35">
        <v>0</v>
      </c>
      <c r="I29" s="35">
        <v>0</v>
      </c>
      <c r="J29" s="12" t="s">
        <v>89</v>
      </c>
      <c r="K29" s="18">
        <f>SUM(E29:J29)</f>
        <v>77590.0</v>
      </c>
      <c r="L29" s="18">
        <f>D29-K29</f>
        <v>0.0</v>
      </c>
      <c r="M29" s="12" t="s">
        <v>1779</v>
      </c>
      <c r="N29" s="12" t="str">
        <f>C29&amp;"|"&amp;A29</f>
        <v>001|2194462</v>
      </c>
    </row>
    <row r="30" spans="1:14">
      <c r="A30" s="12" t="s">
        <v>218</v>
      </c>
      <c r="B30" s="12" t="s">
        <v>220</v>
      </c>
      <c r="C30" s="12" t="s">
        <v>74</v>
      </c>
      <c r="D30" s="35">
        <v>50132</v>
      </c>
      <c r="E30" s="35">
        <v>0</v>
      </c>
      <c r="F30" s="35">
        <v>0</v>
      </c>
      <c r="G30" s="35">
        <v>50132</v>
      </c>
      <c r="H30" s="35">
        <v>0</v>
      </c>
      <c r="I30" s="35">
        <v>0</v>
      </c>
      <c r="J30" s="12" t="s">
        <v>89</v>
      </c>
      <c r="K30" s="18">
        <f>SUM(E30:J30)</f>
        <v>50132.0</v>
      </c>
      <c r="L30" s="18">
        <f>D30-K30</f>
        <v>0.0</v>
      </c>
      <c r="M30" s="12" t="s">
        <v>1779</v>
      </c>
      <c r="N30" s="12" t="str">
        <f>C30&amp;"|"&amp;A30</f>
        <v>001|2467893</v>
      </c>
    </row>
    <row r="31" spans="1:14">
      <c r="A31" s="12" t="s">
        <v>222</v>
      </c>
      <c r="B31" s="12" t="s">
        <v>224</v>
      </c>
      <c r="C31" s="12" t="s">
        <v>74</v>
      </c>
      <c r="D31" s="35">
        <v>18401182</v>
      </c>
      <c r="E31" s="35">
        <v>0</v>
      </c>
      <c r="F31" s="35">
        <v>0</v>
      </c>
      <c r="G31" s="35">
        <v>18401182</v>
      </c>
      <c r="H31" s="35">
        <v>0</v>
      </c>
      <c r="I31" s="35">
        <v>0</v>
      </c>
      <c r="J31" s="12" t="s">
        <v>89</v>
      </c>
      <c r="K31" s="18">
        <f>SUM(E31:J31)</f>
        <v>18401182.0</v>
      </c>
      <c r="L31" s="18">
        <f>D31-K31</f>
        <v>0.0</v>
      </c>
      <c r="M31" s="12" t="s">
        <v>1779</v>
      </c>
      <c r="N31" s="12" t="str">
        <f>C31&amp;"|"&amp;A31</f>
        <v>001|2194702</v>
      </c>
    </row>
    <row r="32" spans="1:14">
      <c r="A32" s="12" t="s">
        <v>226</v>
      </c>
      <c r="B32" s="12" t="s">
        <v>228</v>
      </c>
      <c r="C32" s="12" t="s">
        <v>74</v>
      </c>
      <c r="D32" s="35">
        <v>10002053</v>
      </c>
      <c r="E32" s="35">
        <v>0</v>
      </c>
      <c r="F32" s="35">
        <v>0</v>
      </c>
      <c r="G32" s="35">
        <v>10002053</v>
      </c>
      <c r="H32" s="35">
        <v>0</v>
      </c>
      <c r="I32" s="35">
        <v>0</v>
      </c>
      <c r="J32" s="12" t="s">
        <v>89</v>
      </c>
      <c r="K32" s="18">
        <f>SUM(E32:J32)</f>
        <v>10002053.0</v>
      </c>
      <c r="L32" s="18">
        <f>D32-K32</f>
        <v>0.0</v>
      </c>
      <c r="M32" s="12" t="s">
        <v>1779</v>
      </c>
      <c r="N32" s="12" t="str">
        <f>C32&amp;"|"&amp;A32</f>
        <v>001|2287700</v>
      </c>
    </row>
    <row r="33" spans="1:14">
      <c r="A33" s="12" t="s">
        <v>229</v>
      </c>
      <c r="B33" s="12" t="s">
        <v>231</v>
      </c>
      <c r="C33" s="12" t="s">
        <v>74</v>
      </c>
      <c r="D33" s="35">
        <v>3297813</v>
      </c>
      <c r="E33" s="35">
        <v>0</v>
      </c>
      <c r="F33" s="35">
        <v>0</v>
      </c>
      <c r="G33" s="35">
        <v>3297813</v>
      </c>
      <c r="H33" s="35">
        <v>0</v>
      </c>
      <c r="I33" s="35">
        <v>0</v>
      </c>
      <c r="J33" s="12" t="s">
        <v>89</v>
      </c>
      <c r="K33" s="18">
        <f>SUM(E33:J33)</f>
        <v>3297813.0</v>
      </c>
      <c r="L33" s="18">
        <f>D33-K33</f>
        <v>0.0</v>
      </c>
      <c r="M33" s="12" t="s">
        <v>1779</v>
      </c>
      <c r="N33" s="12" t="str">
        <f>C33&amp;"|"&amp;A33</f>
        <v>001|2480499</v>
      </c>
    </row>
    <row r="34" spans="1:14">
      <c r="A34" s="12" t="s">
        <v>233</v>
      </c>
      <c r="B34" s="12" t="s">
        <v>235</v>
      </c>
      <c r="C34" s="12" t="s">
        <v>74</v>
      </c>
      <c r="D34" s="35">
        <v>2394023</v>
      </c>
      <c r="E34" s="35">
        <v>0</v>
      </c>
      <c r="F34" s="35">
        <v>0</v>
      </c>
      <c r="G34" s="35">
        <v>2394023</v>
      </c>
      <c r="H34" s="35">
        <v>0</v>
      </c>
      <c r="I34" s="35">
        <v>0</v>
      </c>
      <c r="J34" s="12" t="s">
        <v>89</v>
      </c>
      <c r="K34" s="18">
        <f>SUM(E34:J34)</f>
        <v>2394023.0</v>
      </c>
      <c r="L34" s="18">
        <f>D34-K34</f>
        <v>0.0</v>
      </c>
      <c r="M34" s="12" t="s">
        <v>1779</v>
      </c>
      <c r="N34" s="12" t="str">
        <f>C34&amp;"|"&amp;A34</f>
        <v>001|2300575</v>
      </c>
    </row>
    <row r="35" spans="1:14">
      <c r="A35" s="12" t="s">
        <v>237</v>
      </c>
      <c r="B35" s="12" t="s">
        <v>239</v>
      </c>
      <c r="C35" s="12" t="s">
        <v>74</v>
      </c>
      <c r="D35" s="35">
        <v>1122559</v>
      </c>
      <c r="E35" s="35">
        <v>0</v>
      </c>
      <c r="F35" s="35">
        <v>0</v>
      </c>
      <c r="G35" s="35">
        <v>1122559</v>
      </c>
      <c r="H35" s="35">
        <v>0</v>
      </c>
      <c r="I35" s="35">
        <v>0</v>
      </c>
      <c r="J35" s="12" t="s">
        <v>89</v>
      </c>
      <c r="K35" s="18">
        <f>SUM(E35:J35)</f>
        <v>1122559.0</v>
      </c>
      <c r="L35" s="18">
        <f>D35-K35</f>
        <v>0.0</v>
      </c>
      <c r="M35" s="12" t="s">
        <v>1779</v>
      </c>
      <c r="N35" s="12" t="str">
        <f>C35&amp;"|"&amp;A35</f>
        <v>001|2031310</v>
      </c>
    </row>
    <row r="36" spans="1:14">
      <c r="A36" s="12" t="s">
        <v>240</v>
      </c>
      <c r="B36" s="12" t="s">
        <v>242</v>
      </c>
      <c r="C36" s="12" t="s">
        <v>74</v>
      </c>
      <c r="D36" s="35">
        <v>1202934</v>
      </c>
      <c r="E36" s="35">
        <v>0</v>
      </c>
      <c r="F36" s="35">
        <v>0</v>
      </c>
      <c r="G36" s="35">
        <v>0</v>
      </c>
      <c r="H36" s="35">
        <v>1202934</v>
      </c>
      <c r="I36" s="35">
        <v>0</v>
      </c>
      <c r="J36" s="12" t="s">
        <v>89</v>
      </c>
      <c r="K36" s="18">
        <f>SUM(E36:J36)</f>
        <v>1202934.0</v>
      </c>
      <c r="L36" s="18">
        <f>D36-K36</f>
        <v>0.0</v>
      </c>
      <c r="M36" s="12" t="s">
        <v>1779</v>
      </c>
      <c r="N36" s="12" t="str">
        <f>C36&amp;"|"&amp;A36</f>
        <v>001|2163760</v>
      </c>
    </row>
    <row r="37" spans="1:14">
      <c r="A37" s="12" t="s">
        <v>244</v>
      </c>
      <c r="B37" s="12" t="s">
        <v>246</v>
      </c>
      <c r="C37" s="12" t="s">
        <v>74</v>
      </c>
      <c r="D37" s="35">
        <v>167638</v>
      </c>
      <c r="E37" s="35">
        <v>0</v>
      </c>
      <c r="F37" s="35">
        <v>0</v>
      </c>
      <c r="G37" s="35">
        <v>167638</v>
      </c>
      <c r="H37" s="35">
        <v>0</v>
      </c>
      <c r="I37" s="35">
        <v>0</v>
      </c>
      <c r="J37" s="12" t="s">
        <v>89</v>
      </c>
      <c r="K37" s="18">
        <f>SUM(E37:J37)</f>
        <v>167638.0</v>
      </c>
      <c r="L37" s="18">
        <f>D37-K37</f>
        <v>0.0</v>
      </c>
      <c r="M37" s="12" t="s">
        <v>1779</v>
      </c>
      <c r="N37" s="12" t="str">
        <f>C37&amp;"|"&amp;A37</f>
        <v>001|2375549</v>
      </c>
    </row>
    <row r="38" spans="1:14">
      <c r="A38" s="12" t="s">
        <v>248</v>
      </c>
      <c r="B38" s="12" t="s">
        <v>250</v>
      </c>
      <c r="C38" s="12" t="s">
        <v>74</v>
      </c>
      <c r="D38" s="35">
        <v>844818</v>
      </c>
      <c r="E38" s="35">
        <v>844818</v>
      </c>
      <c r="F38" s="35">
        <v>0</v>
      </c>
      <c r="G38" s="35">
        <v>0</v>
      </c>
      <c r="H38" s="35">
        <v>0</v>
      </c>
      <c r="I38" s="35">
        <v>0</v>
      </c>
      <c r="J38" s="12" t="s">
        <v>89</v>
      </c>
      <c r="K38" s="18">
        <f>SUM(E38:J38)</f>
        <v>844818.0</v>
      </c>
      <c r="L38" s="18">
        <f>D38-K38</f>
        <v>0.0</v>
      </c>
      <c r="M38" s="12" t="s">
        <v>1779</v>
      </c>
      <c r="N38" s="12" t="str">
        <f>C38&amp;"|"&amp;A38</f>
        <v>001|2321290</v>
      </c>
    </row>
    <row r="39" spans="1:14">
      <c r="A39" s="12" t="s">
        <v>252</v>
      </c>
      <c r="B39" s="12" t="s">
        <v>254</v>
      </c>
      <c r="C39" s="12" t="s">
        <v>74</v>
      </c>
      <c r="D39" s="35">
        <v>0</v>
      </c>
      <c r="E39" s="35">
        <v>0</v>
      </c>
      <c r="F39" s="35">
        <v>0</v>
      </c>
      <c r="G39" s="35">
        <v>0</v>
      </c>
      <c r="H39" s="35">
        <v>0</v>
      </c>
      <c r="I39" s="35">
        <v>0</v>
      </c>
      <c r="J39" s="12" t="s">
        <v>89</v>
      </c>
      <c r="K39" s="18">
        <f>SUM(E39:J39)</f>
        <v>0.0</v>
      </c>
      <c r="L39" s="18">
        <f>D39-K39</f>
        <v>0.0</v>
      </c>
      <c r="M39" s="12" t="s">
        <v>1779</v>
      </c>
      <c r="N39" s="12" t="str">
        <f>C39&amp;"|"&amp;A39</f>
        <v>001|2475053</v>
      </c>
    </row>
    <row r="40" spans="1:14">
      <c r="A40" s="12" t="s">
        <v>256</v>
      </c>
      <c r="B40" s="12" t="s">
        <v>258</v>
      </c>
      <c r="C40" s="12" t="s">
        <v>74</v>
      </c>
      <c r="D40" s="35">
        <v>1868752</v>
      </c>
      <c r="E40" s="35">
        <v>0</v>
      </c>
      <c r="F40" s="35">
        <v>0</v>
      </c>
      <c r="G40" s="35">
        <v>1868752</v>
      </c>
      <c r="H40" s="35">
        <v>0</v>
      </c>
      <c r="I40" s="35">
        <v>0</v>
      </c>
      <c r="J40" s="12" t="s">
        <v>89</v>
      </c>
      <c r="K40" s="18">
        <f>SUM(E40:J40)</f>
        <v>1868752.0</v>
      </c>
      <c r="L40" s="18">
        <f>D40-K40</f>
        <v>0.0</v>
      </c>
      <c r="M40" s="12" t="s">
        <v>1779</v>
      </c>
      <c r="N40" s="12" t="str">
        <f>C40&amp;"|"&amp;A40</f>
        <v>001|2131661</v>
      </c>
    </row>
    <row r="41" spans="1:14">
      <c r="A41" s="12" t="s">
        <v>260</v>
      </c>
      <c r="B41" s="12" t="s">
        <v>262</v>
      </c>
      <c r="C41" s="12" t="s">
        <v>74</v>
      </c>
      <c r="D41" s="35">
        <v>91759</v>
      </c>
      <c r="E41" s="35">
        <v>0</v>
      </c>
      <c r="F41" s="35">
        <v>0</v>
      </c>
      <c r="G41" s="35">
        <v>91759</v>
      </c>
      <c r="H41" s="35">
        <v>0</v>
      </c>
      <c r="I41" s="35">
        <v>0</v>
      </c>
      <c r="J41" s="12" t="s">
        <v>89</v>
      </c>
      <c r="K41" s="18">
        <f>SUM(E41:J41)</f>
        <v>91759.0</v>
      </c>
      <c r="L41" s="18">
        <f>D41-K41</f>
        <v>0.0</v>
      </c>
      <c r="M41" s="12" t="s">
        <v>1779</v>
      </c>
      <c r="N41" s="12" t="str">
        <f>C41&amp;"|"&amp;A41</f>
        <v>001|2195487</v>
      </c>
    </row>
    <row r="42" spans="1:14">
      <c r="A42" s="12" t="s">
        <v>264</v>
      </c>
      <c r="B42" s="12" t="s">
        <v>266</v>
      </c>
      <c r="C42" s="12" t="s">
        <v>74</v>
      </c>
      <c r="D42" s="35">
        <v>104124</v>
      </c>
      <c r="E42" s="35">
        <v>0</v>
      </c>
      <c r="F42" s="35">
        <v>0</v>
      </c>
      <c r="G42" s="35">
        <v>104124</v>
      </c>
      <c r="H42" s="35">
        <v>0</v>
      </c>
      <c r="I42" s="35">
        <v>0</v>
      </c>
      <c r="J42" s="12" t="s">
        <v>89</v>
      </c>
      <c r="K42" s="18">
        <f>SUM(E42:J42)</f>
        <v>104124.0</v>
      </c>
      <c r="L42" s="18">
        <f>D42-K42</f>
        <v>0.0</v>
      </c>
      <c r="M42" s="12" t="s">
        <v>1779</v>
      </c>
      <c r="N42" s="12" t="str">
        <f>C42&amp;"|"&amp;A42</f>
        <v>001|2514428</v>
      </c>
    </row>
    <row r="43" spans="1:14">
      <c r="A43" s="12" t="s">
        <v>269</v>
      </c>
      <c r="B43" s="12" t="s">
        <v>271</v>
      </c>
      <c r="C43" s="12" t="s">
        <v>74</v>
      </c>
      <c r="D43" s="35">
        <v>22224878</v>
      </c>
      <c r="E43" s="35">
        <v>0</v>
      </c>
      <c r="F43" s="35">
        <v>0</v>
      </c>
      <c r="G43" s="35">
        <v>22224878</v>
      </c>
      <c r="H43" s="35">
        <v>0</v>
      </c>
      <c r="I43" s="35">
        <v>0</v>
      </c>
      <c r="J43" s="12" t="s">
        <v>89</v>
      </c>
      <c r="K43" s="18">
        <f>SUM(E43:J43)</f>
        <v>22224878.0</v>
      </c>
      <c r="L43" s="18">
        <f>D43-K43</f>
        <v>0.0</v>
      </c>
      <c r="M43" s="12" t="s">
        <v>1779</v>
      </c>
      <c r="N43" s="12" t="str">
        <f>C43&amp;"|"&amp;A43</f>
        <v>001|2436247</v>
      </c>
    </row>
    <row r="44" spans="1:14">
      <c r="A44" s="12" t="s">
        <v>276</v>
      </c>
      <c r="B44" s="12" t="s">
        <v>278</v>
      </c>
      <c r="C44" s="12" t="s">
        <v>74</v>
      </c>
      <c r="D44" s="35">
        <v>11412366</v>
      </c>
      <c r="E44" s="35">
        <v>0</v>
      </c>
      <c r="F44" s="35">
        <v>2240194</v>
      </c>
      <c r="G44" s="35">
        <v>9172172</v>
      </c>
      <c r="H44" s="35">
        <v>0</v>
      </c>
      <c r="I44" s="35">
        <v>0</v>
      </c>
      <c r="J44" s="12" t="s">
        <v>89</v>
      </c>
      <c r="K44" s="18">
        <f>SUM(E44:J44)</f>
        <v>11412366.0</v>
      </c>
      <c r="L44" s="18">
        <f>D44-K44</f>
        <v>0.0</v>
      </c>
      <c r="M44" s="12" t="s">
        <v>1779</v>
      </c>
      <c r="N44" s="12" t="str">
        <f>C44&amp;"|"&amp;A44</f>
        <v>001|2603167</v>
      </c>
    </row>
    <row r="45" spans="1:14">
      <c r="A45" s="12" t="s">
        <v>281</v>
      </c>
      <c r="B45" s="12" t="s">
        <v>283</v>
      </c>
      <c r="C45" s="12" t="s">
        <v>74</v>
      </c>
      <c r="D45" s="35">
        <v>6830102</v>
      </c>
      <c r="E45" s="35">
        <v>0</v>
      </c>
      <c r="F45" s="35">
        <v>0</v>
      </c>
      <c r="G45" s="35">
        <v>6830102</v>
      </c>
      <c r="H45" s="35">
        <v>0</v>
      </c>
      <c r="I45" s="35">
        <v>0</v>
      </c>
      <c r="J45" s="12" t="s">
        <v>89</v>
      </c>
      <c r="K45" s="18">
        <f>SUM(E45:J45)</f>
        <v>6830102.0</v>
      </c>
      <c r="L45" s="18">
        <f>D45-K45</f>
        <v>0.0</v>
      </c>
      <c r="M45" s="12" t="s">
        <v>1779</v>
      </c>
      <c r="N45" s="12" t="str">
        <f>C45&amp;"|"&amp;A45</f>
        <v>001|2585540</v>
      </c>
    </row>
    <row r="46" spans="1:14">
      <c r="A46" s="12" t="s">
        <v>286</v>
      </c>
      <c r="B46" s="12" t="s">
        <v>288</v>
      </c>
      <c r="C46" s="12" t="s">
        <v>74</v>
      </c>
      <c r="D46" s="35">
        <v>9037622</v>
      </c>
      <c r="E46" s="35">
        <v>0</v>
      </c>
      <c r="F46" s="35">
        <v>1925000</v>
      </c>
      <c r="G46" s="35">
        <v>7112622</v>
      </c>
      <c r="H46" s="35">
        <v>0</v>
      </c>
      <c r="I46" s="35">
        <v>0</v>
      </c>
      <c r="J46" s="12" t="s">
        <v>89</v>
      </c>
      <c r="K46" s="18">
        <f>SUM(E46:J46)</f>
        <v>9037622.0</v>
      </c>
      <c r="L46" s="18">
        <f>D46-K46</f>
        <v>0.0</v>
      </c>
      <c r="M46" s="12" t="s">
        <v>1779</v>
      </c>
      <c r="N46" s="12" t="str">
        <f>C46&amp;"|"&amp;A46</f>
        <v>001|2603165</v>
      </c>
    </row>
    <row r="47" spans="1:14">
      <c r="A47" s="12" t="s">
        <v>290</v>
      </c>
      <c r="B47" s="12" t="s">
        <v>292</v>
      </c>
      <c r="C47" s="12" t="s">
        <v>74</v>
      </c>
      <c r="D47" s="35">
        <v>67139</v>
      </c>
      <c r="E47" s="35">
        <v>0</v>
      </c>
      <c r="F47" s="35">
        <v>0</v>
      </c>
      <c r="G47" s="35">
        <v>67139</v>
      </c>
      <c r="H47" s="35">
        <v>0</v>
      </c>
      <c r="I47" s="35">
        <v>0</v>
      </c>
      <c r="J47" s="12" t="s">
        <v>89</v>
      </c>
      <c r="K47" s="18">
        <f>SUM(E47:J47)</f>
        <v>67139.0</v>
      </c>
      <c r="L47" s="18">
        <f>D47-K47</f>
        <v>0.0</v>
      </c>
      <c r="M47" s="12" t="s">
        <v>1779</v>
      </c>
      <c r="N47" s="12" t="str">
        <f>C47&amp;"|"&amp;A47</f>
        <v>001|2185578</v>
      </c>
    </row>
    <row r="48" spans="1:14">
      <c r="A48" s="12" t="s">
        <v>293</v>
      </c>
      <c r="B48" s="12" t="s">
        <v>295</v>
      </c>
      <c r="C48" s="12" t="s">
        <v>74</v>
      </c>
      <c r="D48" s="35">
        <v>105000</v>
      </c>
      <c r="E48" s="35">
        <v>0</v>
      </c>
      <c r="F48" s="35">
        <v>0</v>
      </c>
      <c r="G48" s="35">
        <v>105000</v>
      </c>
      <c r="H48" s="35">
        <v>0</v>
      </c>
      <c r="I48" s="35">
        <v>0</v>
      </c>
      <c r="J48" s="12" t="s">
        <v>89</v>
      </c>
      <c r="K48" s="18">
        <f>SUM(E48:J48)</f>
        <v>105000.0</v>
      </c>
      <c r="L48" s="18">
        <f>D48-K48</f>
        <v>0.0</v>
      </c>
      <c r="M48" s="12" t="s">
        <v>1779</v>
      </c>
      <c r="N48" s="12" t="str">
        <f>C48&amp;"|"&amp;A48</f>
        <v>001|2515272</v>
      </c>
    </row>
    <row r="49" spans="1:14">
      <c r="A49" s="12" t="s">
        <v>298</v>
      </c>
      <c r="B49" s="12" t="s">
        <v>300</v>
      </c>
      <c r="C49" s="12" t="s">
        <v>74</v>
      </c>
      <c r="D49" s="35">
        <v>28752</v>
      </c>
      <c r="E49" s="35">
        <v>0</v>
      </c>
      <c r="F49" s="35">
        <v>0</v>
      </c>
      <c r="G49" s="35">
        <v>28752</v>
      </c>
      <c r="H49" s="35">
        <v>0</v>
      </c>
      <c r="I49" s="35">
        <v>0</v>
      </c>
      <c r="J49" s="12" t="s">
        <v>89</v>
      </c>
      <c r="K49" s="18">
        <f>SUM(E49:J49)</f>
        <v>28752.0</v>
      </c>
      <c r="L49" s="18">
        <f>D49-K49</f>
        <v>0.0</v>
      </c>
      <c r="M49" s="12" t="s">
        <v>1779</v>
      </c>
      <c r="N49" s="12" t="str">
        <f>C49&amp;"|"&amp;A49</f>
        <v>001|2440946</v>
      </c>
    </row>
    <row r="50" spans="1:14">
      <c r="A50" s="12" t="s">
        <v>302</v>
      </c>
      <c r="B50" s="12" t="s">
        <v>304</v>
      </c>
      <c r="C50" s="12" t="s">
        <v>74</v>
      </c>
      <c r="D50" s="35">
        <v>0</v>
      </c>
      <c r="E50" s="35">
        <v>0</v>
      </c>
      <c r="F50" s="35">
        <v>0</v>
      </c>
      <c r="G50" s="35">
        <v>0</v>
      </c>
      <c r="H50" s="35">
        <v>0</v>
      </c>
      <c r="I50" s="35">
        <v>0</v>
      </c>
      <c r="J50" s="12" t="s">
        <v>89</v>
      </c>
      <c r="K50" s="18">
        <f>SUM(E50:J50)</f>
        <v>0.0</v>
      </c>
      <c r="L50" s="18">
        <f>D50-K50</f>
        <v>0.0</v>
      </c>
      <c r="M50" s="12" t="s">
        <v>1779</v>
      </c>
      <c r="N50" s="12" t="str">
        <f>C50&amp;"|"&amp;A50</f>
        <v>001|2055915</v>
      </c>
    </row>
    <row r="51" spans="1:14">
      <c r="A51" s="12" t="s">
        <v>306</v>
      </c>
      <c r="B51" s="12" t="s">
        <v>308</v>
      </c>
      <c r="C51" s="12" t="s">
        <v>74</v>
      </c>
      <c r="D51" s="35">
        <v>0</v>
      </c>
      <c r="E51" s="35">
        <v>0</v>
      </c>
      <c r="F51" s="35">
        <v>0</v>
      </c>
      <c r="G51" s="35">
        <v>0</v>
      </c>
      <c r="H51" s="35">
        <v>0</v>
      </c>
      <c r="I51" s="35">
        <v>0</v>
      </c>
      <c r="J51" s="12" t="s">
        <v>89</v>
      </c>
      <c r="K51" s="18">
        <f>SUM(E51:J51)</f>
        <v>0.0</v>
      </c>
      <c r="L51" s="18">
        <f>D51-K51</f>
        <v>0.0</v>
      </c>
      <c r="M51" s="12" t="s">
        <v>1779</v>
      </c>
      <c r="N51" s="12" t="str">
        <f>C51&amp;"|"&amp;A51</f>
        <v>001|2131389</v>
      </c>
    </row>
    <row r="52" spans="1:14">
      <c r="A52" s="12" t="s">
        <v>309</v>
      </c>
      <c r="B52" s="12" t="s">
        <v>311</v>
      </c>
      <c r="C52" s="12" t="s">
        <v>74</v>
      </c>
      <c r="D52" s="35">
        <v>0</v>
      </c>
      <c r="E52" s="35">
        <v>0</v>
      </c>
      <c r="F52" s="35">
        <v>0</v>
      </c>
      <c r="G52" s="35">
        <v>0</v>
      </c>
      <c r="H52" s="35">
        <v>0</v>
      </c>
      <c r="I52" s="35">
        <v>0</v>
      </c>
      <c r="J52" s="12" t="s">
        <v>89</v>
      </c>
      <c r="K52" s="18">
        <f>SUM(E52:J52)</f>
        <v>0.0</v>
      </c>
      <c r="L52" s="18">
        <f>D52-K52</f>
        <v>0.0</v>
      </c>
      <c r="M52" s="12" t="s">
        <v>1779</v>
      </c>
      <c r="N52" s="12" t="str">
        <f>C52&amp;"|"&amp;A52</f>
        <v>001|2232371</v>
      </c>
    </row>
    <row r="53" spans="1:14">
      <c r="A53" s="12" t="s">
        <v>315</v>
      </c>
      <c r="B53" s="12" t="s">
        <v>317</v>
      </c>
      <c r="C53" s="12" t="s">
        <v>74</v>
      </c>
      <c r="D53" s="35">
        <v>0</v>
      </c>
      <c r="E53" s="35">
        <v>0</v>
      </c>
      <c r="F53" s="35">
        <v>0</v>
      </c>
      <c r="G53" s="35">
        <v>0</v>
      </c>
      <c r="H53" s="35">
        <v>0</v>
      </c>
      <c r="I53" s="35">
        <v>0</v>
      </c>
      <c r="J53" s="12" t="s">
        <v>89</v>
      </c>
      <c r="K53" s="18">
        <f>SUM(E53:J53)</f>
        <v>0.0</v>
      </c>
      <c r="L53" s="18">
        <f>D53-K53</f>
        <v>0.0</v>
      </c>
      <c r="M53" s="12" t="s">
        <v>1779</v>
      </c>
      <c r="N53" s="12" t="str">
        <f>C53&amp;"|"&amp;A53</f>
        <v>001|2443679</v>
      </c>
    </row>
    <row r="54" spans="1:14">
      <c r="A54" s="12" t="s">
        <v>320</v>
      </c>
      <c r="B54" s="12" t="s">
        <v>322</v>
      </c>
      <c r="C54" s="12" t="s">
        <v>74</v>
      </c>
      <c r="D54" s="35">
        <v>5810277</v>
      </c>
      <c r="E54" s="35">
        <v>0</v>
      </c>
      <c r="F54" s="35">
        <v>0</v>
      </c>
      <c r="G54" s="35">
        <v>5810277</v>
      </c>
      <c r="H54" s="35">
        <v>0</v>
      </c>
      <c r="I54" s="35">
        <v>0</v>
      </c>
      <c r="J54" s="12" t="s">
        <v>89</v>
      </c>
      <c r="K54" s="18">
        <f>SUM(E54:J54)</f>
        <v>5810277.0</v>
      </c>
      <c r="L54" s="18">
        <f>D54-K54</f>
        <v>0.0</v>
      </c>
      <c r="M54" s="12" t="s">
        <v>1779</v>
      </c>
      <c r="N54" s="12" t="str">
        <f>C54&amp;"|"&amp;A54</f>
        <v>001|2163853</v>
      </c>
    </row>
    <row r="55" spans="1:14">
      <c r="A55" s="12" t="s">
        <v>323</v>
      </c>
      <c r="B55" s="12" t="s">
        <v>325</v>
      </c>
      <c r="C55" s="12" t="s">
        <v>74</v>
      </c>
      <c r="D55" s="35">
        <v>5921783</v>
      </c>
      <c r="E55" s="35">
        <v>0</v>
      </c>
      <c r="F55" s="35">
        <v>0</v>
      </c>
      <c r="G55" s="35">
        <v>5921783</v>
      </c>
      <c r="H55" s="35">
        <v>0</v>
      </c>
      <c r="I55" s="35">
        <v>0</v>
      </c>
      <c r="J55" s="12" t="s">
        <v>89</v>
      </c>
      <c r="K55" s="18">
        <f>SUM(E55:J55)</f>
        <v>5921783.0</v>
      </c>
      <c r="L55" s="18">
        <f>D55-K55</f>
        <v>0.0</v>
      </c>
      <c r="M55" s="12" t="s">
        <v>1779</v>
      </c>
      <c r="N55" s="12" t="str">
        <f>C55&amp;"|"&amp;A55</f>
        <v>001|2188542</v>
      </c>
    </row>
    <row r="56" spans="1:14">
      <c r="A56" s="12" t="s">
        <v>329</v>
      </c>
      <c r="B56" s="12" t="s">
        <v>331</v>
      </c>
      <c r="C56" s="12" t="s">
        <v>74</v>
      </c>
      <c r="D56" s="35">
        <v>1506514</v>
      </c>
      <c r="E56" s="35">
        <v>0</v>
      </c>
      <c r="F56" s="35">
        <v>0</v>
      </c>
      <c r="G56" s="35">
        <v>1506514</v>
      </c>
      <c r="H56" s="35">
        <v>0</v>
      </c>
      <c r="I56" s="35">
        <v>0</v>
      </c>
      <c r="J56" s="12" t="s">
        <v>89</v>
      </c>
      <c r="K56" s="18">
        <f>SUM(E56:J56)</f>
        <v>1506514.0</v>
      </c>
      <c r="L56" s="18">
        <f>D56-K56</f>
        <v>0.0</v>
      </c>
      <c r="M56" s="12" t="s">
        <v>1779</v>
      </c>
      <c r="N56" s="12" t="str">
        <f>C56&amp;"|"&amp;A56</f>
        <v>001|2186641</v>
      </c>
    </row>
    <row r="57" spans="1:14">
      <c r="A57" s="12" t="s">
        <v>334</v>
      </c>
      <c r="B57" s="12" t="s">
        <v>336</v>
      </c>
      <c r="C57" s="12" t="s">
        <v>74</v>
      </c>
      <c r="D57" s="35">
        <v>2167000</v>
      </c>
      <c r="E57" s="35">
        <v>0</v>
      </c>
      <c r="F57" s="35">
        <v>0</v>
      </c>
      <c r="G57" s="35">
        <v>2167000</v>
      </c>
      <c r="H57" s="35">
        <v>0</v>
      </c>
      <c r="I57" s="35">
        <v>0</v>
      </c>
      <c r="J57" s="12" t="s">
        <v>89</v>
      </c>
      <c r="K57" s="18">
        <f>SUM(E57:J57)</f>
        <v>2167000.0</v>
      </c>
      <c r="L57" s="18">
        <f>D57-K57</f>
        <v>0.0</v>
      </c>
      <c r="M57" s="12" t="s">
        <v>1779</v>
      </c>
      <c r="N57" s="12" t="str">
        <f>C57&amp;"|"&amp;A57</f>
        <v>001|2646100</v>
      </c>
    </row>
    <row r="58" spans="1:14">
      <c r="A58" s="12" t="s">
        <v>338</v>
      </c>
      <c r="B58" s="12" t="s">
        <v>340</v>
      </c>
      <c r="C58" s="12" t="s">
        <v>74</v>
      </c>
      <c r="D58" s="35">
        <v>2575916</v>
      </c>
      <c r="E58" s="35">
        <v>0</v>
      </c>
      <c r="F58" s="35">
        <v>0</v>
      </c>
      <c r="G58" s="35">
        <v>2575916</v>
      </c>
      <c r="H58" s="35">
        <v>0</v>
      </c>
      <c r="I58" s="35">
        <v>0</v>
      </c>
      <c r="J58" s="12" t="s">
        <v>89</v>
      </c>
      <c r="K58" s="18">
        <f>SUM(E58:J58)</f>
        <v>2575916.0</v>
      </c>
      <c r="L58" s="18">
        <f>D58-K58</f>
        <v>0.0</v>
      </c>
      <c r="M58" s="12" t="s">
        <v>1779</v>
      </c>
      <c r="N58" s="12" t="str">
        <f>C58&amp;"|"&amp;A58</f>
        <v>001|2645380</v>
      </c>
    </row>
    <row r="59" spans="1:14">
      <c r="A59" s="12" t="s">
        <v>341</v>
      </c>
      <c r="B59" s="12" t="s">
        <v>343</v>
      </c>
      <c r="C59" s="12" t="s">
        <v>74</v>
      </c>
      <c r="D59" s="35">
        <v>2054253</v>
      </c>
      <c r="E59" s="35">
        <v>0</v>
      </c>
      <c r="F59" s="35">
        <v>0</v>
      </c>
      <c r="G59" s="35">
        <v>2054253</v>
      </c>
      <c r="H59" s="35">
        <v>0</v>
      </c>
      <c r="I59" s="35">
        <v>0</v>
      </c>
      <c r="J59" s="12" t="s">
        <v>89</v>
      </c>
      <c r="K59" s="18">
        <f>SUM(E59:J59)</f>
        <v>2054253.0</v>
      </c>
      <c r="L59" s="18">
        <f>D59-K59</f>
        <v>0.0</v>
      </c>
      <c r="M59" s="12" t="s">
        <v>1779</v>
      </c>
      <c r="N59" s="12" t="str">
        <f>C59&amp;"|"&amp;A59</f>
        <v>001|2646096</v>
      </c>
    </row>
    <row r="60" spans="1:14">
      <c r="A60" s="12" t="s">
        <v>344</v>
      </c>
      <c r="B60" s="12" t="s">
        <v>346</v>
      </c>
      <c r="C60" s="12" t="s">
        <v>74</v>
      </c>
      <c r="D60" s="35">
        <v>2038388</v>
      </c>
      <c r="E60" s="35">
        <v>0</v>
      </c>
      <c r="F60" s="35">
        <v>0</v>
      </c>
      <c r="G60" s="35">
        <v>2038388</v>
      </c>
      <c r="H60" s="35">
        <v>0</v>
      </c>
      <c r="I60" s="35">
        <v>0</v>
      </c>
      <c r="J60" s="12" t="s">
        <v>89</v>
      </c>
      <c r="K60" s="18">
        <f>SUM(E60:J60)</f>
        <v>2038388.0</v>
      </c>
      <c r="L60" s="18">
        <f>D60-K60</f>
        <v>0.0</v>
      </c>
      <c r="M60" s="12" t="s">
        <v>1779</v>
      </c>
      <c r="N60" s="12" t="str">
        <f>C60&amp;"|"&amp;A60</f>
        <v>001|2645340</v>
      </c>
    </row>
    <row r="61" spans="1:14">
      <c r="A61" s="12" t="s">
        <v>347</v>
      </c>
      <c r="B61" s="12" t="s">
        <v>349</v>
      </c>
      <c r="C61" s="12" t="s">
        <v>74</v>
      </c>
      <c r="D61" s="35">
        <v>2047936</v>
      </c>
      <c r="E61" s="35">
        <v>0</v>
      </c>
      <c r="F61" s="35">
        <v>0</v>
      </c>
      <c r="G61" s="35">
        <v>2047936</v>
      </c>
      <c r="H61" s="35">
        <v>0</v>
      </c>
      <c r="I61" s="35">
        <v>0</v>
      </c>
      <c r="J61" s="12" t="s">
        <v>89</v>
      </c>
      <c r="K61" s="18">
        <f>SUM(E61:J61)</f>
        <v>2047936.0</v>
      </c>
      <c r="L61" s="18">
        <f>D61-K61</f>
        <v>0.0</v>
      </c>
      <c r="M61" s="12" t="s">
        <v>1779</v>
      </c>
      <c r="N61" s="12" t="str">
        <f>C61&amp;"|"&amp;A61</f>
        <v>001|2555837</v>
      </c>
    </row>
    <row r="62" spans="1:14">
      <c r="A62" s="12" t="s">
        <v>350</v>
      </c>
      <c r="B62" s="12" t="s">
        <v>352</v>
      </c>
      <c r="C62" s="12" t="s">
        <v>74</v>
      </c>
      <c r="D62" s="35">
        <v>290270</v>
      </c>
      <c r="E62" s="35">
        <v>0</v>
      </c>
      <c r="F62" s="35">
        <v>0</v>
      </c>
      <c r="G62" s="35">
        <v>290270</v>
      </c>
      <c r="H62" s="35">
        <v>0</v>
      </c>
      <c r="I62" s="35">
        <v>0</v>
      </c>
      <c r="J62" s="12" t="s">
        <v>89</v>
      </c>
      <c r="K62" s="18">
        <f>SUM(E62:J62)</f>
        <v>290270.0</v>
      </c>
      <c r="L62" s="18">
        <f>D62-K62</f>
        <v>0.0</v>
      </c>
      <c r="M62" s="12" t="s">
        <v>1779</v>
      </c>
      <c r="N62" s="12" t="str">
        <f>C62&amp;"|"&amp;A62</f>
        <v>001|2593683</v>
      </c>
    </row>
    <row r="63" spans="1:14">
      <c r="A63" s="12" t="s">
        <v>354</v>
      </c>
      <c r="B63" s="12" t="s">
        <v>356</v>
      </c>
      <c r="C63" s="12" t="s">
        <v>74</v>
      </c>
      <c r="D63" s="35">
        <v>7609099</v>
      </c>
      <c r="E63" s="35">
        <v>0</v>
      </c>
      <c r="F63" s="35">
        <v>6900</v>
      </c>
      <c r="G63" s="35">
        <v>2434199</v>
      </c>
      <c r="H63" s="35">
        <v>5168000</v>
      </c>
      <c r="I63" s="35">
        <v>0</v>
      </c>
      <c r="J63" s="12" t="s">
        <v>89</v>
      </c>
      <c r="K63" s="18">
        <f>SUM(E63:J63)</f>
        <v>7609099.0</v>
      </c>
      <c r="L63" s="18">
        <f>D63-K63</f>
        <v>0.0</v>
      </c>
      <c r="M63" s="12" t="s">
        <v>1779</v>
      </c>
      <c r="N63" s="12" t="str">
        <f>C63&amp;"|"&amp;A63</f>
        <v>001|2592407</v>
      </c>
    </row>
    <row r="64" spans="1:14">
      <c r="A64" s="12" t="s">
        <v>360</v>
      </c>
      <c r="B64" s="12" t="s">
        <v>362</v>
      </c>
      <c r="C64" s="12" t="s">
        <v>74</v>
      </c>
      <c r="D64" s="35">
        <v>99230</v>
      </c>
      <c r="E64" s="35">
        <v>0</v>
      </c>
      <c r="F64" s="35">
        <v>0</v>
      </c>
      <c r="G64" s="35">
        <v>99230</v>
      </c>
      <c r="H64" s="35">
        <v>0</v>
      </c>
      <c r="I64" s="35">
        <v>0</v>
      </c>
      <c r="J64" s="12" t="s">
        <v>89</v>
      </c>
      <c r="K64" s="18">
        <f>SUM(E64:J64)</f>
        <v>99230.0</v>
      </c>
      <c r="L64" s="18">
        <f>D64-K64</f>
        <v>0.0</v>
      </c>
      <c r="M64" s="12" t="s">
        <v>1779</v>
      </c>
      <c r="N64" s="12" t="str">
        <f>C64&amp;"|"&amp;A64</f>
        <v>001|2230752</v>
      </c>
    </row>
    <row r="65" spans="1:14">
      <c r="A65" s="12" t="s">
        <v>363</v>
      </c>
      <c r="B65" s="12" t="s">
        <v>365</v>
      </c>
      <c r="C65" s="12" t="s">
        <v>74</v>
      </c>
      <c r="D65" s="35">
        <v>133512</v>
      </c>
      <c r="E65" s="35">
        <v>0</v>
      </c>
      <c r="F65" s="35">
        <v>0</v>
      </c>
      <c r="G65" s="35">
        <v>133512</v>
      </c>
      <c r="H65" s="35">
        <v>0</v>
      </c>
      <c r="I65" s="35">
        <v>0</v>
      </c>
      <c r="J65" s="12" t="s">
        <v>89</v>
      </c>
      <c r="K65" s="18">
        <f>SUM(E65:J65)</f>
        <v>133512.0</v>
      </c>
      <c r="L65" s="18">
        <f>D65-K65</f>
        <v>0.0</v>
      </c>
      <c r="M65" s="12" t="s">
        <v>1779</v>
      </c>
      <c r="N65" s="12" t="str">
        <f>C65&amp;"|"&amp;A65</f>
        <v>001|2194989</v>
      </c>
    </row>
    <row r="66" spans="1:14">
      <c r="A66" s="12" t="s">
        <v>368</v>
      </c>
      <c r="B66" s="12" t="s">
        <v>370</v>
      </c>
      <c r="C66" s="12" t="s">
        <v>74</v>
      </c>
      <c r="D66" s="35">
        <v>8256172</v>
      </c>
      <c r="E66" s="35">
        <v>0</v>
      </c>
      <c r="F66" s="35">
        <v>0</v>
      </c>
      <c r="G66" s="35">
        <v>8256172</v>
      </c>
      <c r="H66" s="35">
        <v>0</v>
      </c>
      <c r="I66" s="35">
        <v>0</v>
      </c>
      <c r="J66" s="12" t="s">
        <v>89</v>
      </c>
      <c r="K66" s="18">
        <f>SUM(E66:J66)</f>
        <v>8256172.0</v>
      </c>
      <c r="L66" s="18">
        <f>D66-K66</f>
        <v>0.0</v>
      </c>
      <c r="M66" s="12" t="s">
        <v>1779</v>
      </c>
      <c r="N66" s="12" t="str">
        <f>C66&amp;"|"&amp;A66</f>
        <v>001|2504553</v>
      </c>
    </row>
    <row r="67" spans="1:14">
      <c r="A67" s="12" t="s">
        <v>372</v>
      </c>
      <c r="B67" s="12" t="s">
        <v>374</v>
      </c>
      <c r="C67" s="12" t="s">
        <v>74</v>
      </c>
      <c r="D67" s="35">
        <v>7374992</v>
      </c>
      <c r="E67" s="35">
        <v>0</v>
      </c>
      <c r="F67" s="35">
        <v>6994018</v>
      </c>
      <c r="G67" s="35">
        <v>380974</v>
      </c>
      <c r="H67" s="35">
        <v>0</v>
      </c>
      <c r="I67" s="35">
        <v>0</v>
      </c>
      <c r="J67" s="12" t="s">
        <v>89</v>
      </c>
      <c r="K67" s="18">
        <f>SUM(E67:J67)</f>
        <v>7374992.0</v>
      </c>
      <c r="L67" s="18">
        <f>D67-K67</f>
        <v>0.0</v>
      </c>
      <c r="M67" s="12" t="s">
        <v>1779</v>
      </c>
      <c r="N67" s="12" t="str">
        <f>C67&amp;"|"&amp;A67</f>
        <v>001|2470517</v>
      </c>
    </row>
    <row r="68" spans="1:14">
      <c r="A68" s="12" t="s">
        <v>377</v>
      </c>
      <c r="B68" s="12" t="s">
        <v>379</v>
      </c>
      <c r="C68" s="12" t="s">
        <v>74</v>
      </c>
      <c r="D68" s="35">
        <v>6997430</v>
      </c>
      <c r="E68" s="35">
        <v>0</v>
      </c>
      <c r="F68" s="35">
        <v>0</v>
      </c>
      <c r="G68" s="35">
        <v>6997430</v>
      </c>
      <c r="H68" s="35">
        <v>0</v>
      </c>
      <c r="I68" s="35">
        <v>0</v>
      </c>
      <c r="J68" s="12" t="s">
        <v>89</v>
      </c>
      <c r="K68" s="18">
        <f>SUM(E68:J68)</f>
        <v>6997430.0</v>
      </c>
      <c r="L68" s="18">
        <f>D68-K68</f>
        <v>0.0</v>
      </c>
      <c r="M68" s="12" t="s">
        <v>1779</v>
      </c>
      <c r="N68" s="12" t="str">
        <f>C68&amp;"|"&amp;A68</f>
        <v>001|2357092</v>
      </c>
    </row>
    <row r="69" spans="1:14">
      <c r="A69" s="12" t="s">
        <v>381</v>
      </c>
      <c r="B69" s="12" t="s">
        <v>383</v>
      </c>
      <c r="C69" s="12" t="s">
        <v>74</v>
      </c>
      <c r="D69" s="35">
        <v>6688287</v>
      </c>
      <c r="E69" s="35">
        <v>0</v>
      </c>
      <c r="F69" s="35">
        <v>1378470</v>
      </c>
      <c r="G69" s="35">
        <v>2487115</v>
      </c>
      <c r="H69" s="35">
        <v>2822702</v>
      </c>
      <c r="I69" s="35">
        <v>0</v>
      </c>
      <c r="J69" s="12" t="s">
        <v>89</v>
      </c>
      <c r="K69" s="18">
        <f>SUM(E69:J69)</f>
        <v>6688287.0</v>
      </c>
      <c r="L69" s="18">
        <f>D69-K69</f>
        <v>0.0</v>
      </c>
      <c r="M69" s="12" t="s">
        <v>1779</v>
      </c>
      <c r="N69" s="12" t="str">
        <f>C69&amp;"|"&amp;A69</f>
        <v>001|2494039</v>
      </c>
    </row>
    <row r="70" spans="1:14">
      <c r="A70" s="12" t="s">
        <v>385</v>
      </c>
      <c r="B70" s="12" t="s">
        <v>387</v>
      </c>
      <c r="C70" s="12" t="s">
        <v>74</v>
      </c>
      <c r="D70" s="35">
        <v>3318026</v>
      </c>
      <c r="E70" s="35">
        <v>0</v>
      </c>
      <c r="F70" s="35">
        <v>77657</v>
      </c>
      <c r="G70" s="35">
        <v>3240369</v>
      </c>
      <c r="H70" s="35">
        <v>0</v>
      </c>
      <c r="I70" s="35">
        <v>0</v>
      </c>
      <c r="J70" s="12" t="s">
        <v>89</v>
      </c>
      <c r="K70" s="18">
        <f>SUM(E70:J70)</f>
        <v>3318026.0</v>
      </c>
      <c r="L70" s="18">
        <f>D70-K70</f>
        <v>0.0</v>
      </c>
      <c r="M70" s="12" t="s">
        <v>1779</v>
      </c>
      <c r="N70" s="12" t="str">
        <f>C70&amp;"|"&amp;A70</f>
        <v>001|2290342</v>
      </c>
    </row>
    <row r="71" spans="1:14">
      <c r="A71" s="12" t="s">
        <v>390</v>
      </c>
      <c r="B71" s="12" t="s">
        <v>392</v>
      </c>
      <c r="C71" s="12" t="s">
        <v>74</v>
      </c>
      <c r="D71" s="35">
        <v>0</v>
      </c>
      <c r="E71" s="35">
        <v>0</v>
      </c>
      <c r="F71" s="35">
        <v>0</v>
      </c>
      <c r="G71" s="35">
        <v>0</v>
      </c>
      <c r="H71" s="35">
        <v>0</v>
      </c>
      <c r="I71" s="35">
        <v>0</v>
      </c>
      <c r="J71" s="12" t="s">
        <v>89</v>
      </c>
      <c r="K71" s="18">
        <f>SUM(E71:J71)</f>
        <v>0.0</v>
      </c>
      <c r="L71" s="18">
        <f>D71-K71</f>
        <v>0.0</v>
      </c>
      <c r="M71" s="12" t="s">
        <v>1779</v>
      </c>
      <c r="N71" s="12" t="str">
        <f>C71&amp;"|"&amp;A71</f>
        <v>001|2451529</v>
      </c>
    </row>
    <row r="72" spans="1:14">
      <c r="A72" s="12" t="s">
        <v>393</v>
      </c>
      <c r="B72" s="12" t="s">
        <v>395</v>
      </c>
      <c r="C72" s="12" t="s">
        <v>74</v>
      </c>
      <c r="D72" s="35">
        <v>21914154</v>
      </c>
      <c r="E72" s="35">
        <v>0</v>
      </c>
      <c r="F72" s="35">
        <v>0</v>
      </c>
      <c r="G72" s="35">
        <v>21914154</v>
      </c>
      <c r="H72" s="35">
        <v>0</v>
      </c>
      <c r="I72" s="35">
        <v>0</v>
      </c>
      <c r="J72" s="12" t="s">
        <v>89</v>
      </c>
      <c r="K72" s="18">
        <f>SUM(E72:J72)</f>
        <v>21914154.0</v>
      </c>
      <c r="L72" s="18">
        <f>D72-K72</f>
        <v>0.0</v>
      </c>
      <c r="M72" s="12" t="s">
        <v>1779</v>
      </c>
      <c r="N72" s="12" t="str">
        <f>C72&amp;"|"&amp;A72</f>
        <v>001|2411336</v>
      </c>
    </row>
    <row r="73" spans="1:14">
      <c r="A73" s="12" t="s">
        <v>397</v>
      </c>
      <c r="B73" s="12" t="s">
        <v>399</v>
      </c>
      <c r="C73" s="12" t="s">
        <v>74</v>
      </c>
      <c r="D73" s="35">
        <v>22276780</v>
      </c>
      <c r="E73" s="35">
        <v>0</v>
      </c>
      <c r="F73" s="35">
        <v>5227548</v>
      </c>
      <c r="G73" s="35">
        <v>17049232</v>
      </c>
      <c r="H73" s="35">
        <v>0</v>
      </c>
      <c r="I73" s="35">
        <v>0</v>
      </c>
      <c r="J73" s="12" t="s">
        <v>89</v>
      </c>
      <c r="K73" s="18">
        <f>SUM(E73:J73)</f>
        <v>22276780.0</v>
      </c>
      <c r="L73" s="18">
        <f>D73-K73</f>
        <v>0.0</v>
      </c>
      <c r="M73" s="12" t="s">
        <v>1779</v>
      </c>
      <c r="N73" s="12" t="str">
        <f>C73&amp;"|"&amp;A73</f>
        <v>001|2284935</v>
      </c>
    </row>
    <row r="74" spans="1:14">
      <c r="A74" s="12" t="s">
        <v>400</v>
      </c>
      <c r="B74" s="12" t="s">
        <v>402</v>
      </c>
      <c r="C74" s="12" t="s">
        <v>74</v>
      </c>
      <c r="D74" s="35">
        <v>17354707</v>
      </c>
      <c r="E74" s="35">
        <v>0</v>
      </c>
      <c r="F74" s="35">
        <v>0</v>
      </c>
      <c r="G74" s="35">
        <v>17354707</v>
      </c>
      <c r="H74" s="35">
        <v>0</v>
      </c>
      <c r="I74" s="35">
        <v>0</v>
      </c>
      <c r="J74" s="12" t="s">
        <v>89</v>
      </c>
      <c r="K74" s="18">
        <f>SUM(E74:J74)</f>
        <v>17354707.0</v>
      </c>
      <c r="L74" s="18">
        <f>D74-K74</f>
        <v>0.0</v>
      </c>
      <c r="M74" s="12" t="s">
        <v>1779</v>
      </c>
      <c r="N74" s="12" t="str">
        <f>C74&amp;"|"&amp;A74</f>
        <v>001|2357330</v>
      </c>
    </row>
    <row r="75" spans="1:14">
      <c r="A75" s="12" t="s">
        <v>403</v>
      </c>
      <c r="B75" s="12" t="s">
        <v>405</v>
      </c>
      <c r="C75" s="12" t="s">
        <v>74</v>
      </c>
      <c r="D75" s="35">
        <v>19795501</v>
      </c>
      <c r="E75" s="35">
        <v>0</v>
      </c>
      <c r="F75" s="35">
        <v>0</v>
      </c>
      <c r="G75" s="35">
        <v>19795501</v>
      </c>
      <c r="H75" s="35">
        <v>0</v>
      </c>
      <c r="I75" s="35">
        <v>0</v>
      </c>
      <c r="J75" s="12" t="s">
        <v>89</v>
      </c>
      <c r="K75" s="18">
        <f>SUM(E75:J75)</f>
        <v>19795501.0</v>
      </c>
      <c r="L75" s="18">
        <f>D75-K75</f>
        <v>0.0</v>
      </c>
      <c r="M75" s="12" t="s">
        <v>1779</v>
      </c>
      <c r="N75" s="12" t="str">
        <f>C75&amp;"|"&amp;A75</f>
        <v>001|2357322</v>
      </c>
    </row>
    <row r="76" spans="1:14">
      <c r="A76" s="12" t="s">
        <v>406</v>
      </c>
      <c r="B76" s="12" t="s">
        <v>408</v>
      </c>
      <c r="C76" s="12" t="s">
        <v>74</v>
      </c>
      <c r="D76" s="35">
        <v>17241964</v>
      </c>
      <c r="E76" s="35">
        <v>0</v>
      </c>
      <c r="F76" s="35">
        <v>3706950</v>
      </c>
      <c r="G76" s="35">
        <v>5461344</v>
      </c>
      <c r="H76" s="35">
        <v>8073670</v>
      </c>
      <c r="I76" s="35">
        <v>0</v>
      </c>
      <c r="J76" s="12" t="s">
        <v>89</v>
      </c>
      <c r="K76" s="18">
        <f>SUM(E76:J76)</f>
        <v>17241964.0</v>
      </c>
      <c r="L76" s="18">
        <f>D76-K76</f>
        <v>0.0</v>
      </c>
      <c r="M76" s="12" t="s">
        <v>1779</v>
      </c>
      <c r="N76" s="12" t="str">
        <f>C76&amp;"|"&amp;A76</f>
        <v>001|2385673</v>
      </c>
    </row>
    <row r="77" spans="1:14">
      <c r="A77" s="12" t="s">
        <v>409</v>
      </c>
      <c r="B77" s="12" t="s">
        <v>411</v>
      </c>
      <c r="C77" s="12" t="s">
        <v>74</v>
      </c>
      <c r="D77" s="35">
        <v>15380884</v>
      </c>
      <c r="E77" s="35">
        <v>0</v>
      </c>
      <c r="F77" s="35">
        <v>1000000</v>
      </c>
      <c r="G77" s="35">
        <v>14380884</v>
      </c>
      <c r="H77" s="35">
        <v>0</v>
      </c>
      <c r="I77" s="35">
        <v>0</v>
      </c>
      <c r="J77" s="12" t="s">
        <v>89</v>
      </c>
      <c r="K77" s="18">
        <f>SUM(E77:J77)</f>
        <v>15380884.0</v>
      </c>
      <c r="L77" s="18">
        <f>D77-K77</f>
        <v>0.0</v>
      </c>
      <c r="M77" s="12" t="s">
        <v>1779</v>
      </c>
      <c r="N77" s="12" t="str">
        <f>C77&amp;"|"&amp;A77</f>
        <v>001|2585543</v>
      </c>
    </row>
    <row r="78" spans="1:14">
      <c r="A78" s="12" t="s">
        <v>413</v>
      </c>
      <c r="B78" s="12" t="s">
        <v>415</v>
      </c>
      <c r="C78" s="12" t="s">
        <v>74</v>
      </c>
      <c r="D78" s="35">
        <v>9666000</v>
      </c>
      <c r="E78" s="35">
        <v>0</v>
      </c>
      <c r="F78" s="35">
        <v>314282</v>
      </c>
      <c r="G78" s="35">
        <v>9351718</v>
      </c>
      <c r="H78" s="35">
        <v>0</v>
      </c>
      <c r="I78" s="35">
        <v>0</v>
      </c>
      <c r="J78" s="12" t="s">
        <v>89</v>
      </c>
      <c r="K78" s="18">
        <f>SUM(E78:J78)</f>
        <v>9666000.0</v>
      </c>
      <c r="L78" s="18">
        <f>D78-K78</f>
        <v>0.0</v>
      </c>
      <c r="M78" s="12" t="s">
        <v>1779</v>
      </c>
      <c r="N78" s="12" t="str">
        <f>C78&amp;"|"&amp;A78</f>
        <v>001|2535611</v>
      </c>
    </row>
    <row r="79" spans="1:14">
      <c r="A79" s="12" t="s">
        <v>416</v>
      </c>
      <c r="B79" s="12" t="s">
        <v>418</v>
      </c>
      <c r="C79" s="12" t="s">
        <v>74</v>
      </c>
      <c r="D79" s="35">
        <v>6765264</v>
      </c>
      <c r="E79" s="35">
        <v>0</v>
      </c>
      <c r="F79" s="35">
        <v>0</v>
      </c>
      <c r="G79" s="35">
        <v>6765264</v>
      </c>
      <c r="H79" s="35">
        <v>0</v>
      </c>
      <c r="I79" s="35">
        <v>0</v>
      </c>
      <c r="J79" s="12" t="s">
        <v>89</v>
      </c>
      <c r="K79" s="18">
        <f>SUM(E79:J79)</f>
        <v>6765264.0</v>
      </c>
      <c r="L79" s="18">
        <f>D79-K79</f>
        <v>0.0</v>
      </c>
      <c r="M79" s="12" t="s">
        <v>1779</v>
      </c>
      <c r="N79" s="12" t="str">
        <f>C79&amp;"|"&amp;A79</f>
        <v>001|2538950</v>
      </c>
    </row>
    <row r="80" spans="1:14">
      <c r="A80" s="12" t="s">
        <v>420</v>
      </c>
      <c r="B80" s="12" t="s">
        <v>422</v>
      </c>
      <c r="C80" s="12" t="s">
        <v>74</v>
      </c>
      <c r="D80" s="35">
        <v>4291327</v>
      </c>
      <c r="E80" s="35">
        <v>0</v>
      </c>
      <c r="F80" s="35">
        <v>0</v>
      </c>
      <c r="G80" s="35">
        <v>4291327</v>
      </c>
      <c r="H80" s="35">
        <v>0</v>
      </c>
      <c r="I80" s="35">
        <v>0</v>
      </c>
      <c r="J80" s="12" t="s">
        <v>89</v>
      </c>
      <c r="K80" s="18">
        <f>SUM(E80:J80)</f>
        <v>4291327.0</v>
      </c>
      <c r="L80" s="18">
        <f>D80-K80</f>
        <v>0.0</v>
      </c>
      <c r="M80" s="12" t="s">
        <v>1779</v>
      </c>
      <c r="N80" s="12" t="str">
        <f>C80&amp;"|"&amp;A80</f>
        <v>001|2289661</v>
      </c>
    </row>
    <row r="81" spans="1:14">
      <c r="A81" s="12" t="s">
        <v>424</v>
      </c>
      <c r="B81" s="12" t="s">
        <v>426</v>
      </c>
      <c r="C81" s="12" t="s">
        <v>74</v>
      </c>
      <c r="D81" s="35">
        <v>5799805</v>
      </c>
      <c r="E81" s="35">
        <v>0</v>
      </c>
      <c r="F81" s="35">
        <v>0</v>
      </c>
      <c r="G81" s="35">
        <v>5799805</v>
      </c>
      <c r="H81" s="35">
        <v>0</v>
      </c>
      <c r="I81" s="35">
        <v>0</v>
      </c>
      <c r="J81" s="12" t="s">
        <v>89</v>
      </c>
      <c r="K81" s="18">
        <f>SUM(E81:J81)</f>
        <v>5799805.0</v>
      </c>
      <c r="L81" s="18">
        <f>D81-K81</f>
        <v>0.0</v>
      </c>
      <c r="M81" s="12" t="s">
        <v>1779</v>
      </c>
      <c r="N81" s="12" t="str">
        <f>C81&amp;"|"&amp;A81</f>
        <v>001|2590087</v>
      </c>
    </row>
    <row r="82" spans="1:14">
      <c r="A82" s="12" t="s">
        <v>428</v>
      </c>
      <c r="B82" s="12" t="s">
        <v>430</v>
      </c>
      <c r="C82" s="12" t="s">
        <v>74</v>
      </c>
      <c r="D82" s="35">
        <v>9795205</v>
      </c>
      <c r="E82" s="35">
        <v>0</v>
      </c>
      <c r="F82" s="35">
        <v>0</v>
      </c>
      <c r="G82" s="35">
        <v>9795205</v>
      </c>
      <c r="H82" s="35">
        <v>0</v>
      </c>
      <c r="I82" s="35">
        <v>0</v>
      </c>
      <c r="J82" s="12" t="s">
        <v>89</v>
      </c>
      <c r="K82" s="18">
        <f>SUM(E82:J82)</f>
        <v>9795205.0</v>
      </c>
      <c r="L82" s="18">
        <f>D82-K82</f>
        <v>0.0</v>
      </c>
      <c r="M82" s="12" t="s">
        <v>1779</v>
      </c>
      <c r="N82" s="12" t="str">
        <f>C82&amp;"|"&amp;A82</f>
        <v>001|2417765</v>
      </c>
    </row>
    <row r="83" spans="1:14">
      <c r="A83" s="12" t="s">
        <v>434</v>
      </c>
      <c r="B83" s="12" t="s">
        <v>436</v>
      </c>
      <c r="C83" s="12" t="s">
        <v>74</v>
      </c>
      <c r="D83" s="35">
        <v>3853164</v>
      </c>
      <c r="E83" s="35">
        <v>0</v>
      </c>
      <c r="F83" s="35">
        <v>600641</v>
      </c>
      <c r="G83" s="35">
        <v>3252523</v>
      </c>
      <c r="H83" s="35">
        <v>0</v>
      </c>
      <c r="I83" s="35">
        <v>0</v>
      </c>
      <c r="J83" s="12" t="s">
        <v>89</v>
      </c>
      <c r="K83" s="18">
        <f>SUM(E83:J83)</f>
        <v>3853164.0</v>
      </c>
      <c r="L83" s="18">
        <f>D83-K83</f>
        <v>0.0</v>
      </c>
      <c r="M83" s="12" t="s">
        <v>1779</v>
      </c>
      <c r="N83" s="12" t="str">
        <f>C83&amp;"|"&amp;A83</f>
        <v>001|2606991</v>
      </c>
    </row>
    <row r="84" spans="1:14">
      <c r="A84" s="12" t="s">
        <v>438</v>
      </c>
      <c r="B84" s="12" t="s">
        <v>440</v>
      </c>
      <c r="C84" s="12" t="s">
        <v>74</v>
      </c>
      <c r="D84" s="35">
        <v>1142346</v>
      </c>
      <c r="E84" s="35">
        <v>0</v>
      </c>
      <c r="F84" s="35">
        <v>0</v>
      </c>
      <c r="G84" s="35">
        <v>1142346</v>
      </c>
      <c r="H84" s="35">
        <v>0</v>
      </c>
      <c r="I84" s="35">
        <v>0</v>
      </c>
      <c r="J84" s="12" t="s">
        <v>89</v>
      </c>
      <c r="K84" s="18">
        <f>SUM(E84:J84)</f>
        <v>1142346.0</v>
      </c>
      <c r="L84" s="18">
        <f>D84-K84</f>
        <v>0.0</v>
      </c>
      <c r="M84" s="12" t="s">
        <v>1779</v>
      </c>
      <c r="N84" s="12" t="str">
        <f>C84&amp;"|"&amp;A84</f>
        <v>001|2649852</v>
      </c>
    </row>
    <row r="85" spans="1:14">
      <c r="A85" s="12" t="s">
        <v>441</v>
      </c>
      <c r="B85" s="12" t="s">
        <v>443</v>
      </c>
      <c r="C85" s="12" t="s">
        <v>74</v>
      </c>
      <c r="D85" s="35">
        <v>2361641</v>
      </c>
      <c r="E85" s="35">
        <v>0</v>
      </c>
      <c r="F85" s="35">
        <v>0</v>
      </c>
      <c r="G85" s="35">
        <v>2361641</v>
      </c>
      <c r="H85" s="35">
        <v>0</v>
      </c>
      <c r="I85" s="35">
        <v>0</v>
      </c>
      <c r="J85" s="12" t="s">
        <v>89</v>
      </c>
      <c r="K85" s="18">
        <f>SUM(E85:J85)</f>
        <v>2361641.0</v>
      </c>
      <c r="L85" s="18">
        <f>D85-K85</f>
        <v>0.0</v>
      </c>
      <c r="M85" s="12" t="s">
        <v>1779</v>
      </c>
      <c r="N85" s="12" t="str">
        <f>C85&amp;"|"&amp;A85</f>
        <v>001|2649858</v>
      </c>
    </row>
    <row r="86" spans="1:14">
      <c r="A86" s="12" t="s">
        <v>444</v>
      </c>
      <c r="B86" s="12" t="s">
        <v>446</v>
      </c>
      <c r="C86" s="12" t="s">
        <v>74</v>
      </c>
      <c r="D86" s="35">
        <v>1272735</v>
      </c>
      <c r="E86" s="35">
        <v>0</v>
      </c>
      <c r="F86" s="35">
        <v>0</v>
      </c>
      <c r="G86" s="35">
        <v>1272735</v>
      </c>
      <c r="H86" s="35">
        <v>0</v>
      </c>
      <c r="I86" s="35">
        <v>0</v>
      </c>
      <c r="J86" s="12" t="s">
        <v>89</v>
      </c>
      <c r="K86" s="18">
        <f>SUM(E86:J86)</f>
        <v>1272735.0</v>
      </c>
      <c r="L86" s="18">
        <f>D86-K86</f>
        <v>0.0</v>
      </c>
      <c r="M86" s="12" t="s">
        <v>1779</v>
      </c>
      <c r="N86" s="12" t="str">
        <f>C86&amp;"|"&amp;A86</f>
        <v>001|2411335</v>
      </c>
    </row>
    <row r="87" spans="1:14">
      <c r="A87" s="12" t="s">
        <v>447</v>
      </c>
      <c r="B87" s="12" t="s">
        <v>449</v>
      </c>
      <c r="C87" s="12" t="s">
        <v>74</v>
      </c>
      <c r="D87" s="35">
        <v>919876</v>
      </c>
      <c r="E87" s="35">
        <v>0</v>
      </c>
      <c r="F87" s="35">
        <v>0</v>
      </c>
      <c r="G87" s="35">
        <v>919876</v>
      </c>
      <c r="H87" s="35">
        <v>0</v>
      </c>
      <c r="I87" s="35">
        <v>0</v>
      </c>
      <c r="J87" s="12" t="s">
        <v>89</v>
      </c>
      <c r="K87" s="18">
        <f>SUM(E87:J87)</f>
        <v>919876.0</v>
      </c>
      <c r="L87" s="18">
        <f>D87-K87</f>
        <v>0.0</v>
      </c>
      <c r="M87" s="12" t="s">
        <v>1779</v>
      </c>
      <c r="N87" s="12" t="str">
        <f>C87&amp;"|"&amp;A87</f>
        <v>001|2651383</v>
      </c>
    </row>
    <row r="88" spans="1:14">
      <c r="A88" s="12" t="s">
        <v>451</v>
      </c>
      <c r="B88" s="12" t="s">
        <v>453</v>
      </c>
      <c r="C88" s="12" t="s">
        <v>74</v>
      </c>
      <c r="D88" s="35">
        <v>41720</v>
      </c>
      <c r="E88" s="35">
        <v>0</v>
      </c>
      <c r="F88" s="35">
        <v>0</v>
      </c>
      <c r="G88" s="35">
        <v>41720</v>
      </c>
      <c r="H88" s="35">
        <v>0</v>
      </c>
      <c r="I88" s="35">
        <v>0</v>
      </c>
      <c r="J88" s="12" t="s">
        <v>89</v>
      </c>
      <c r="K88" s="18">
        <f>SUM(E88:J88)</f>
        <v>41720.0</v>
      </c>
      <c r="L88" s="18">
        <f>D88-K88</f>
        <v>0.0</v>
      </c>
      <c r="M88" s="12" t="s">
        <v>1779</v>
      </c>
      <c r="N88" s="12" t="str">
        <f>C88&amp;"|"&amp;A88</f>
        <v>001|2250396</v>
      </c>
    </row>
    <row r="89" spans="1:14">
      <c r="A89" s="12" t="s">
        <v>454</v>
      </c>
      <c r="B89" s="12" t="s">
        <v>456</v>
      </c>
      <c r="C89" s="12" t="s">
        <v>74</v>
      </c>
      <c r="D89" s="35">
        <v>704972</v>
      </c>
      <c r="E89" s="35">
        <v>0</v>
      </c>
      <c r="F89" s="35">
        <v>0</v>
      </c>
      <c r="G89" s="35">
        <v>704972</v>
      </c>
      <c r="H89" s="35">
        <v>0</v>
      </c>
      <c r="I89" s="35">
        <v>0</v>
      </c>
      <c r="J89" s="12" t="s">
        <v>89</v>
      </c>
      <c r="K89" s="18">
        <f>SUM(E89:J89)</f>
        <v>704972.0</v>
      </c>
      <c r="L89" s="18">
        <f>D89-K89</f>
        <v>0.0</v>
      </c>
      <c r="M89" s="12" t="s">
        <v>1779</v>
      </c>
      <c r="N89" s="12" t="str">
        <f>C89&amp;"|"&amp;A89</f>
        <v>001|2649805</v>
      </c>
    </row>
    <row r="90" spans="1:14">
      <c r="A90" s="12" t="s">
        <v>457</v>
      </c>
      <c r="B90" s="12" t="s">
        <v>459</v>
      </c>
      <c r="C90" s="12" t="s">
        <v>74</v>
      </c>
      <c r="D90" s="35">
        <v>61203</v>
      </c>
      <c r="E90" s="35">
        <v>0</v>
      </c>
      <c r="F90" s="35">
        <v>0</v>
      </c>
      <c r="G90" s="35">
        <v>61203</v>
      </c>
      <c r="H90" s="35">
        <v>0</v>
      </c>
      <c r="I90" s="35">
        <v>0</v>
      </c>
      <c r="J90" s="12" t="s">
        <v>89</v>
      </c>
      <c r="K90" s="18">
        <f>SUM(E90:J90)</f>
        <v>61203.0</v>
      </c>
      <c r="L90" s="18">
        <f>D90-K90</f>
        <v>0.0</v>
      </c>
      <c r="M90" s="12" t="s">
        <v>1779</v>
      </c>
      <c r="N90" s="12" t="str">
        <f>C90&amp;"|"&amp;A90</f>
        <v>001|2627406</v>
      </c>
    </row>
    <row r="91" spans="1:14">
      <c r="A91" s="12" t="s">
        <v>460</v>
      </c>
      <c r="B91" s="12" t="s">
        <v>462</v>
      </c>
      <c r="C91" s="12" t="s">
        <v>74</v>
      </c>
      <c r="D91" s="35">
        <v>23143575</v>
      </c>
      <c r="E91" s="35">
        <v>0</v>
      </c>
      <c r="F91" s="35">
        <v>0</v>
      </c>
      <c r="G91" s="35">
        <v>6917643</v>
      </c>
      <c r="H91" s="35">
        <v>16225932</v>
      </c>
      <c r="I91" s="35">
        <v>0</v>
      </c>
      <c r="J91" s="12" t="s">
        <v>89</v>
      </c>
      <c r="K91" s="18">
        <f>SUM(E91:J91)</f>
        <v>23143575.0</v>
      </c>
      <c r="L91" s="18">
        <f>D91-K91</f>
        <v>0.0</v>
      </c>
      <c r="M91" s="12" t="s">
        <v>1779</v>
      </c>
      <c r="N91" s="12" t="str">
        <f>C91&amp;"|"&amp;A91</f>
        <v>001|2456529</v>
      </c>
    </row>
    <row r="92" spans="1:14">
      <c r="A92" s="12" t="s">
        <v>464</v>
      </c>
      <c r="B92" s="12" t="s">
        <v>466</v>
      </c>
      <c r="C92" s="12" t="s">
        <v>74</v>
      </c>
      <c r="D92" s="35">
        <v>14991498</v>
      </c>
      <c r="E92" s="35">
        <v>0</v>
      </c>
      <c r="F92" s="35">
        <v>0</v>
      </c>
      <c r="G92" s="35">
        <v>2500000</v>
      </c>
      <c r="H92" s="35">
        <v>12491498</v>
      </c>
      <c r="I92" s="35">
        <v>0</v>
      </c>
      <c r="J92" s="12" t="s">
        <v>89</v>
      </c>
      <c r="K92" s="18">
        <f>SUM(E92:J92)</f>
        <v>14991498.0</v>
      </c>
      <c r="L92" s="18">
        <f>D92-K92</f>
        <v>0.0</v>
      </c>
      <c r="M92" s="12" t="s">
        <v>1779</v>
      </c>
      <c r="N92" s="12" t="str">
        <f>C92&amp;"|"&amp;A92</f>
        <v>001|2343199</v>
      </c>
    </row>
    <row r="93" spans="1:14">
      <c r="A93" s="12" t="s">
        <v>468</v>
      </c>
      <c r="B93" s="12" t="s">
        <v>470</v>
      </c>
      <c r="C93" s="12" t="s">
        <v>74</v>
      </c>
      <c r="D93" s="35">
        <v>5270087</v>
      </c>
      <c r="E93" s="35">
        <v>0</v>
      </c>
      <c r="F93" s="35">
        <v>0</v>
      </c>
      <c r="G93" s="35">
        <v>5270087</v>
      </c>
      <c r="H93" s="35">
        <v>0</v>
      </c>
      <c r="I93" s="35">
        <v>0</v>
      </c>
      <c r="J93" s="12" t="s">
        <v>89</v>
      </c>
      <c r="K93" s="18">
        <f>SUM(E93:J93)</f>
        <v>5270087.0</v>
      </c>
      <c r="L93" s="18">
        <f>D93-K93</f>
        <v>0.0</v>
      </c>
      <c r="M93" s="12" t="s">
        <v>1779</v>
      </c>
      <c r="N93" s="12" t="str">
        <f>C93&amp;"|"&amp;A93</f>
        <v>001|2399543</v>
      </c>
    </row>
    <row r="94" spans="1:14">
      <c r="A94" s="12" t="s">
        <v>472</v>
      </c>
      <c r="B94" s="12" t="s">
        <v>474</v>
      </c>
      <c r="C94" s="12" t="s">
        <v>74</v>
      </c>
      <c r="D94" s="35">
        <v>6770858</v>
      </c>
      <c r="E94" s="35">
        <v>0</v>
      </c>
      <c r="F94" s="35">
        <v>0</v>
      </c>
      <c r="G94" s="35">
        <v>6770858</v>
      </c>
      <c r="H94" s="35">
        <v>0</v>
      </c>
      <c r="I94" s="35">
        <v>0</v>
      </c>
      <c r="J94" s="12" t="s">
        <v>89</v>
      </c>
      <c r="K94" s="18">
        <f>SUM(E94:J94)</f>
        <v>6770858.0</v>
      </c>
      <c r="L94" s="18">
        <f>D94-K94</f>
        <v>0.0</v>
      </c>
      <c r="M94" s="12" t="s">
        <v>1779</v>
      </c>
      <c r="N94" s="12" t="str">
        <f>C94&amp;"|"&amp;A94</f>
        <v>001|2591951</v>
      </c>
    </row>
    <row r="95" spans="1:14">
      <c r="A95" s="12" t="s">
        <v>476</v>
      </c>
      <c r="B95" s="12" t="s">
        <v>478</v>
      </c>
      <c r="C95" s="12" t="s">
        <v>74</v>
      </c>
      <c r="D95" s="35">
        <v>2308286</v>
      </c>
      <c r="E95" s="35">
        <v>0</v>
      </c>
      <c r="F95" s="35">
        <v>0</v>
      </c>
      <c r="G95" s="35">
        <v>2308286</v>
      </c>
      <c r="H95" s="35">
        <v>0</v>
      </c>
      <c r="I95" s="35">
        <v>0</v>
      </c>
      <c r="J95" s="12" t="s">
        <v>89</v>
      </c>
      <c r="K95" s="18">
        <f>SUM(E95:J95)</f>
        <v>2308286.0</v>
      </c>
      <c r="L95" s="18">
        <f>D95-K95</f>
        <v>0.0</v>
      </c>
      <c r="M95" s="12" t="s">
        <v>1779</v>
      </c>
      <c r="N95" s="12" t="str">
        <f>C95&amp;"|"&amp;A95</f>
        <v>001|2602163</v>
      </c>
    </row>
    <row r="96" spans="1:14">
      <c r="A96" s="12" t="s">
        <v>479</v>
      </c>
      <c r="B96" s="12" t="s">
        <v>481</v>
      </c>
      <c r="C96" s="12" t="s">
        <v>74</v>
      </c>
      <c r="D96" s="35">
        <v>1827737</v>
      </c>
      <c r="E96" s="35">
        <v>0</v>
      </c>
      <c r="F96" s="35">
        <v>0</v>
      </c>
      <c r="G96" s="35">
        <v>1827737</v>
      </c>
      <c r="H96" s="35">
        <v>0</v>
      </c>
      <c r="I96" s="35">
        <v>0</v>
      </c>
      <c r="J96" s="12" t="s">
        <v>89</v>
      </c>
      <c r="K96" s="18">
        <f>SUM(E96:J96)</f>
        <v>1827737.0</v>
      </c>
      <c r="L96" s="18">
        <f>D96-K96</f>
        <v>0.0</v>
      </c>
      <c r="M96" s="12" t="s">
        <v>1779</v>
      </c>
      <c r="N96" s="12" t="str">
        <f>C96&amp;"|"&amp;A96</f>
        <v>001|2511009</v>
      </c>
    </row>
    <row r="97" spans="1:14">
      <c r="A97" s="12" t="s">
        <v>483</v>
      </c>
      <c r="B97" s="12" t="s">
        <v>485</v>
      </c>
      <c r="C97" s="12" t="s">
        <v>74</v>
      </c>
      <c r="D97" s="35">
        <v>4106961</v>
      </c>
      <c r="E97" s="35">
        <v>0</v>
      </c>
      <c r="F97" s="35">
        <v>0</v>
      </c>
      <c r="G97" s="35">
        <v>4106961</v>
      </c>
      <c r="H97" s="35">
        <v>0</v>
      </c>
      <c r="I97" s="35">
        <v>0</v>
      </c>
      <c r="J97" s="12" t="s">
        <v>89</v>
      </c>
      <c r="K97" s="18">
        <f>SUM(E97:J97)</f>
        <v>4106961.0</v>
      </c>
      <c r="L97" s="18">
        <f>D97-K97</f>
        <v>0.0</v>
      </c>
      <c r="M97" s="12" t="s">
        <v>1779</v>
      </c>
      <c r="N97" s="12" t="str">
        <f>C97&amp;"|"&amp;A97</f>
        <v>001|2634040</v>
      </c>
    </row>
    <row r="98" spans="1:14">
      <c r="A98" s="12" t="s">
        <v>487</v>
      </c>
      <c r="B98" s="12" t="s">
        <v>489</v>
      </c>
      <c r="C98" s="12" t="s">
        <v>74</v>
      </c>
      <c r="D98" s="35">
        <v>7751873</v>
      </c>
      <c r="E98" s="35">
        <v>0</v>
      </c>
      <c r="F98" s="35">
        <v>0</v>
      </c>
      <c r="G98" s="35">
        <v>6734873</v>
      </c>
      <c r="H98" s="35">
        <v>1017000</v>
      </c>
      <c r="I98" s="35">
        <v>0</v>
      </c>
      <c r="J98" s="12" t="s">
        <v>89</v>
      </c>
      <c r="K98" s="18">
        <f>SUM(E98:J98)</f>
        <v>7751873.0</v>
      </c>
      <c r="L98" s="18">
        <f>D98-K98</f>
        <v>0.0</v>
      </c>
      <c r="M98" s="12" t="s">
        <v>1779</v>
      </c>
      <c r="N98" s="12" t="str">
        <f>C98&amp;"|"&amp;A98</f>
        <v>001|2387422</v>
      </c>
    </row>
    <row r="99" spans="1:14">
      <c r="A99" s="12" t="s">
        <v>490</v>
      </c>
      <c r="B99" s="12" t="s">
        <v>492</v>
      </c>
      <c r="C99" s="12" t="s">
        <v>74</v>
      </c>
      <c r="D99" s="35">
        <v>936343</v>
      </c>
      <c r="E99" s="35">
        <v>0</v>
      </c>
      <c r="F99" s="35">
        <v>0</v>
      </c>
      <c r="G99" s="35">
        <v>936343</v>
      </c>
      <c r="H99" s="35">
        <v>0</v>
      </c>
      <c r="I99" s="35">
        <v>0</v>
      </c>
      <c r="J99" s="12" t="s">
        <v>89</v>
      </c>
      <c r="K99" s="18">
        <f>SUM(E99:J99)</f>
        <v>936343.0</v>
      </c>
      <c r="L99" s="18">
        <f>D99-K99</f>
        <v>0.0</v>
      </c>
      <c r="M99" s="12" t="s">
        <v>1779</v>
      </c>
      <c r="N99" s="12" t="str">
        <f>C99&amp;"|"&amp;A99</f>
        <v>001|2527184</v>
      </c>
    </row>
    <row r="100" spans="1:14">
      <c r="A100" s="12" t="s">
        <v>493</v>
      </c>
      <c r="B100" s="12" t="s">
        <v>495</v>
      </c>
      <c r="C100" s="12" t="s">
        <v>74</v>
      </c>
      <c r="D100" s="35">
        <v>565870</v>
      </c>
      <c r="E100" s="35">
        <v>0</v>
      </c>
      <c r="F100" s="35">
        <v>0</v>
      </c>
      <c r="G100" s="35">
        <v>565870</v>
      </c>
      <c r="H100" s="35">
        <v>0</v>
      </c>
      <c r="I100" s="35">
        <v>0</v>
      </c>
      <c r="J100" s="12" t="s">
        <v>89</v>
      </c>
      <c r="K100" s="18">
        <f>SUM(E100:J100)</f>
        <v>565870.0</v>
      </c>
      <c r="L100" s="18">
        <f>D100-K100</f>
        <v>0.0</v>
      </c>
      <c r="M100" s="12" t="s">
        <v>1779</v>
      </c>
      <c r="N100" s="12" t="str">
        <f>C100&amp;"|"&amp;A100</f>
        <v>001|2519621</v>
      </c>
    </row>
    <row r="101" spans="1:14">
      <c r="A101" s="12" t="s">
        <v>497</v>
      </c>
      <c r="B101" s="12" t="s">
        <v>499</v>
      </c>
      <c r="C101" s="12" t="s">
        <v>74</v>
      </c>
      <c r="D101" s="35">
        <v>1075076</v>
      </c>
      <c r="E101" s="35">
        <v>0</v>
      </c>
      <c r="F101" s="35">
        <v>0</v>
      </c>
      <c r="G101" s="35">
        <v>1075076</v>
      </c>
      <c r="H101" s="35">
        <v>0</v>
      </c>
      <c r="I101" s="35">
        <v>0</v>
      </c>
      <c r="J101" s="12" t="s">
        <v>89</v>
      </c>
      <c r="K101" s="18">
        <f>SUM(E101:J101)</f>
        <v>1075076.0</v>
      </c>
      <c r="L101" s="18">
        <f>D101-K101</f>
        <v>0.0</v>
      </c>
      <c r="M101" s="12" t="s">
        <v>1779</v>
      </c>
      <c r="N101" s="12" t="str">
        <f>C101&amp;"|"&amp;A101</f>
        <v>001|2645446</v>
      </c>
    </row>
    <row r="102" spans="1:14">
      <c r="A102" s="12" t="s">
        <v>502</v>
      </c>
      <c r="B102" s="12" t="s">
        <v>504</v>
      </c>
      <c r="C102" s="12" t="s">
        <v>74</v>
      </c>
      <c r="D102" s="35">
        <v>4474004</v>
      </c>
      <c r="E102" s="35">
        <v>0</v>
      </c>
      <c r="F102" s="35">
        <v>0</v>
      </c>
      <c r="G102" s="35">
        <v>4474004</v>
      </c>
      <c r="H102" s="35">
        <v>0</v>
      </c>
      <c r="I102" s="35">
        <v>0</v>
      </c>
      <c r="J102" s="12" t="s">
        <v>89</v>
      </c>
      <c r="K102" s="18">
        <f>SUM(E102:J102)</f>
        <v>4474004.0</v>
      </c>
      <c r="L102" s="18">
        <f>D102-K102</f>
        <v>0.0</v>
      </c>
      <c r="M102" s="12" t="s">
        <v>1779</v>
      </c>
      <c r="N102" s="12" t="str">
        <f>C102&amp;"|"&amp;A102</f>
        <v>001|2646109</v>
      </c>
    </row>
    <row r="103" spans="1:14">
      <c r="A103" s="12" t="s">
        <v>506</v>
      </c>
      <c r="B103" s="12" t="s">
        <v>508</v>
      </c>
      <c r="C103" s="12" t="s">
        <v>74</v>
      </c>
      <c r="D103" s="35">
        <v>900000</v>
      </c>
      <c r="E103" s="35">
        <v>0</v>
      </c>
      <c r="F103" s="35">
        <v>0</v>
      </c>
      <c r="G103" s="35">
        <v>900000</v>
      </c>
      <c r="H103" s="35">
        <v>0</v>
      </c>
      <c r="I103" s="35">
        <v>0</v>
      </c>
      <c r="J103" s="12" t="s">
        <v>89</v>
      </c>
      <c r="K103" s="18">
        <f>SUM(E103:J103)</f>
        <v>900000.0</v>
      </c>
      <c r="L103" s="18">
        <f>D103-K103</f>
        <v>0.0</v>
      </c>
      <c r="M103" s="12" t="s">
        <v>1779</v>
      </c>
      <c r="N103" s="12" t="str">
        <f>C103&amp;"|"&amp;A103</f>
        <v>001|2630072</v>
      </c>
    </row>
    <row r="104" spans="1:14">
      <c r="A104" s="12" t="s">
        <v>511</v>
      </c>
      <c r="B104" s="12" t="s">
        <v>513</v>
      </c>
      <c r="C104" s="12" t="s">
        <v>74</v>
      </c>
      <c r="D104" s="35">
        <v>8692228</v>
      </c>
      <c r="E104" s="35">
        <v>0</v>
      </c>
      <c r="F104" s="35">
        <v>0</v>
      </c>
      <c r="G104" s="35">
        <v>8692228</v>
      </c>
      <c r="H104" s="35">
        <v>0</v>
      </c>
      <c r="I104" s="35">
        <v>0</v>
      </c>
      <c r="J104" s="12" t="s">
        <v>89</v>
      </c>
      <c r="K104" s="18">
        <f>SUM(E104:J104)</f>
        <v>8692228.0</v>
      </c>
      <c r="L104" s="18">
        <f>D104-K104</f>
        <v>0.0</v>
      </c>
      <c r="M104" s="12" t="s">
        <v>1779</v>
      </c>
      <c r="N104" s="12" t="str">
        <f>C104&amp;"|"&amp;A104</f>
        <v>001|2393398</v>
      </c>
    </row>
    <row r="105" spans="1:14">
      <c r="A105" s="12" t="s">
        <v>515</v>
      </c>
      <c r="B105" s="12" t="s">
        <v>517</v>
      </c>
      <c r="C105" s="12" t="s">
        <v>74</v>
      </c>
      <c r="D105" s="35">
        <v>4437995</v>
      </c>
      <c r="E105" s="35">
        <v>0</v>
      </c>
      <c r="F105" s="35">
        <v>0</v>
      </c>
      <c r="G105" s="35">
        <v>4437995</v>
      </c>
      <c r="H105" s="35">
        <v>0</v>
      </c>
      <c r="I105" s="35">
        <v>0</v>
      </c>
      <c r="J105" s="12" t="s">
        <v>89</v>
      </c>
      <c r="K105" s="18">
        <f>SUM(E105:J105)</f>
        <v>4437995.0</v>
      </c>
      <c r="L105" s="18">
        <f>D105-K105</f>
        <v>0.0</v>
      </c>
      <c r="M105" s="12" t="s">
        <v>1779</v>
      </c>
      <c r="N105" s="12" t="str">
        <f>C105&amp;"|"&amp;A105</f>
        <v>001|2500458</v>
      </c>
    </row>
    <row r="106" spans="1:14">
      <c r="A106" s="12" t="s">
        <v>518</v>
      </c>
      <c r="B106" s="12" t="s">
        <v>520</v>
      </c>
      <c r="C106" s="12" t="s">
        <v>74</v>
      </c>
      <c r="D106" s="35">
        <v>4265759</v>
      </c>
      <c r="E106" s="35">
        <v>0</v>
      </c>
      <c r="F106" s="35">
        <v>0</v>
      </c>
      <c r="G106" s="35">
        <v>4265759</v>
      </c>
      <c r="H106" s="35">
        <v>0</v>
      </c>
      <c r="I106" s="35">
        <v>0</v>
      </c>
      <c r="J106" s="12" t="s">
        <v>89</v>
      </c>
      <c r="K106" s="18">
        <f>SUM(E106:J106)</f>
        <v>4265759.0</v>
      </c>
      <c r="L106" s="18">
        <f>D106-K106</f>
        <v>0.0</v>
      </c>
      <c r="M106" s="12" t="s">
        <v>1779</v>
      </c>
      <c r="N106" s="12" t="str">
        <f>C106&amp;"|"&amp;A106</f>
        <v>001|2453224</v>
      </c>
    </row>
    <row r="107" spans="1:14">
      <c r="A107" s="12" t="s">
        <v>522</v>
      </c>
      <c r="B107" s="12" t="s">
        <v>524</v>
      </c>
      <c r="C107" s="12" t="s">
        <v>74</v>
      </c>
      <c r="D107" s="35">
        <v>2342684</v>
      </c>
      <c r="E107" s="35">
        <v>0</v>
      </c>
      <c r="F107" s="35">
        <v>0</v>
      </c>
      <c r="G107" s="35">
        <v>2342684</v>
      </c>
      <c r="H107" s="35">
        <v>0</v>
      </c>
      <c r="I107" s="35">
        <v>0</v>
      </c>
      <c r="J107" s="12" t="s">
        <v>89</v>
      </c>
      <c r="K107" s="18">
        <f>SUM(E107:J107)</f>
        <v>2342684.0</v>
      </c>
      <c r="L107" s="18">
        <f>D107-K107</f>
        <v>0.0</v>
      </c>
      <c r="M107" s="12" t="s">
        <v>1779</v>
      </c>
      <c r="N107" s="12" t="str">
        <f>C107&amp;"|"&amp;A107</f>
        <v>001|2250382</v>
      </c>
    </row>
    <row r="108" spans="1:14">
      <c r="A108" s="12" t="s">
        <v>525</v>
      </c>
      <c r="B108" s="12" t="s">
        <v>527</v>
      </c>
      <c r="C108" s="12" t="s">
        <v>74</v>
      </c>
      <c r="D108" s="35">
        <v>4026127</v>
      </c>
      <c r="E108" s="35">
        <v>0</v>
      </c>
      <c r="F108" s="35">
        <v>0</v>
      </c>
      <c r="G108" s="35">
        <v>4026127</v>
      </c>
      <c r="H108" s="35">
        <v>0</v>
      </c>
      <c r="I108" s="35">
        <v>0</v>
      </c>
      <c r="J108" s="12" t="s">
        <v>89</v>
      </c>
      <c r="K108" s="18">
        <f>SUM(E108:J108)</f>
        <v>4026127.0</v>
      </c>
      <c r="L108" s="18">
        <f>D108-K108</f>
        <v>0.0</v>
      </c>
      <c r="M108" s="12" t="s">
        <v>1779</v>
      </c>
      <c r="N108" s="12" t="str">
        <f>C108&amp;"|"&amp;A108</f>
        <v>001|2344253</v>
      </c>
    </row>
    <row r="109" spans="1:14">
      <c r="A109" s="12" t="s">
        <v>528</v>
      </c>
      <c r="B109" s="12" t="s">
        <v>530</v>
      </c>
      <c r="C109" s="12" t="s">
        <v>74</v>
      </c>
      <c r="D109" s="35">
        <v>4927527</v>
      </c>
      <c r="E109" s="35">
        <v>0</v>
      </c>
      <c r="F109" s="35">
        <v>1627515</v>
      </c>
      <c r="G109" s="35">
        <v>3300012</v>
      </c>
      <c r="H109" s="35">
        <v>0</v>
      </c>
      <c r="I109" s="35">
        <v>0</v>
      </c>
      <c r="J109" s="12" t="s">
        <v>89</v>
      </c>
      <c r="K109" s="18">
        <f>SUM(E109:J109)</f>
        <v>4927527.0</v>
      </c>
      <c r="L109" s="18">
        <f>D109-K109</f>
        <v>0.0</v>
      </c>
      <c r="M109" s="12" t="s">
        <v>1779</v>
      </c>
      <c r="N109" s="12" t="str">
        <f>C109&amp;"|"&amp;A109</f>
        <v>001|2385051</v>
      </c>
    </row>
    <row r="110" spans="1:14">
      <c r="A110" s="12" t="s">
        <v>531</v>
      </c>
      <c r="B110" s="12" t="s">
        <v>533</v>
      </c>
      <c r="C110" s="12" t="s">
        <v>74</v>
      </c>
      <c r="D110" s="35">
        <v>1479604</v>
      </c>
      <c r="E110" s="35">
        <v>0</v>
      </c>
      <c r="F110" s="35">
        <v>0</v>
      </c>
      <c r="G110" s="35">
        <v>1479604</v>
      </c>
      <c r="H110" s="35">
        <v>0</v>
      </c>
      <c r="I110" s="35">
        <v>0</v>
      </c>
      <c r="J110" s="12" t="s">
        <v>89</v>
      </c>
      <c r="K110" s="18">
        <f>SUM(E110:J110)</f>
        <v>1479604.0</v>
      </c>
      <c r="L110" s="18">
        <f>D110-K110</f>
        <v>0.0</v>
      </c>
      <c r="M110" s="12" t="s">
        <v>1779</v>
      </c>
      <c r="N110" s="12" t="str">
        <f>C110&amp;"|"&amp;A110</f>
        <v>001|2566572</v>
      </c>
    </row>
    <row r="111" spans="1:14">
      <c r="A111" s="12" t="s">
        <v>535</v>
      </c>
      <c r="B111" s="12" t="s">
        <v>537</v>
      </c>
      <c r="C111" s="12" t="s">
        <v>74</v>
      </c>
      <c r="D111" s="35">
        <v>1038097</v>
      </c>
      <c r="E111" s="35">
        <v>0</v>
      </c>
      <c r="F111" s="35">
        <v>0</v>
      </c>
      <c r="G111" s="35">
        <v>1038097</v>
      </c>
      <c r="H111" s="35">
        <v>0</v>
      </c>
      <c r="I111" s="35">
        <v>0</v>
      </c>
      <c r="J111" s="12" t="s">
        <v>89</v>
      </c>
      <c r="K111" s="18">
        <f>SUM(E111:J111)</f>
        <v>1038097.0</v>
      </c>
      <c r="L111" s="18">
        <f>D111-K111</f>
        <v>0.0</v>
      </c>
      <c r="M111" s="12" t="s">
        <v>1779</v>
      </c>
      <c r="N111" s="12" t="str">
        <f>C111&amp;"|"&amp;A111</f>
        <v>001|2501244</v>
      </c>
    </row>
    <row r="112" spans="1:14">
      <c r="A112" s="12" t="s">
        <v>539</v>
      </c>
      <c r="B112" s="12" t="s">
        <v>541</v>
      </c>
      <c r="C112" s="12" t="s">
        <v>74</v>
      </c>
      <c r="D112" s="35">
        <v>0</v>
      </c>
      <c r="E112" s="35">
        <v>0</v>
      </c>
      <c r="F112" s="35">
        <v>0</v>
      </c>
      <c r="G112" s="35">
        <v>0</v>
      </c>
      <c r="H112" s="35">
        <v>0</v>
      </c>
      <c r="I112" s="35">
        <v>0</v>
      </c>
      <c r="J112" s="12" t="s">
        <v>89</v>
      </c>
      <c r="K112" s="18">
        <f>SUM(E112:J112)</f>
        <v>0.0</v>
      </c>
      <c r="L112" s="18">
        <f>D112-K112</f>
        <v>0.0</v>
      </c>
      <c r="M112" s="12" t="s">
        <v>1779</v>
      </c>
      <c r="N112" s="12" t="str">
        <f>C112&amp;"|"&amp;A112</f>
        <v>001|2194501</v>
      </c>
    </row>
    <row r="113" spans="1:14">
      <c r="A113" s="12" t="s">
        <v>542</v>
      </c>
      <c r="B113" s="12" t="s">
        <v>544</v>
      </c>
      <c r="C113" s="12" t="s">
        <v>74</v>
      </c>
      <c r="D113" s="35">
        <v>56150305</v>
      </c>
      <c r="E113" s="35">
        <v>56150305</v>
      </c>
      <c r="F113" s="35">
        <v>0</v>
      </c>
      <c r="G113" s="35">
        <v>0</v>
      </c>
      <c r="H113" s="35">
        <v>0</v>
      </c>
      <c r="I113" s="35">
        <v>0</v>
      </c>
      <c r="J113" s="12" t="s">
        <v>89</v>
      </c>
      <c r="K113" s="18">
        <f>SUM(E113:J113)</f>
        <v>56150305.0</v>
      </c>
      <c r="L113" s="18">
        <f>D113-K113</f>
        <v>0.0</v>
      </c>
      <c r="M113" s="12" t="s">
        <v>1779</v>
      </c>
      <c r="N113" s="12" t="str">
        <f>C113&amp;"|"&amp;A113</f>
        <v>001|2251136</v>
      </c>
    </row>
    <row r="114" spans="1:14">
      <c r="A114" s="12" t="s">
        <v>545</v>
      </c>
      <c r="B114" s="12" t="s">
        <v>547</v>
      </c>
      <c r="C114" s="12" t="s">
        <v>74</v>
      </c>
      <c r="D114" s="35">
        <v>8766661</v>
      </c>
      <c r="E114" s="35">
        <v>0</v>
      </c>
      <c r="F114" s="35">
        <v>0</v>
      </c>
      <c r="G114" s="35">
        <v>8766661</v>
      </c>
      <c r="H114" s="35">
        <v>0</v>
      </c>
      <c r="I114" s="35">
        <v>0</v>
      </c>
      <c r="J114" s="12" t="s">
        <v>89</v>
      </c>
      <c r="K114" s="18">
        <f>SUM(E114:J114)</f>
        <v>8766661.0</v>
      </c>
      <c r="L114" s="18">
        <f>D114-K114</f>
        <v>0.0</v>
      </c>
      <c r="M114" s="12" t="s">
        <v>1779</v>
      </c>
      <c r="N114" s="12" t="str">
        <f>C114&amp;"|"&amp;A114</f>
        <v>001|2490087</v>
      </c>
    </row>
    <row r="115" spans="1:14">
      <c r="A115" s="12" t="s">
        <v>548</v>
      </c>
      <c r="B115" s="12" t="s">
        <v>550</v>
      </c>
      <c r="C115" s="12" t="s">
        <v>74</v>
      </c>
      <c r="D115" s="35">
        <v>18753537</v>
      </c>
      <c r="E115" s="35">
        <v>0</v>
      </c>
      <c r="F115" s="35">
        <v>17494338</v>
      </c>
      <c r="G115" s="35">
        <v>1259199</v>
      </c>
      <c r="H115" s="35">
        <v>0</v>
      </c>
      <c r="I115" s="35">
        <v>0</v>
      </c>
      <c r="J115" s="12" t="s">
        <v>89</v>
      </c>
      <c r="K115" s="18">
        <f>SUM(E115:J115)</f>
        <v>18753537.0</v>
      </c>
      <c r="L115" s="18">
        <f>D115-K115</f>
        <v>0.0</v>
      </c>
      <c r="M115" s="12" t="s">
        <v>1779</v>
      </c>
      <c r="N115" s="12" t="str">
        <f>C115&amp;"|"&amp;A115</f>
        <v>001|2357089</v>
      </c>
    </row>
    <row r="116" spans="1:14">
      <c r="A116" s="12" t="s">
        <v>551</v>
      </c>
      <c r="B116" s="12" t="s">
        <v>553</v>
      </c>
      <c r="C116" s="12" t="s">
        <v>74</v>
      </c>
      <c r="D116" s="35">
        <v>17484286</v>
      </c>
      <c r="E116" s="35">
        <v>0</v>
      </c>
      <c r="F116" s="35">
        <v>16479574</v>
      </c>
      <c r="G116" s="35">
        <v>1004712</v>
      </c>
      <c r="H116" s="35">
        <v>0</v>
      </c>
      <c r="I116" s="35">
        <v>0</v>
      </c>
      <c r="J116" s="12" t="s">
        <v>89</v>
      </c>
      <c r="K116" s="18">
        <f>SUM(E116:J116)</f>
        <v>17484286.0</v>
      </c>
      <c r="L116" s="18">
        <f>D116-K116</f>
        <v>0.0</v>
      </c>
      <c r="M116" s="12" t="s">
        <v>1779</v>
      </c>
      <c r="N116" s="12" t="str">
        <f>C116&amp;"|"&amp;A116</f>
        <v>001|2435272</v>
      </c>
    </row>
    <row r="117" spans="1:14">
      <c r="A117" s="12" t="s">
        <v>554</v>
      </c>
      <c r="B117" s="12" t="s">
        <v>556</v>
      </c>
      <c r="C117" s="12" t="s">
        <v>74</v>
      </c>
      <c r="D117" s="35">
        <v>41519761</v>
      </c>
      <c r="E117" s="35">
        <v>0</v>
      </c>
      <c r="F117" s="35">
        <v>0</v>
      </c>
      <c r="G117" s="35">
        <v>7112293</v>
      </c>
      <c r="H117" s="35">
        <v>25711893</v>
      </c>
      <c r="I117" s="35">
        <v>8695575</v>
      </c>
      <c r="J117" s="12" t="s">
        <v>89</v>
      </c>
      <c r="K117" s="18">
        <f>SUM(E117:J117)</f>
        <v>41519761.0</v>
      </c>
      <c r="L117" s="18">
        <f>D117-K117</f>
        <v>0.0</v>
      </c>
      <c r="M117" s="12" t="s">
        <v>1779</v>
      </c>
      <c r="N117" s="12" t="str">
        <f>C117&amp;"|"&amp;A117</f>
        <v>001|2278822</v>
      </c>
    </row>
    <row r="118" spans="1:14">
      <c r="A118" s="12" t="s">
        <v>557</v>
      </c>
      <c r="B118" s="12" t="s">
        <v>559</v>
      </c>
      <c r="C118" s="12" t="s">
        <v>74</v>
      </c>
      <c r="D118" s="35">
        <v>966193</v>
      </c>
      <c r="E118" s="35">
        <v>0</v>
      </c>
      <c r="F118" s="35">
        <v>0</v>
      </c>
      <c r="G118" s="35">
        <v>966193</v>
      </c>
      <c r="H118" s="35">
        <v>0</v>
      </c>
      <c r="I118" s="35">
        <v>0</v>
      </c>
      <c r="J118" s="12" t="s">
        <v>89</v>
      </c>
      <c r="K118" s="18">
        <f>SUM(E118:J118)</f>
        <v>966193.0</v>
      </c>
      <c r="L118" s="18">
        <f>D118-K118</f>
        <v>0.0</v>
      </c>
      <c r="M118" s="12" t="s">
        <v>1779</v>
      </c>
      <c r="N118" s="12" t="str">
        <f>C118&amp;"|"&amp;A118</f>
        <v>001|2427364</v>
      </c>
    </row>
    <row r="119" spans="1:14">
      <c r="A119" s="12" t="s">
        <v>563</v>
      </c>
      <c r="B119" s="12" t="s">
        <v>565</v>
      </c>
      <c r="C119" s="12" t="s">
        <v>74</v>
      </c>
      <c r="D119" s="35">
        <v>4068561</v>
      </c>
      <c r="E119" s="35">
        <v>0</v>
      </c>
      <c r="F119" s="35">
        <v>0</v>
      </c>
      <c r="G119" s="35">
        <v>25106</v>
      </c>
      <c r="H119" s="35">
        <v>0</v>
      </c>
      <c r="I119" s="35">
        <v>4043455</v>
      </c>
      <c r="J119" s="12" t="s">
        <v>89</v>
      </c>
      <c r="K119" s="18">
        <f>SUM(E119:J119)</f>
        <v>4068561.0</v>
      </c>
      <c r="L119" s="18">
        <f>D119-K119</f>
        <v>0.0</v>
      </c>
      <c r="M119" s="12" t="s">
        <v>1779</v>
      </c>
      <c r="N119" s="12" t="str">
        <f>C119&amp;"|"&amp;A119</f>
        <v>001|2227389</v>
      </c>
    </row>
    <row r="120" spans="1:14">
      <c r="A120" s="12" t="s">
        <v>568</v>
      </c>
      <c r="B120" s="12" t="s">
        <v>570</v>
      </c>
      <c r="C120" s="12" t="s">
        <v>74</v>
      </c>
      <c r="D120" s="35">
        <v>1382457</v>
      </c>
      <c r="E120" s="35">
        <v>0</v>
      </c>
      <c r="F120" s="35">
        <v>0</v>
      </c>
      <c r="G120" s="35">
        <v>1382457</v>
      </c>
      <c r="H120" s="35">
        <v>0</v>
      </c>
      <c r="I120" s="35">
        <v>0</v>
      </c>
      <c r="J120" s="12" t="s">
        <v>89</v>
      </c>
      <c r="K120" s="18">
        <f>SUM(E120:J120)</f>
        <v>1382457.0</v>
      </c>
      <c r="L120" s="18">
        <f>D120-K120</f>
        <v>0.0</v>
      </c>
      <c r="M120" s="12" t="s">
        <v>1779</v>
      </c>
      <c r="N120" s="12" t="str">
        <f>C120&amp;"|"&amp;A120</f>
        <v>001|2657043</v>
      </c>
    </row>
    <row r="121" spans="1:14">
      <c r="A121" s="12" t="s">
        <v>572</v>
      </c>
      <c r="B121" s="12" t="s">
        <v>574</v>
      </c>
      <c r="C121" s="12" t="s">
        <v>74</v>
      </c>
      <c r="D121" s="35">
        <v>3866926</v>
      </c>
      <c r="E121" s="35">
        <v>0</v>
      </c>
      <c r="F121" s="35">
        <v>2305743</v>
      </c>
      <c r="G121" s="35">
        <v>1561183</v>
      </c>
      <c r="H121" s="35">
        <v>0</v>
      </c>
      <c r="I121" s="35">
        <v>0</v>
      </c>
      <c r="J121" s="12" t="s">
        <v>89</v>
      </c>
      <c r="K121" s="18">
        <f>SUM(E121:J121)</f>
        <v>3866926.0</v>
      </c>
      <c r="L121" s="18">
        <f>D121-K121</f>
        <v>0.0</v>
      </c>
      <c r="M121" s="12" t="s">
        <v>1779</v>
      </c>
      <c r="N121" s="12" t="str">
        <f>C121&amp;"|"&amp;A121</f>
        <v>001|2450812</v>
      </c>
    </row>
    <row r="122" spans="1:14">
      <c r="A122" s="12" t="s">
        <v>575</v>
      </c>
      <c r="B122" s="12" t="s">
        <v>577</v>
      </c>
      <c r="C122" s="12" t="s">
        <v>74</v>
      </c>
      <c r="D122" s="35">
        <v>407088</v>
      </c>
      <c r="E122" s="35">
        <v>0</v>
      </c>
      <c r="F122" s="35">
        <v>0</v>
      </c>
      <c r="G122" s="35">
        <v>407088</v>
      </c>
      <c r="H122" s="35">
        <v>0</v>
      </c>
      <c r="I122" s="35">
        <v>0</v>
      </c>
      <c r="J122" s="12" t="s">
        <v>89</v>
      </c>
      <c r="K122" s="18">
        <f>SUM(E122:J122)</f>
        <v>407088.0</v>
      </c>
      <c r="L122" s="18">
        <f>D122-K122</f>
        <v>0.0</v>
      </c>
      <c r="M122" s="12" t="s">
        <v>1779</v>
      </c>
      <c r="N122" s="12" t="str">
        <f>C122&amp;"|"&amp;A122</f>
        <v>001|2308220</v>
      </c>
    </row>
    <row r="123" spans="1:14">
      <c r="A123" s="12" t="s">
        <v>580</v>
      </c>
      <c r="B123" s="12" t="s">
        <v>582</v>
      </c>
      <c r="C123" s="12" t="s">
        <v>74</v>
      </c>
      <c r="D123" s="35">
        <v>3978899</v>
      </c>
      <c r="E123" s="35">
        <v>0</v>
      </c>
      <c r="F123" s="35">
        <v>0</v>
      </c>
      <c r="G123" s="35">
        <v>3978899</v>
      </c>
      <c r="H123" s="35">
        <v>0</v>
      </c>
      <c r="I123" s="35">
        <v>0</v>
      </c>
      <c r="J123" s="12" t="s">
        <v>89</v>
      </c>
      <c r="K123" s="18">
        <f>SUM(E123:J123)</f>
        <v>3978899.0</v>
      </c>
      <c r="L123" s="18">
        <f>D123-K123</f>
        <v>0.0</v>
      </c>
      <c r="M123" s="12" t="s">
        <v>1779</v>
      </c>
      <c r="N123" s="12" t="str">
        <f>C123&amp;"|"&amp;A123</f>
        <v>001|2447465</v>
      </c>
    </row>
    <row r="124" spans="1:14">
      <c r="A124" s="12" t="s">
        <v>583</v>
      </c>
      <c r="B124" s="12" t="s">
        <v>585</v>
      </c>
      <c r="C124" s="12" t="s">
        <v>74</v>
      </c>
      <c r="D124" s="35">
        <v>6912542</v>
      </c>
      <c r="E124" s="35">
        <v>0</v>
      </c>
      <c r="F124" s="35">
        <v>0</v>
      </c>
      <c r="G124" s="35">
        <v>6912542</v>
      </c>
      <c r="H124" s="35">
        <v>0</v>
      </c>
      <c r="I124" s="35">
        <v>0</v>
      </c>
      <c r="J124" s="12" t="s">
        <v>89</v>
      </c>
      <c r="K124" s="18">
        <f>SUM(E124:J124)</f>
        <v>6912542.0</v>
      </c>
      <c r="L124" s="18">
        <f>D124-K124</f>
        <v>0.0</v>
      </c>
      <c r="M124" s="12" t="s">
        <v>1779</v>
      </c>
      <c r="N124" s="12" t="str">
        <f>C124&amp;"|"&amp;A124</f>
        <v>001|2292669</v>
      </c>
    </row>
    <row r="125" spans="1:14">
      <c r="A125" s="12" t="s">
        <v>586</v>
      </c>
      <c r="B125" s="12" t="s">
        <v>588</v>
      </c>
      <c r="C125" s="12" t="s">
        <v>74</v>
      </c>
      <c r="D125" s="35">
        <v>3796481</v>
      </c>
      <c r="E125" s="35">
        <v>0</v>
      </c>
      <c r="F125" s="35">
        <v>0</v>
      </c>
      <c r="G125" s="35">
        <v>3796481</v>
      </c>
      <c r="H125" s="35">
        <v>0</v>
      </c>
      <c r="I125" s="35">
        <v>0</v>
      </c>
      <c r="J125" s="12" t="s">
        <v>89</v>
      </c>
      <c r="K125" s="18">
        <f>SUM(E125:J125)</f>
        <v>3796481.0</v>
      </c>
      <c r="L125" s="18">
        <f>D125-K125</f>
        <v>0.0</v>
      </c>
      <c r="M125" s="12" t="s">
        <v>1779</v>
      </c>
      <c r="N125" s="12" t="str">
        <f>C125&amp;"|"&amp;A125</f>
        <v>001|2645376</v>
      </c>
    </row>
    <row r="126" spans="1:14">
      <c r="A126" s="12" t="s">
        <v>590</v>
      </c>
      <c r="B126" s="12" t="s">
        <v>592</v>
      </c>
      <c r="C126" s="12" t="s">
        <v>74</v>
      </c>
      <c r="D126" s="35">
        <v>11000</v>
      </c>
      <c r="E126" s="35">
        <v>0</v>
      </c>
      <c r="F126" s="35">
        <v>0</v>
      </c>
      <c r="G126" s="35">
        <v>11000</v>
      </c>
      <c r="H126" s="35">
        <v>0</v>
      </c>
      <c r="I126" s="35">
        <v>0</v>
      </c>
      <c r="J126" s="12" t="s">
        <v>89</v>
      </c>
      <c r="K126" s="18">
        <f>SUM(E126:J126)</f>
        <v>11000.0</v>
      </c>
      <c r="L126" s="18">
        <f>D126-K126</f>
        <v>0.0</v>
      </c>
      <c r="M126" s="12" t="s">
        <v>1779</v>
      </c>
      <c r="N126" s="12" t="str">
        <f>C126&amp;"|"&amp;A126</f>
        <v>001|2492442</v>
      </c>
    </row>
    <row r="127" spans="1:14">
      <c r="A127" s="12" t="s">
        <v>595</v>
      </c>
      <c r="B127" s="12" t="s">
        <v>597</v>
      </c>
      <c r="C127" s="12" t="s">
        <v>74</v>
      </c>
      <c r="D127" s="35">
        <v>123816</v>
      </c>
      <c r="E127" s="35">
        <v>0</v>
      </c>
      <c r="F127" s="35">
        <v>0</v>
      </c>
      <c r="G127" s="35">
        <v>123816</v>
      </c>
      <c r="H127" s="35">
        <v>0</v>
      </c>
      <c r="I127" s="35">
        <v>0</v>
      </c>
      <c r="J127" s="12" t="s">
        <v>89</v>
      </c>
      <c r="K127" s="18">
        <f>SUM(E127:J127)</f>
        <v>123816.0</v>
      </c>
      <c r="L127" s="18">
        <f>D127-K127</f>
        <v>0.0</v>
      </c>
      <c r="M127" s="12" t="s">
        <v>1779</v>
      </c>
      <c r="N127" s="12" t="str">
        <f>C127&amp;"|"&amp;A127</f>
        <v>001|2699927</v>
      </c>
    </row>
    <row r="128" spans="1:14">
      <c r="A128" s="12" t="s">
        <v>598</v>
      </c>
      <c r="B128" s="12" t="s">
        <v>600</v>
      </c>
      <c r="C128" s="12" t="s">
        <v>74</v>
      </c>
      <c r="D128" s="35">
        <v>150000</v>
      </c>
      <c r="E128" s="35">
        <v>0</v>
      </c>
      <c r="F128" s="35">
        <v>0</v>
      </c>
      <c r="G128" s="35">
        <v>0</v>
      </c>
      <c r="H128" s="35">
        <v>150000</v>
      </c>
      <c r="I128" s="35">
        <v>0</v>
      </c>
      <c r="J128" s="12" t="s">
        <v>89</v>
      </c>
      <c r="K128" s="18">
        <f>SUM(E128:J128)</f>
        <v>150000.0</v>
      </c>
      <c r="L128" s="18">
        <f>D128-K128</f>
        <v>0.0</v>
      </c>
      <c r="M128" s="12" t="s">
        <v>1779</v>
      </c>
      <c r="N128" s="12" t="str">
        <f>C128&amp;"|"&amp;A128</f>
        <v>001|2681074</v>
      </c>
    </row>
    <row r="129" spans="1:14">
      <c r="A129" s="12" t="s">
        <v>601</v>
      </c>
      <c r="B129" s="12" t="s">
        <v>603</v>
      </c>
      <c r="C129" s="12" t="s">
        <v>74</v>
      </c>
      <c r="D129" s="35">
        <v>57442</v>
      </c>
      <c r="E129" s="35">
        <v>0</v>
      </c>
      <c r="F129" s="35">
        <v>0</v>
      </c>
      <c r="G129" s="35">
        <v>57442</v>
      </c>
      <c r="H129" s="35">
        <v>0</v>
      </c>
      <c r="I129" s="35">
        <v>0</v>
      </c>
      <c r="J129" s="12" t="s">
        <v>89</v>
      </c>
      <c r="K129" s="18">
        <f>SUM(E129:J129)</f>
        <v>57442.0</v>
      </c>
      <c r="L129" s="18">
        <f>D129-K129</f>
        <v>0.0</v>
      </c>
      <c r="M129" s="12" t="s">
        <v>1779</v>
      </c>
      <c r="N129" s="12" t="str">
        <f>C129&amp;"|"&amp;A129</f>
        <v>001|2662467</v>
      </c>
    </row>
    <row r="130" spans="1:14">
      <c r="A130" s="12" t="s">
        <v>604</v>
      </c>
      <c r="B130" s="12" t="s">
        <v>606</v>
      </c>
      <c r="C130" s="12" t="s">
        <v>74</v>
      </c>
      <c r="D130" s="35">
        <v>53010</v>
      </c>
      <c r="E130" s="35">
        <v>0</v>
      </c>
      <c r="F130" s="35">
        <v>0</v>
      </c>
      <c r="G130" s="35">
        <v>53010</v>
      </c>
      <c r="H130" s="35">
        <v>0</v>
      </c>
      <c r="I130" s="35">
        <v>0</v>
      </c>
      <c r="J130" s="12" t="s">
        <v>89</v>
      </c>
      <c r="K130" s="18">
        <f>SUM(E130:J130)</f>
        <v>53010.0</v>
      </c>
      <c r="L130" s="18">
        <f>D130-K130</f>
        <v>0.0</v>
      </c>
      <c r="M130" s="12" t="s">
        <v>1779</v>
      </c>
      <c r="N130" s="12" t="str">
        <f>C130&amp;"|"&amp;A130</f>
        <v>001|2650268</v>
      </c>
    </row>
    <row r="131" spans="1:14">
      <c r="A131" s="12" t="s">
        <v>607</v>
      </c>
      <c r="B131" s="12" t="s">
        <v>609</v>
      </c>
      <c r="C131" s="12" t="s">
        <v>74</v>
      </c>
      <c r="D131" s="35">
        <v>40486</v>
      </c>
      <c r="E131" s="35">
        <v>0</v>
      </c>
      <c r="F131" s="35">
        <v>0</v>
      </c>
      <c r="G131" s="35">
        <v>40486</v>
      </c>
      <c r="H131" s="35">
        <v>0</v>
      </c>
      <c r="I131" s="35">
        <v>0</v>
      </c>
      <c r="J131" s="12" t="s">
        <v>89</v>
      </c>
      <c r="K131" s="18">
        <f>SUM(E131:J131)</f>
        <v>40486.0</v>
      </c>
      <c r="L131" s="18">
        <f>D131-K131</f>
        <v>0.0</v>
      </c>
      <c r="M131" s="12" t="s">
        <v>1779</v>
      </c>
      <c r="N131" s="12" t="str">
        <f>C131&amp;"|"&amp;A131</f>
        <v>001|2652473</v>
      </c>
    </row>
    <row r="132" spans="1:14">
      <c r="A132" s="12" t="s">
        <v>610</v>
      </c>
      <c r="B132" s="12" t="s">
        <v>612</v>
      </c>
      <c r="C132" s="12" t="s">
        <v>74</v>
      </c>
      <c r="D132" s="35">
        <v>350000</v>
      </c>
      <c r="E132" s="35">
        <v>0</v>
      </c>
      <c r="F132" s="35">
        <v>0</v>
      </c>
      <c r="G132" s="35">
        <v>350000</v>
      </c>
      <c r="H132" s="35">
        <v>0</v>
      </c>
      <c r="I132" s="35">
        <v>0</v>
      </c>
      <c r="J132" s="12" t="s">
        <v>89</v>
      </c>
      <c r="K132" s="18">
        <f>SUM(E132:J132)</f>
        <v>350000.0</v>
      </c>
      <c r="L132" s="18">
        <f>D132-K132</f>
        <v>0.0</v>
      </c>
      <c r="M132" s="12" t="s">
        <v>1779</v>
      </c>
      <c r="N132" s="12" t="str">
        <f>C132&amp;"|"&amp;A132</f>
        <v>001|2681042</v>
      </c>
    </row>
    <row r="133" spans="1:14">
      <c r="A133" s="12" t="s">
        <v>613</v>
      </c>
      <c r="B133" s="12" t="s">
        <v>615</v>
      </c>
      <c r="C133" s="12" t="s">
        <v>74</v>
      </c>
      <c r="D133" s="35">
        <v>81646</v>
      </c>
      <c r="E133" s="35">
        <v>0</v>
      </c>
      <c r="F133" s="35">
        <v>0</v>
      </c>
      <c r="G133" s="35">
        <v>81646</v>
      </c>
      <c r="H133" s="35">
        <v>0</v>
      </c>
      <c r="I133" s="35">
        <v>0</v>
      </c>
      <c r="J133" s="12" t="s">
        <v>89</v>
      </c>
      <c r="K133" s="18">
        <f>SUM(E133:J133)</f>
        <v>81646.0</v>
      </c>
      <c r="L133" s="18">
        <f>D133-K133</f>
        <v>0.0</v>
      </c>
      <c r="M133" s="12" t="s">
        <v>1779</v>
      </c>
      <c r="N133" s="12" t="str">
        <f>C133&amp;"|"&amp;A133</f>
        <v>001|2659573</v>
      </c>
    </row>
    <row r="134" spans="1:14">
      <c r="A134" s="12" t="s">
        <v>617</v>
      </c>
      <c r="B134" s="12" t="s">
        <v>619</v>
      </c>
      <c r="C134" s="12" t="s">
        <v>74</v>
      </c>
      <c r="D134" s="35">
        <v>292573</v>
      </c>
      <c r="E134" s="35">
        <v>0</v>
      </c>
      <c r="F134" s="35">
        <v>0</v>
      </c>
      <c r="G134" s="35">
        <v>292573</v>
      </c>
      <c r="H134" s="35">
        <v>0</v>
      </c>
      <c r="I134" s="35">
        <v>0</v>
      </c>
      <c r="J134" s="12" t="s">
        <v>89</v>
      </c>
      <c r="K134" s="18">
        <f>SUM(E134:J134)</f>
        <v>292573.0</v>
      </c>
      <c r="L134" s="18">
        <f>D134-K134</f>
        <v>0.0</v>
      </c>
      <c r="M134" s="12" t="s">
        <v>1779</v>
      </c>
      <c r="N134" s="12" t="str">
        <f>C134&amp;"|"&amp;A134</f>
        <v>001|2663002</v>
      </c>
    </row>
    <row r="135" spans="1:14">
      <c r="A135" s="12" t="s">
        <v>621</v>
      </c>
      <c r="B135" s="12" t="s">
        <v>623</v>
      </c>
      <c r="C135" s="12" t="s">
        <v>74</v>
      </c>
      <c r="D135" s="35">
        <v>645412</v>
      </c>
      <c r="E135" s="35">
        <v>0</v>
      </c>
      <c r="F135" s="35">
        <v>0</v>
      </c>
      <c r="G135" s="35">
        <v>645412</v>
      </c>
      <c r="H135" s="35">
        <v>0</v>
      </c>
      <c r="I135" s="35">
        <v>0</v>
      </c>
      <c r="J135" s="12" t="s">
        <v>89</v>
      </c>
      <c r="K135" s="18">
        <f>SUM(E135:J135)</f>
        <v>645412.0</v>
      </c>
      <c r="L135" s="18">
        <f>D135-K135</f>
        <v>0.0</v>
      </c>
      <c r="M135" s="12" t="s">
        <v>1779</v>
      </c>
      <c r="N135" s="12" t="str">
        <f>C135&amp;"|"&amp;A135</f>
        <v>001|2681028</v>
      </c>
    </row>
    <row r="136" spans="1:14">
      <c r="A136" s="12" t="s">
        <v>624</v>
      </c>
      <c r="B136" s="12" t="s">
        <v>626</v>
      </c>
      <c r="C136" s="12" t="s">
        <v>74</v>
      </c>
      <c r="D136" s="35">
        <v>45161</v>
      </c>
      <c r="E136" s="35">
        <v>0</v>
      </c>
      <c r="F136" s="35">
        <v>0</v>
      </c>
      <c r="G136" s="35">
        <v>45161</v>
      </c>
      <c r="H136" s="35">
        <v>0</v>
      </c>
      <c r="I136" s="35">
        <v>0</v>
      </c>
      <c r="J136" s="12" t="s">
        <v>89</v>
      </c>
      <c r="K136" s="18">
        <f>SUM(E136:J136)</f>
        <v>45161.0</v>
      </c>
      <c r="L136" s="18">
        <f>D136-K136</f>
        <v>0.0</v>
      </c>
      <c r="M136" s="12" t="s">
        <v>1779</v>
      </c>
      <c r="N136" s="12" t="str">
        <f>C136&amp;"|"&amp;A136</f>
        <v>001|2690009</v>
      </c>
    </row>
    <row r="137" spans="1:14">
      <c r="A137" s="12" t="s">
        <v>627</v>
      </c>
      <c r="B137" s="12" t="s">
        <v>629</v>
      </c>
      <c r="C137" s="12" t="s">
        <v>74</v>
      </c>
      <c r="D137" s="35">
        <v>58627</v>
      </c>
      <c r="E137" s="35">
        <v>0</v>
      </c>
      <c r="F137" s="35">
        <v>0</v>
      </c>
      <c r="G137" s="35">
        <v>58627</v>
      </c>
      <c r="H137" s="35">
        <v>0</v>
      </c>
      <c r="I137" s="35">
        <v>0</v>
      </c>
      <c r="J137" s="12" t="s">
        <v>89</v>
      </c>
      <c r="K137" s="18">
        <f>SUM(E137:J137)</f>
        <v>58627.0</v>
      </c>
      <c r="L137" s="18">
        <f>D137-K137</f>
        <v>0.0</v>
      </c>
      <c r="M137" s="12" t="s">
        <v>1779</v>
      </c>
      <c r="N137" s="12" t="str">
        <f>C137&amp;"|"&amp;A137</f>
        <v>001|2624292</v>
      </c>
    </row>
    <row r="138" spans="1:14">
      <c r="A138" s="12" t="s">
        <v>631</v>
      </c>
      <c r="B138" s="12" t="s">
        <v>633</v>
      </c>
      <c r="C138" s="12" t="s">
        <v>74</v>
      </c>
      <c r="D138" s="35">
        <v>220496</v>
      </c>
      <c r="E138" s="35">
        <v>0</v>
      </c>
      <c r="F138" s="35">
        <v>0</v>
      </c>
      <c r="G138" s="35">
        <v>220496</v>
      </c>
      <c r="H138" s="35">
        <v>0</v>
      </c>
      <c r="I138" s="35">
        <v>0</v>
      </c>
      <c r="J138" s="12" t="s">
        <v>89</v>
      </c>
      <c r="K138" s="18">
        <f>SUM(E138:J138)</f>
        <v>220496.0</v>
      </c>
      <c r="L138" s="18">
        <f>D138-K138</f>
        <v>0.0</v>
      </c>
      <c r="M138" s="12" t="s">
        <v>1779</v>
      </c>
      <c r="N138" s="12" t="str">
        <f>C138&amp;"|"&amp;A138</f>
        <v>001|2492963</v>
      </c>
    </row>
    <row r="139" spans="1:14">
      <c r="A139" s="12" t="s">
        <v>634</v>
      </c>
      <c r="B139" s="12" t="s">
        <v>636</v>
      </c>
      <c r="C139" s="12" t="s">
        <v>74</v>
      </c>
      <c r="D139" s="35">
        <v>129991</v>
      </c>
      <c r="E139" s="35">
        <v>0</v>
      </c>
      <c r="F139" s="35">
        <v>0</v>
      </c>
      <c r="G139" s="35">
        <v>129991</v>
      </c>
      <c r="H139" s="35">
        <v>0</v>
      </c>
      <c r="I139" s="35">
        <v>0</v>
      </c>
      <c r="J139" s="12" t="s">
        <v>89</v>
      </c>
      <c r="K139" s="18">
        <f>SUM(E139:J139)</f>
        <v>129991.0</v>
      </c>
      <c r="L139" s="18">
        <f>D139-K139</f>
        <v>0.0</v>
      </c>
      <c r="M139" s="12" t="s">
        <v>1779</v>
      </c>
      <c r="N139" s="12" t="str">
        <f>C139&amp;"|"&amp;A139</f>
        <v>001|2650271</v>
      </c>
    </row>
    <row r="140" spans="1:14">
      <c r="A140" s="12" t="s">
        <v>637</v>
      </c>
      <c r="B140" s="12" t="s">
        <v>639</v>
      </c>
      <c r="C140" s="12" t="s">
        <v>74</v>
      </c>
      <c r="D140" s="35">
        <v>24413</v>
      </c>
      <c r="E140" s="35">
        <v>0</v>
      </c>
      <c r="F140" s="35">
        <v>0</v>
      </c>
      <c r="G140" s="35">
        <v>24413</v>
      </c>
      <c r="H140" s="35">
        <v>0</v>
      </c>
      <c r="I140" s="35">
        <v>0</v>
      </c>
      <c r="J140" s="12" t="s">
        <v>89</v>
      </c>
      <c r="K140" s="18">
        <f>SUM(E140:J140)</f>
        <v>24413.0</v>
      </c>
      <c r="L140" s="18">
        <f>D140-K140</f>
        <v>0.0</v>
      </c>
      <c r="M140" s="12" t="s">
        <v>1779</v>
      </c>
      <c r="N140" s="12" t="str">
        <f>C140&amp;"|"&amp;A140</f>
        <v>001|2651636</v>
      </c>
    </row>
    <row r="141" spans="1:14">
      <c r="A141" s="12" t="s">
        <v>640</v>
      </c>
      <c r="B141" s="12" t="s">
        <v>642</v>
      </c>
      <c r="C141" s="12" t="s">
        <v>74</v>
      </c>
      <c r="D141" s="35">
        <v>621845</v>
      </c>
      <c r="E141" s="35">
        <v>0</v>
      </c>
      <c r="F141" s="35">
        <v>0</v>
      </c>
      <c r="G141" s="35">
        <v>621845</v>
      </c>
      <c r="H141" s="35">
        <v>0</v>
      </c>
      <c r="I141" s="35">
        <v>0</v>
      </c>
      <c r="J141" s="12" t="s">
        <v>89</v>
      </c>
      <c r="K141" s="18">
        <f>SUM(E141:J141)</f>
        <v>621845.0</v>
      </c>
      <c r="L141" s="18">
        <f>D141-K141</f>
        <v>0.0</v>
      </c>
      <c r="M141" s="12" t="s">
        <v>1779</v>
      </c>
      <c r="N141" s="12" t="str">
        <f>C141&amp;"|"&amp;A141</f>
        <v>001|2670402</v>
      </c>
    </row>
    <row r="142" spans="1:14">
      <c r="A142" s="12" t="s">
        <v>643</v>
      </c>
      <c r="B142" s="12" t="s">
        <v>645</v>
      </c>
      <c r="C142" s="12" t="s">
        <v>74</v>
      </c>
      <c r="D142" s="35">
        <v>784869</v>
      </c>
      <c r="E142" s="35">
        <v>0</v>
      </c>
      <c r="F142" s="35">
        <v>0</v>
      </c>
      <c r="G142" s="35">
        <v>784869</v>
      </c>
      <c r="H142" s="35">
        <v>0</v>
      </c>
      <c r="I142" s="35">
        <v>0</v>
      </c>
      <c r="J142" s="12" t="s">
        <v>89</v>
      </c>
      <c r="K142" s="18">
        <f>SUM(E142:J142)</f>
        <v>784869.0</v>
      </c>
      <c r="L142" s="18">
        <f>D142-K142</f>
        <v>0.0</v>
      </c>
      <c r="M142" s="12" t="s">
        <v>1779</v>
      </c>
      <c r="N142" s="12" t="str">
        <f>C142&amp;"|"&amp;A142</f>
        <v>001|2681029</v>
      </c>
    </row>
    <row r="143" spans="1:14">
      <c r="A143" s="12" t="s">
        <v>646</v>
      </c>
      <c r="B143" s="12" t="s">
        <v>648</v>
      </c>
      <c r="C143" s="12" t="s">
        <v>74</v>
      </c>
      <c r="D143" s="35">
        <v>373203</v>
      </c>
      <c r="E143" s="35">
        <v>0</v>
      </c>
      <c r="F143" s="35">
        <v>0</v>
      </c>
      <c r="G143" s="35">
        <v>373203</v>
      </c>
      <c r="H143" s="35">
        <v>0</v>
      </c>
      <c r="I143" s="35">
        <v>0</v>
      </c>
      <c r="J143" s="12" t="s">
        <v>89</v>
      </c>
      <c r="K143" s="18">
        <f>SUM(E143:J143)</f>
        <v>373203.0</v>
      </c>
      <c r="L143" s="18">
        <f>D143-K143</f>
        <v>0.0</v>
      </c>
      <c r="M143" s="12" t="s">
        <v>1779</v>
      </c>
      <c r="N143" s="12" t="str">
        <f>C143&amp;"|"&amp;A143</f>
        <v>001|2681019</v>
      </c>
    </row>
    <row r="144" spans="1:14">
      <c r="A144" s="12" t="s">
        <v>649</v>
      </c>
      <c r="B144" s="12" t="s">
        <v>651</v>
      </c>
      <c r="C144" s="12" t="s">
        <v>74</v>
      </c>
      <c r="D144" s="35">
        <v>192812</v>
      </c>
      <c r="E144" s="35">
        <v>0</v>
      </c>
      <c r="F144" s="35">
        <v>0</v>
      </c>
      <c r="G144" s="35">
        <v>192812</v>
      </c>
      <c r="H144" s="35">
        <v>0</v>
      </c>
      <c r="I144" s="35">
        <v>0</v>
      </c>
      <c r="J144" s="12" t="s">
        <v>89</v>
      </c>
      <c r="K144" s="18">
        <f>SUM(E144:J144)</f>
        <v>192812.0</v>
      </c>
      <c r="L144" s="18">
        <f>D144-K144</f>
        <v>0.0</v>
      </c>
      <c r="M144" s="12" t="s">
        <v>1779</v>
      </c>
      <c r="N144" s="12" t="str">
        <f>C144&amp;"|"&amp;A144</f>
        <v>001|2681037</v>
      </c>
    </row>
    <row r="145" spans="1:14">
      <c r="A145" s="12" t="s">
        <v>652</v>
      </c>
      <c r="B145" s="12" t="s">
        <v>654</v>
      </c>
      <c r="C145" s="12" t="s">
        <v>74</v>
      </c>
      <c r="D145" s="35">
        <v>287709</v>
      </c>
      <c r="E145" s="35">
        <v>0</v>
      </c>
      <c r="F145" s="35">
        <v>0</v>
      </c>
      <c r="G145" s="35">
        <v>287709</v>
      </c>
      <c r="H145" s="35">
        <v>0</v>
      </c>
      <c r="I145" s="35">
        <v>0</v>
      </c>
      <c r="J145" s="12" t="s">
        <v>89</v>
      </c>
      <c r="K145" s="18">
        <f>SUM(E145:J145)</f>
        <v>287709.0</v>
      </c>
      <c r="L145" s="18">
        <f>D145-K145</f>
        <v>0.0</v>
      </c>
      <c r="M145" s="12" t="s">
        <v>1779</v>
      </c>
      <c r="N145" s="12" t="str">
        <f>C145&amp;"|"&amp;A145</f>
        <v>001|2681054</v>
      </c>
    </row>
    <row r="146" spans="1:14">
      <c r="A146" s="12" t="s">
        <v>655</v>
      </c>
      <c r="B146" s="12" t="s">
        <v>657</v>
      </c>
      <c r="C146" s="12" t="s">
        <v>74</v>
      </c>
      <c r="D146" s="35">
        <v>256938</v>
      </c>
      <c r="E146" s="35">
        <v>0</v>
      </c>
      <c r="F146" s="35">
        <v>0</v>
      </c>
      <c r="G146" s="35">
        <v>256938</v>
      </c>
      <c r="H146" s="35">
        <v>0</v>
      </c>
      <c r="I146" s="35">
        <v>0</v>
      </c>
      <c r="J146" s="12" t="s">
        <v>89</v>
      </c>
      <c r="K146" s="18">
        <f>SUM(E146:J146)</f>
        <v>256938.0</v>
      </c>
      <c r="L146" s="18">
        <f>D146-K146</f>
        <v>0.0</v>
      </c>
      <c r="M146" s="12" t="s">
        <v>1779</v>
      </c>
      <c r="N146" s="12" t="str">
        <f>C146&amp;"|"&amp;A146</f>
        <v>001|2700348</v>
      </c>
    </row>
    <row r="147" spans="1:14">
      <c r="A147" s="12" t="s">
        <v>658</v>
      </c>
      <c r="B147" s="12" t="s">
        <v>660</v>
      </c>
      <c r="C147" s="12" t="s">
        <v>74</v>
      </c>
      <c r="D147" s="35">
        <v>200000</v>
      </c>
      <c r="E147" s="35">
        <v>0</v>
      </c>
      <c r="F147" s="35">
        <v>0</v>
      </c>
      <c r="G147" s="35">
        <v>200000</v>
      </c>
      <c r="H147" s="35">
        <v>0</v>
      </c>
      <c r="I147" s="35">
        <v>0</v>
      </c>
      <c r="J147" s="12" t="s">
        <v>89</v>
      </c>
      <c r="K147" s="18">
        <f>SUM(E147:J147)</f>
        <v>200000.0</v>
      </c>
      <c r="L147" s="18">
        <f>D147-K147</f>
        <v>0.0</v>
      </c>
      <c r="M147" s="12" t="s">
        <v>1779</v>
      </c>
      <c r="N147" s="12" t="str">
        <f>C147&amp;"|"&amp;A147</f>
        <v>001|2650804</v>
      </c>
    </row>
    <row r="148" spans="1:14">
      <c r="A148" s="12" t="s">
        <v>663</v>
      </c>
      <c r="B148" s="12" t="s">
        <v>665</v>
      </c>
      <c r="C148" s="12" t="s">
        <v>74</v>
      </c>
      <c r="D148" s="35">
        <v>200000</v>
      </c>
      <c r="E148" s="35">
        <v>0</v>
      </c>
      <c r="F148" s="35">
        <v>0</v>
      </c>
      <c r="G148" s="35">
        <v>200000</v>
      </c>
      <c r="H148" s="35">
        <v>0</v>
      </c>
      <c r="I148" s="35">
        <v>0</v>
      </c>
      <c r="J148" s="12" t="s">
        <v>89</v>
      </c>
      <c r="K148" s="18">
        <f>SUM(E148:J148)</f>
        <v>200000.0</v>
      </c>
      <c r="L148" s="18">
        <f>D148-K148</f>
        <v>0.0</v>
      </c>
      <c r="M148" s="12" t="s">
        <v>1779</v>
      </c>
      <c r="N148" s="12" t="str">
        <f>C148&amp;"|"&amp;A148</f>
        <v>001|2681015</v>
      </c>
    </row>
    <row r="149" spans="1:14">
      <c r="A149" s="12" t="s">
        <v>666</v>
      </c>
      <c r="B149" s="12" t="s">
        <v>668</v>
      </c>
      <c r="C149" s="12" t="s">
        <v>74</v>
      </c>
      <c r="D149" s="35">
        <v>412686</v>
      </c>
      <c r="E149" s="35">
        <v>0</v>
      </c>
      <c r="F149" s="35">
        <v>0</v>
      </c>
      <c r="G149" s="35">
        <v>412686</v>
      </c>
      <c r="H149" s="35">
        <v>0</v>
      </c>
      <c r="I149" s="35">
        <v>0</v>
      </c>
      <c r="J149" s="12" t="s">
        <v>89</v>
      </c>
      <c r="K149" s="18">
        <f>SUM(E149:J149)</f>
        <v>412686.0</v>
      </c>
      <c r="L149" s="18">
        <f>D149-K149</f>
        <v>0.0</v>
      </c>
      <c r="M149" s="12" t="s">
        <v>1779</v>
      </c>
      <c r="N149" s="12" t="str">
        <f>C149&amp;"|"&amp;A149</f>
        <v>001|2539948</v>
      </c>
    </row>
    <row r="150" spans="1:14">
      <c r="A150" s="12" t="s">
        <v>669</v>
      </c>
      <c r="B150" s="12" t="s">
        <v>671</v>
      </c>
      <c r="C150" s="12" t="s">
        <v>74</v>
      </c>
      <c r="D150" s="35">
        <v>563376</v>
      </c>
      <c r="E150" s="35">
        <v>213376</v>
      </c>
      <c r="F150" s="35">
        <v>0</v>
      </c>
      <c r="G150" s="35">
        <v>350000</v>
      </c>
      <c r="H150" s="35">
        <v>0</v>
      </c>
      <c r="I150" s="35">
        <v>0</v>
      </c>
      <c r="J150" s="12" t="s">
        <v>89</v>
      </c>
      <c r="K150" s="18">
        <f>SUM(E150:J150)</f>
        <v>563376.0</v>
      </c>
      <c r="L150" s="18">
        <f>D150-K150</f>
        <v>0.0</v>
      </c>
      <c r="M150" s="12" t="s">
        <v>1779</v>
      </c>
      <c r="N150" s="12" t="str">
        <f>C150&amp;"|"&amp;A150</f>
        <v>001|2710291</v>
      </c>
    </row>
    <row r="151" spans="1:14">
      <c r="A151" s="12" t="s">
        <v>674</v>
      </c>
      <c r="B151" s="12" t="s">
        <v>676</v>
      </c>
      <c r="C151" s="12" t="s">
        <v>74</v>
      </c>
      <c r="D151" s="35">
        <v>400000</v>
      </c>
      <c r="E151" s="35">
        <v>0</v>
      </c>
      <c r="F151" s="35">
        <v>0</v>
      </c>
      <c r="G151" s="35">
        <v>400000</v>
      </c>
      <c r="H151" s="35">
        <v>0</v>
      </c>
      <c r="I151" s="35">
        <v>0</v>
      </c>
      <c r="J151" s="12" t="s">
        <v>89</v>
      </c>
      <c r="K151" s="18">
        <f>SUM(E151:J151)</f>
        <v>400000.0</v>
      </c>
      <c r="L151" s="18">
        <f>D151-K151</f>
        <v>0.0</v>
      </c>
      <c r="M151" s="12" t="s">
        <v>1779</v>
      </c>
      <c r="N151" s="12" t="str">
        <f>C151&amp;"|"&amp;A151</f>
        <v>001|2682870</v>
      </c>
    </row>
    <row r="152" spans="1:14">
      <c r="A152" s="12" t="s">
        <v>677</v>
      </c>
      <c r="B152" s="12" t="s">
        <v>679</v>
      </c>
      <c r="C152" s="12" t="s">
        <v>74</v>
      </c>
      <c r="D152" s="35">
        <v>386035</v>
      </c>
      <c r="E152" s="35">
        <v>0</v>
      </c>
      <c r="F152" s="35">
        <v>0</v>
      </c>
      <c r="G152" s="35">
        <v>386035</v>
      </c>
      <c r="H152" s="35">
        <v>0</v>
      </c>
      <c r="I152" s="35">
        <v>0</v>
      </c>
      <c r="J152" s="12" t="s">
        <v>89</v>
      </c>
      <c r="K152" s="18">
        <f>SUM(E152:J152)</f>
        <v>386035.0</v>
      </c>
      <c r="L152" s="18">
        <f>D152-K152</f>
        <v>0.0</v>
      </c>
      <c r="M152" s="12" t="s">
        <v>1779</v>
      </c>
      <c r="N152" s="12" t="str">
        <f>C152&amp;"|"&amp;A152</f>
        <v>001|2681092</v>
      </c>
    </row>
    <row r="153" spans="1:14">
      <c r="A153" s="12" t="s">
        <v>680</v>
      </c>
      <c r="B153" s="12" t="s">
        <v>682</v>
      </c>
      <c r="C153" s="12" t="s">
        <v>74</v>
      </c>
      <c r="D153" s="35">
        <v>18371</v>
      </c>
      <c r="E153" s="35">
        <v>0</v>
      </c>
      <c r="F153" s="35">
        <v>0</v>
      </c>
      <c r="G153" s="35">
        <v>18371</v>
      </c>
      <c r="H153" s="35">
        <v>0</v>
      </c>
      <c r="I153" s="35">
        <v>0</v>
      </c>
      <c r="J153" s="12" t="s">
        <v>89</v>
      </c>
      <c r="K153" s="18">
        <f>SUM(E153:J153)</f>
        <v>18371.0</v>
      </c>
      <c r="L153" s="18">
        <f>D153-K153</f>
        <v>0.0</v>
      </c>
      <c r="M153" s="12" t="s">
        <v>1779</v>
      </c>
      <c r="N153" s="12" t="str">
        <f>C153&amp;"|"&amp;A153</f>
        <v>001|2575299</v>
      </c>
    </row>
    <row r="154" spans="1:14">
      <c r="A154" s="12" t="s">
        <v>685</v>
      </c>
      <c r="B154" s="12" t="s">
        <v>687</v>
      </c>
      <c r="C154" s="12" t="s">
        <v>74</v>
      </c>
      <c r="D154" s="35">
        <v>225183</v>
      </c>
      <c r="E154" s="35">
        <v>0</v>
      </c>
      <c r="F154" s="35">
        <v>0</v>
      </c>
      <c r="G154" s="35">
        <v>225183</v>
      </c>
      <c r="H154" s="35">
        <v>0</v>
      </c>
      <c r="I154" s="35">
        <v>0</v>
      </c>
      <c r="J154" s="12" t="s">
        <v>89</v>
      </c>
      <c r="K154" s="18">
        <f>SUM(E154:J154)</f>
        <v>225183.0</v>
      </c>
      <c r="L154" s="18">
        <f>D154-K154</f>
        <v>0.0</v>
      </c>
      <c r="M154" s="12" t="s">
        <v>1779</v>
      </c>
      <c r="N154" s="12" t="str">
        <f>C154&amp;"|"&amp;A154</f>
        <v>001|2642160</v>
      </c>
    </row>
    <row r="155" spans="1:14">
      <c r="A155" s="12" t="s">
        <v>689</v>
      </c>
      <c r="B155" s="12" t="s">
        <v>691</v>
      </c>
      <c r="C155" s="12" t="s">
        <v>74</v>
      </c>
      <c r="D155" s="35">
        <v>680000</v>
      </c>
      <c r="E155" s="35">
        <v>0</v>
      </c>
      <c r="F155" s="35">
        <v>0</v>
      </c>
      <c r="G155" s="35">
        <v>680000</v>
      </c>
      <c r="H155" s="35">
        <v>0</v>
      </c>
      <c r="I155" s="35">
        <v>0</v>
      </c>
      <c r="J155" s="12" t="s">
        <v>89</v>
      </c>
      <c r="K155" s="18">
        <f>SUM(E155:J155)</f>
        <v>680000.0</v>
      </c>
      <c r="L155" s="18">
        <f>D155-K155</f>
        <v>0.0</v>
      </c>
      <c r="M155" s="12" t="s">
        <v>1779</v>
      </c>
      <c r="N155" s="12" t="str">
        <f>C155&amp;"|"&amp;A155</f>
        <v>001|2669470</v>
      </c>
    </row>
    <row r="156" spans="1:14">
      <c r="A156" s="12" t="s">
        <v>692</v>
      </c>
      <c r="B156" s="12" t="s">
        <v>694</v>
      </c>
      <c r="C156" s="12" t="s">
        <v>74</v>
      </c>
      <c r="D156" s="35">
        <v>519111</v>
      </c>
      <c r="E156" s="35">
        <v>0</v>
      </c>
      <c r="F156" s="35">
        <v>0</v>
      </c>
      <c r="G156" s="35">
        <v>519111</v>
      </c>
      <c r="H156" s="35">
        <v>0</v>
      </c>
      <c r="I156" s="35">
        <v>0</v>
      </c>
      <c r="J156" s="12" t="s">
        <v>89</v>
      </c>
      <c r="K156" s="18">
        <f>SUM(E156:J156)</f>
        <v>519111.0</v>
      </c>
      <c r="L156" s="18">
        <f>D156-K156</f>
        <v>0.0</v>
      </c>
      <c r="M156" s="12" t="s">
        <v>1779</v>
      </c>
      <c r="N156" s="12" t="str">
        <f>C156&amp;"|"&amp;A156</f>
        <v>001|2681096</v>
      </c>
    </row>
    <row r="157" spans="1:14">
      <c r="A157" s="12" t="s">
        <v>695</v>
      </c>
      <c r="B157" s="12" t="s">
        <v>697</v>
      </c>
      <c r="C157" s="12" t="s">
        <v>74</v>
      </c>
      <c r="D157" s="35">
        <v>206971</v>
      </c>
      <c r="E157" s="35">
        <v>0</v>
      </c>
      <c r="F157" s="35">
        <v>0</v>
      </c>
      <c r="G157" s="35">
        <v>206971</v>
      </c>
      <c r="H157" s="35">
        <v>0</v>
      </c>
      <c r="I157" s="35">
        <v>0</v>
      </c>
      <c r="J157" s="12" t="s">
        <v>89</v>
      </c>
      <c r="K157" s="18">
        <f>SUM(E157:J157)</f>
        <v>206971.0</v>
      </c>
      <c r="L157" s="18">
        <f>D157-K157</f>
        <v>0.0</v>
      </c>
      <c r="M157" s="12" t="s">
        <v>1779</v>
      </c>
      <c r="N157" s="12" t="str">
        <f>C157&amp;"|"&amp;A157</f>
        <v>001|2692317</v>
      </c>
    </row>
    <row r="158" spans="1:14">
      <c r="A158" s="12" t="s">
        <v>698</v>
      </c>
      <c r="B158" s="12" t="s">
        <v>700</v>
      </c>
      <c r="C158" s="12" t="s">
        <v>74</v>
      </c>
      <c r="D158" s="35">
        <v>654463</v>
      </c>
      <c r="E158" s="35">
        <v>0</v>
      </c>
      <c r="F158" s="35">
        <v>0</v>
      </c>
      <c r="G158" s="35">
        <v>654463</v>
      </c>
      <c r="H158" s="35">
        <v>0</v>
      </c>
      <c r="I158" s="35">
        <v>0</v>
      </c>
      <c r="J158" s="12" t="s">
        <v>89</v>
      </c>
      <c r="K158" s="18">
        <f>SUM(E158:J158)</f>
        <v>654463.0</v>
      </c>
      <c r="L158" s="18">
        <f>D158-K158</f>
        <v>0.0</v>
      </c>
      <c r="M158" s="12" t="s">
        <v>1779</v>
      </c>
      <c r="N158" s="12" t="str">
        <f>C158&amp;"|"&amp;A158</f>
        <v>001|2654204</v>
      </c>
    </row>
    <row r="159" spans="1:14">
      <c r="A159" s="12" t="s">
        <v>702</v>
      </c>
      <c r="B159" s="12" t="s">
        <v>704</v>
      </c>
      <c r="C159" s="12" t="s">
        <v>74</v>
      </c>
      <c r="D159" s="35">
        <v>40572</v>
      </c>
      <c r="E159" s="35">
        <v>0</v>
      </c>
      <c r="F159" s="35">
        <v>0</v>
      </c>
      <c r="G159" s="35">
        <v>40572</v>
      </c>
      <c r="H159" s="35">
        <v>0</v>
      </c>
      <c r="I159" s="35">
        <v>0</v>
      </c>
      <c r="J159" s="12" t="s">
        <v>89</v>
      </c>
      <c r="K159" s="18">
        <f>SUM(E159:J159)</f>
        <v>40572.0</v>
      </c>
      <c r="L159" s="18">
        <f>D159-K159</f>
        <v>0.0</v>
      </c>
      <c r="M159" s="12" t="s">
        <v>1779</v>
      </c>
      <c r="N159" s="12" t="str">
        <f>C159&amp;"|"&amp;A159</f>
        <v>001|2727133</v>
      </c>
    </row>
    <row r="160" spans="1:14">
      <c r="A160" s="12" t="s">
        <v>706</v>
      </c>
      <c r="B160" s="12" t="s">
        <v>708</v>
      </c>
      <c r="C160" s="12" t="s">
        <v>74</v>
      </c>
      <c r="D160" s="35">
        <v>75291</v>
      </c>
      <c r="E160" s="35">
        <v>0</v>
      </c>
      <c r="F160" s="35">
        <v>0</v>
      </c>
      <c r="G160" s="35">
        <v>75291</v>
      </c>
      <c r="H160" s="35">
        <v>0</v>
      </c>
      <c r="I160" s="35">
        <v>0</v>
      </c>
      <c r="J160" s="12" t="s">
        <v>89</v>
      </c>
      <c r="K160" s="18">
        <f>SUM(E160:J160)</f>
        <v>75291.0</v>
      </c>
      <c r="L160" s="18">
        <f>D160-K160</f>
        <v>0.0</v>
      </c>
      <c r="M160" s="12" t="s">
        <v>1779</v>
      </c>
      <c r="N160" s="12" t="str">
        <f>C160&amp;"|"&amp;A160</f>
        <v>001|2727299</v>
      </c>
    </row>
    <row r="161" spans="1:14">
      <c r="A161" s="12" t="s">
        <v>711</v>
      </c>
      <c r="B161" s="12" t="s">
        <v>713</v>
      </c>
      <c r="C161" s="12" t="s">
        <v>74</v>
      </c>
      <c r="D161" s="35">
        <v>100021</v>
      </c>
      <c r="E161" s="35">
        <v>0</v>
      </c>
      <c r="F161" s="35">
        <v>0</v>
      </c>
      <c r="G161" s="35">
        <v>100021</v>
      </c>
      <c r="H161" s="35">
        <v>0</v>
      </c>
      <c r="I161" s="35">
        <v>0</v>
      </c>
      <c r="J161" s="12" t="s">
        <v>89</v>
      </c>
      <c r="K161" s="18">
        <f>SUM(E161:J161)</f>
        <v>100021.0</v>
      </c>
      <c r="L161" s="18">
        <f>D161-K161</f>
        <v>0.0</v>
      </c>
      <c r="M161" s="12" t="s">
        <v>1779</v>
      </c>
      <c r="N161" s="12" t="str">
        <f>C161&amp;"|"&amp;A161</f>
        <v>001|2714049</v>
      </c>
    </row>
    <row r="162" spans="1:14">
      <c r="A162" s="12" t="s">
        <v>716</v>
      </c>
      <c r="B162" s="12" t="s">
        <v>718</v>
      </c>
      <c r="C162" s="12" t="s">
        <v>74</v>
      </c>
      <c r="D162" s="35">
        <v>500000</v>
      </c>
      <c r="E162" s="35">
        <v>0</v>
      </c>
      <c r="F162" s="35">
        <v>0</v>
      </c>
      <c r="G162" s="35">
        <v>200000</v>
      </c>
      <c r="H162" s="35">
        <v>300000</v>
      </c>
      <c r="I162" s="35">
        <v>0</v>
      </c>
      <c r="J162" s="12" t="s">
        <v>89</v>
      </c>
      <c r="K162" s="18">
        <f>SUM(E162:J162)</f>
        <v>500000.0</v>
      </c>
      <c r="L162" s="18">
        <f>D162-K162</f>
        <v>0.0</v>
      </c>
      <c r="M162" s="12" t="s">
        <v>1779</v>
      </c>
      <c r="N162" s="12" t="str">
        <f>C162&amp;"|"&amp;A162</f>
        <v>001|2518131</v>
      </c>
    </row>
    <row r="163" spans="1:14">
      <c r="A163" s="12" t="s">
        <v>721</v>
      </c>
      <c r="B163" s="12" t="s">
        <v>723</v>
      </c>
      <c r="C163" s="12" t="s">
        <v>74</v>
      </c>
      <c r="D163" s="35">
        <v>10399190</v>
      </c>
      <c r="E163" s="35">
        <v>0</v>
      </c>
      <c r="F163" s="35">
        <v>194638</v>
      </c>
      <c r="G163" s="35">
        <v>8204552</v>
      </c>
      <c r="H163" s="35">
        <v>2000000</v>
      </c>
      <c r="I163" s="35">
        <v>0</v>
      </c>
      <c r="J163" s="12" t="s">
        <v>89</v>
      </c>
      <c r="K163" s="18">
        <f>SUM(E163:J163)</f>
        <v>10399190.0</v>
      </c>
      <c r="L163" s="18">
        <f>D163-K163</f>
        <v>0.0</v>
      </c>
      <c r="M163" s="12" t="s">
        <v>1779</v>
      </c>
      <c r="N163" s="12" t="str">
        <f>C163&amp;"|"&amp;A163</f>
        <v>001|2357091</v>
      </c>
    </row>
    <row r="164" spans="1:14">
      <c r="A164" s="12" t="s">
        <v>725</v>
      </c>
      <c r="B164" s="12" t="s">
        <v>727</v>
      </c>
      <c r="C164" s="12" t="s">
        <v>74</v>
      </c>
      <c r="D164" s="35">
        <v>0</v>
      </c>
      <c r="E164" s="35">
        <v>0</v>
      </c>
      <c r="F164" s="35">
        <v>0</v>
      </c>
      <c r="G164" s="35">
        <v>0</v>
      </c>
      <c r="H164" s="35">
        <v>0</v>
      </c>
      <c r="I164" s="35">
        <v>0</v>
      </c>
      <c r="J164" s="12" t="s">
        <v>89</v>
      </c>
      <c r="K164" s="18">
        <f>SUM(E164:J164)</f>
        <v>0.0</v>
      </c>
      <c r="L164" s="18">
        <f>D164-K164</f>
        <v>0.0</v>
      </c>
      <c r="M164" s="12" t="s">
        <v>1779</v>
      </c>
      <c r="N164" s="12" t="str">
        <f>C164&amp;"|"&amp;A164</f>
        <v>001|2380088</v>
      </c>
    </row>
    <row r="165" spans="1:14">
      <c r="A165" s="12" t="s">
        <v>728</v>
      </c>
      <c r="B165" s="12" t="s">
        <v>730</v>
      </c>
      <c r="C165" s="12" t="s">
        <v>74</v>
      </c>
      <c r="D165" s="35">
        <v>184669</v>
      </c>
      <c r="E165" s="35">
        <v>0</v>
      </c>
      <c r="F165" s="35">
        <v>0</v>
      </c>
      <c r="G165" s="35">
        <v>184669</v>
      </c>
      <c r="H165" s="35">
        <v>0</v>
      </c>
      <c r="I165" s="35">
        <v>0</v>
      </c>
      <c r="J165" s="12" t="s">
        <v>89</v>
      </c>
      <c r="K165" s="18">
        <f>SUM(E165:J165)</f>
        <v>184669.0</v>
      </c>
      <c r="L165" s="18">
        <f>D165-K165</f>
        <v>0.0</v>
      </c>
      <c r="M165" s="12" t="s">
        <v>1779</v>
      </c>
      <c r="N165" s="12" t="str">
        <f>C165&amp;"|"&amp;A165</f>
        <v>001|2476464</v>
      </c>
    </row>
    <row r="166" spans="1:14">
      <c r="A166" s="12" t="s">
        <v>732</v>
      </c>
      <c r="B166" s="12" t="s">
        <v>734</v>
      </c>
      <c r="C166" s="12" t="s">
        <v>74</v>
      </c>
      <c r="D166" s="35">
        <v>83062</v>
      </c>
      <c r="E166" s="35">
        <v>0</v>
      </c>
      <c r="F166" s="35">
        <v>0</v>
      </c>
      <c r="G166" s="35">
        <v>83062</v>
      </c>
      <c r="H166" s="35">
        <v>0</v>
      </c>
      <c r="I166" s="35">
        <v>0</v>
      </c>
      <c r="J166" s="12" t="s">
        <v>89</v>
      </c>
      <c r="K166" s="18">
        <f>SUM(E166:J166)</f>
        <v>83062.0</v>
      </c>
      <c r="L166" s="18">
        <f>D166-K166</f>
        <v>0.0</v>
      </c>
      <c r="M166" s="12" t="s">
        <v>1779</v>
      </c>
      <c r="N166" s="12" t="str">
        <f>C166&amp;"|"&amp;A166</f>
        <v>001|2517448</v>
      </c>
    </row>
    <row r="167" spans="1:14">
      <c r="A167" s="12" t="s">
        <v>735</v>
      </c>
      <c r="B167" s="12" t="s">
        <v>737</v>
      </c>
      <c r="C167" s="12" t="s">
        <v>74</v>
      </c>
      <c r="D167" s="35">
        <v>654662</v>
      </c>
      <c r="E167" s="35">
        <v>0</v>
      </c>
      <c r="F167" s="35">
        <v>0</v>
      </c>
      <c r="G167" s="35">
        <v>654662</v>
      </c>
      <c r="H167" s="35">
        <v>0</v>
      </c>
      <c r="I167" s="35">
        <v>0</v>
      </c>
      <c r="J167" s="12" t="s">
        <v>89</v>
      </c>
      <c r="K167" s="18">
        <f>SUM(E167:J167)</f>
        <v>654662.0</v>
      </c>
      <c r="L167" s="18">
        <f>D167-K167</f>
        <v>0.0</v>
      </c>
      <c r="M167" s="12" t="s">
        <v>1779</v>
      </c>
      <c r="N167" s="12" t="str">
        <f>C167&amp;"|"&amp;A167</f>
        <v>001|2551456</v>
      </c>
    </row>
    <row r="168" spans="1:14">
      <c r="A168" s="12" t="s">
        <v>738</v>
      </c>
      <c r="B168" s="12" t="s">
        <v>740</v>
      </c>
      <c r="C168" s="12" t="s">
        <v>74</v>
      </c>
      <c r="D168" s="35">
        <v>82568</v>
      </c>
      <c r="E168" s="35">
        <v>0</v>
      </c>
      <c r="F168" s="35">
        <v>0</v>
      </c>
      <c r="G168" s="35">
        <v>82568</v>
      </c>
      <c r="H168" s="35">
        <v>0</v>
      </c>
      <c r="I168" s="35">
        <v>0</v>
      </c>
      <c r="J168" s="12" t="s">
        <v>89</v>
      </c>
      <c r="K168" s="18">
        <f>SUM(E168:J168)</f>
        <v>82568.0</v>
      </c>
      <c r="L168" s="18">
        <f>D168-K168</f>
        <v>0.0</v>
      </c>
      <c r="M168" s="12" t="s">
        <v>1779</v>
      </c>
      <c r="N168" s="12" t="str">
        <f>C168&amp;"|"&amp;A168</f>
        <v>001|2570943</v>
      </c>
    </row>
    <row r="169" spans="1:14">
      <c r="A169" s="12" t="s">
        <v>741</v>
      </c>
      <c r="B169" s="12" t="s">
        <v>743</v>
      </c>
      <c r="C169" s="12" t="s">
        <v>74</v>
      </c>
      <c r="D169" s="35">
        <v>100000</v>
      </c>
      <c r="E169" s="35">
        <v>0</v>
      </c>
      <c r="F169" s="35">
        <v>0</v>
      </c>
      <c r="G169" s="35">
        <v>100000</v>
      </c>
      <c r="H169" s="35">
        <v>0</v>
      </c>
      <c r="I169" s="35">
        <v>0</v>
      </c>
      <c r="J169" s="12" t="s">
        <v>89</v>
      </c>
      <c r="K169" s="18">
        <f>SUM(E169:J169)</f>
        <v>100000.0</v>
      </c>
      <c r="L169" s="18">
        <f>D169-K169</f>
        <v>0.0</v>
      </c>
      <c r="M169" s="12" t="s">
        <v>1779</v>
      </c>
      <c r="N169" s="12" t="str">
        <f>C169&amp;"|"&amp;A169</f>
        <v>001|2578405</v>
      </c>
    </row>
    <row r="170" spans="1:14">
      <c r="A170" s="12" t="s">
        <v>744</v>
      </c>
      <c r="B170" s="12" t="s">
        <v>746</v>
      </c>
      <c r="C170" s="12" t="s">
        <v>74</v>
      </c>
      <c r="D170" s="35">
        <v>0</v>
      </c>
      <c r="E170" s="35">
        <v>0</v>
      </c>
      <c r="F170" s="35">
        <v>0</v>
      </c>
      <c r="G170" s="35">
        <v>0</v>
      </c>
      <c r="H170" s="35">
        <v>0</v>
      </c>
      <c r="I170" s="35">
        <v>0</v>
      </c>
      <c r="J170" s="12" t="s">
        <v>89</v>
      </c>
      <c r="K170" s="18">
        <f>SUM(E170:J170)</f>
        <v>0.0</v>
      </c>
      <c r="L170" s="18">
        <f>D170-K170</f>
        <v>0.0</v>
      </c>
      <c r="M170" s="12" t="s">
        <v>1779</v>
      </c>
      <c r="N170" s="12" t="str">
        <f>C170&amp;"|"&amp;A170</f>
        <v>001|2585395</v>
      </c>
    </row>
    <row r="171" spans="1:14">
      <c r="A171" s="12" t="s">
        <v>747</v>
      </c>
      <c r="B171" s="12" t="s">
        <v>749</v>
      </c>
      <c r="C171" s="12" t="s">
        <v>74</v>
      </c>
      <c r="D171" s="35">
        <v>154665</v>
      </c>
      <c r="E171" s="35">
        <v>0</v>
      </c>
      <c r="F171" s="35">
        <v>0</v>
      </c>
      <c r="G171" s="35">
        <v>154665</v>
      </c>
      <c r="H171" s="35">
        <v>0</v>
      </c>
      <c r="I171" s="35">
        <v>0</v>
      </c>
      <c r="J171" s="12" t="s">
        <v>89</v>
      </c>
      <c r="K171" s="18">
        <f>SUM(E171:J171)</f>
        <v>154665.0</v>
      </c>
      <c r="L171" s="18">
        <f>D171-K171</f>
        <v>0.0</v>
      </c>
      <c r="M171" s="12" t="s">
        <v>1779</v>
      </c>
      <c r="N171" s="12" t="str">
        <f>C171&amp;"|"&amp;A171</f>
        <v>001|2594994</v>
      </c>
    </row>
    <row r="172" spans="1:14">
      <c r="A172" s="12" t="s">
        <v>750</v>
      </c>
      <c r="B172" s="12" t="s">
        <v>752</v>
      </c>
      <c r="C172" s="12" t="s">
        <v>74</v>
      </c>
      <c r="D172" s="35">
        <v>1750696</v>
      </c>
      <c r="E172" s="35">
        <v>0</v>
      </c>
      <c r="F172" s="35">
        <v>1371247</v>
      </c>
      <c r="G172" s="35">
        <v>379449</v>
      </c>
      <c r="H172" s="35">
        <v>0</v>
      </c>
      <c r="I172" s="35">
        <v>0</v>
      </c>
      <c r="J172" s="12" t="s">
        <v>89</v>
      </c>
      <c r="K172" s="18">
        <f>SUM(E172:J172)</f>
        <v>1750696.0</v>
      </c>
      <c r="L172" s="18">
        <f>D172-K172</f>
        <v>0.0</v>
      </c>
      <c r="M172" s="12" t="s">
        <v>1779</v>
      </c>
      <c r="N172" s="12" t="str">
        <f>C172&amp;"|"&amp;A172</f>
        <v>001|2599489</v>
      </c>
    </row>
    <row r="173" spans="1:14">
      <c r="A173" s="12" t="s">
        <v>754</v>
      </c>
      <c r="B173" s="12" t="s">
        <v>756</v>
      </c>
      <c r="C173" s="12" t="s">
        <v>74</v>
      </c>
      <c r="D173" s="35">
        <v>0</v>
      </c>
      <c r="E173" s="35">
        <v>0</v>
      </c>
      <c r="F173" s="35">
        <v>0</v>
      </c>
      <c r="G173" s="35">
        <v>0</v>
      </c>
      <c r="H173" s="35">
        <v>0</v>
      </c>
      <c r="I173" s="35">
        <v>0</v>
      </c>
      <c r="J173" s="12" t="s">
        <v>89</v>
      </c>
      <c r="K173" s="18">
        <f>SUM(E173:J173)</f>
        <v>0.0</v>
      </c>
      <c r="L173" s="18">
        <f>D173-K173</f>
        <v>0.0</v>
      </c>
      <c r="M173" s="12" t="s">
        <v>1779</v>
      </c>
      <c r="N173" s="12" t="str">
        <f>C173&amp;"|"&amp;A173</f>
        <v>001|2603161</v>
      </c>
    </row>
    <row r="174" spans="1:14">
      <c r="A174" s="12" t="s">
        <v>757</v>
      </c>
      <c r="B174" s="12" t="s">
        <v>759</v>
      </c>
      <c r="C174" s="12" t="s">
        <v>74</v>
      </c>
      <c r="D174" s="35">
        <v>656461</v>
      </c>
      <c r="E174" s="35">
        <v>0</v>
      </c>
      <c r="F174" s="35">
        <v>0</v>
      </c>
      <c r="G174" s="35">
        <v>656461</v>
      </c>
      <c r="H174" s="35">
        <v>0</v>
      </c>
      <c r="I174" s="35">
        <v>0</v>
      </c>
      <c r="J174" s="12" t="s">
        <v>89</v>
      </c>
      <c r="K174" s="18">
        <f>SUM(E174:J174)</f>
        <v>656461.0</v>
      </c>
      <c r="L174" s="18">
        <f>D174-K174</f>
        <v>0.0</v>
      </c>
      <c r="M174" s="12" t="s">
        <v>1779</v>
      </c>
      <c r="N174" s="12" t="str">
        <f>C174&amp;"|"&amp;A174</f>
        <v>001|2623878</v>
      </c>
    </row>
    <row r="175" spans="1:14">
      <c r="A175" s="12" t="s">
        <v>761</v>
      </c>
      <c r="B175" s="12" t="s">
        <v>763</v>
      </c>
      <c r="C175" s="12" t="s">
        <v>74</v>
      </c>
      <c r="D175" s="35">
        <v>606461</v>
      </c>
      <c r="E175" s="35">
        <v>0</v>
      </c>
      <c r="F175" s="35">
        <v>0</v>
      </c>
      <c r="G175" s="35">
        <v>606461</v>
      </c>
      <c r="H175" s="35">
        <v>0</v>
      </c>
      <c r="I175" s="35">
        <v>0</v>
      </c>
      <c r="J175" s="12" t="s">
        <v>89</v>
      </c>
      <c r="K175" s="18">
        <f>SUM(E175:J175)</f>
        <v>606461.0</v>
      </c>
      <c r="L175" s="18">
        <f>D175-K175</f>
        <v>0.0</v>
      </c>
      <c r="M175" s="12" t="s">
        <v>1779</v>
      </c>
      <c r="N175" s="12" t="str">
        <f>C175&amp;"|"&amp;A175</f>
        <v>001|2623879</v>
      </c>
    </row>
    <row r="176" spans="1:14">
      <c r="A176" s="12" t="s">
        <v>764</v>
      </c>
      <c r="B176" s="12" t="s">
        <v>766</v>
      </c>
      <c r="C176" s="12" t="s">
        <v>74</v>
      </c>
      <c r="D176" s="35">
        <v>0</v>
      </c>
      <c r="E176" s="35">
        <v>0</v>
      </c>
      <c r="F176" s="35">
        <v>0</v>
      </c>
      <c r="G176" s="35">
        <v>0</v>
      </c>
      <c r="H176" s="35">
        <v>0</v>
      </c>
      <c r="I176" s="35">
        <v>0</v>
      </c>
      <c r="J176" s="12" t="s">
        <v>89</v>
      </c>
      <c r="K176" s="18">
        <f>SUM(E176:J176)</f>
        <v>0.0</v>
      </c>
      <c r="L176" s="18">
        <f>D176-K176</f>
        <v>0.0</v>
      </c>
      <c r="M176" s="12" t="s">
        <v>1779</v>
      </c>
      <c r="N176" s="12" t="str">
        <f>C176&amp;"|"&amp;A176</f>
        <v>001|2632832</v>
      </c>
    </row>
    <row r="177" spans="1:14">
      <c r="A177" s="12" t="s">
        <v>767</v>
      </c>
      <c r="B177" s="12" t="s">
        <v>769</v>
      </c>
      <c r="C177" s="12" t="s">
        <v>74</v>
      </c>
      <c r="D177" s="35">
        <v>50000</v>
      </c>
      <c r="E177" s="35">
        <v>0</v>
      </c>
      <c r="F177" s="35">
        <v>0</v>
      </c>
      <c r="G177" s="35">
        <v>50000</v>
      </c>
      <c r="H177" s="35">
        <v>0</v>
      </c>
      <c r="I177" s="35">
        <v>0</v>
      </c>
      <c r="J177" s="12" t="s">
        <v>89</v>
      </c>
      <c r="K177" s="18">
        <f>SUM(E177:J177)</f>
        <v>50000.0</v>
      </c>
      <c r="L177" s="18">
        <f>D177-K177</f>
        <v>0.0</v>
      </c>
      <c r="M177" s="12" t="s">
        <v>1779</v>
      </c>
      <c r="N177" s="12" t="str">
        <f>C177&amp;"|"&amp;A177</f>
        <v>001|2649778</v>
      </c>
    </row>
    <row r="178" spans="1:14">
      <c r="A178" s="12" t="s">
        <v>770</v>
      </c>
      <c r="B178" s="12" t="s">
        <v>772</v>
      </c>
      <c r="C178" s="12" t="s">
        <v>74</v>
      </c>
      <c r="D178" s="35">
        <v>0</v>
      </c>
      <c r="E178" s="35">
        <v>0</v>
      </c>
      <c r="F178" s="35">
        <v>0</v>
      </c>
      <c r="G178" s="35">
        <v>0</v>
      </c>
      <c r="H178" s="35">
        <v>0</v>
      </c>
      <c r="I178" s="35">
        <v>0</v>
      </c>
      <c r="J178" s="12" t="s">
        <v>89</v>
      </c>
      <c r="K178" s="18">
        <f>SUM(E178:J178)</f>
        <v>0.0</v>
      </c>
      <c r="L178" s="18">
        <f>D178-K178</f>
        <v>0.0</v>
      </c>
      <c r="M178" s="12" t="s">
        <v>1779</v>
      </c>
      <c r="N178" s="12" t="str">
        <f>C178&amp;"|"&amp;A178</f>
        <v>001|2649779</v>
      </c>
    </row>
    <row r="179" spans="1:14">
      <c r="A179" s="12" t="s">
        <v>773</v>
      </c>
      <c r="B179" s="12" t="s">
        <v>775</v>
      </c>
      <c r="C179" s="12" t="s">
        <v>74</v>
      </c>
      <c r="D179" s="35">
        <v>82042</v>
      </c>
      <c r="E179" s="35">
        <v>0</v>
      </c>
      <c r="F179" s="35">
        <v>0</v>
      </c>
      <c r="G179" s="35">
        <v>82042</v>
      </c>
      <c r="H179" s="35">
        <v>0</v>
      </c>
      <c r="I179" s="35">
        <v>0</v>
      </c>
      <c r="J179" s="12" t="s">
        <v>89</v>
      </c>
      <c r="K179" s="18">
        <f>SUM(E179:J179)</f>
        <v>82042.0</v>
      </c>
      <c r="L179" s="18">
        <f>D179-K179</f>
        <v>0.0</v>
      </c>
      <c r="M179" s="12" t="s">
        <v>1779</v>
      </c>
      <c r="N179" s="12" t="str">
        <f>C179&amp;"|"&amp;A179</f>
        <v>001|2649780</v>
      </c>
    </row>
    <row r="180" spans="1:14">
      <c r="A180" s="12" t="s">
        <v>776</v>
      </c>
      <c r="B180" s="12" t="s">
        <v>778</v>
      </c>
      <c r="C180" s="12" t="s">
        <v>74</v>
      </c>
      <c r="D180" s="35">
        <v>0</v>
      </c>
      <c r="E180" s="35">
        <v>0</v>
      </c>
      <c r="F180" s="35">
        <v>0</v>
      </c>
      <c r="G180" s="35">
        <v>0</v>
      </c>
      <c r="H180" s="35">
        <v>0</v>
      </c>
      <c r="I180" s="35">
        <v>0</v>
      </c>
      <c r="J180" s="12" t="s">
        <v>89</v>
      </c>
      <c r="K180" s="18">
        <f>SUM(E180:J180)</f>
        <v>0.0</v>
      </c>
      <c r="L180" s="18">
        <f>D180-K180</f>
        <v>0.0</v>
      </c>
      <c r="M180" s="12" t="s">
        <v>1779</v>
      </c>
      <c r="N180" s="12" t="str">
        <f>C180&amp;"|"&amp;A180</f>
        <v>001|2649782</v>
      </c>
    </row>
    <row r="181" spans="1:14">
      <c r="A181" s="12" t="s">
        <v>779</v>
      </c>
      <c r="B181" s="12" t="s">
        <v>781</v>
      </c>
      <c r="C181" s="12" t="s">
        <v>74</v>
      </c>
      <c r="D181" s="35">
        <v>72190</v>
      </c>
      <c r="E181" s="35">
        <v>0</v>
      </c>
      <c r="F181" s="35">
        <v>0</v>
      </c>
      <c r="G181" s="35">
        <v>72190</v>
      </c>
      <c r="H181" s="35">
        <v>0</v>
      </c>
      <c r="I181" s="35">
        <v>0</v>
      </c>
      <c r="J181" s="12" t="s">
        <v>89</v>
      </c>
      <c r="K181" s="18">
        <f>SUM(E181:J181)</f>
        <v>72190.0</v>
      </c>
      <c r="L181" s="18">
        <f>D181-K181</f>
        <v>0.0</v>
      </c>
      <c r="M181" s="12" t="s">
        <v>1779</v>
      </c>
      <c r="N181" s="12" t="str">
        <f>C181&amp;"|"&amp;A181</f>
        <v>001|2649786</v>
      </c>
    </row>
    <row r="182" spans="1:14">
      <c r="A182" s="12" t="s">
        <v>782</v>
      </c>
      <c r="B182" s="12" t="s">
        <v>784</v>
      </c>
      <c r="C182" s="12" t="s">
        <v>74</v>
      </c>
      <c r="D182" s="35">
        <v>69837</v>
      </c>
      <c r="E182" s="35">
        <v>0</v>
      </c>
      <c r="F182" s="35">
        <v>0</v>
      </c>
      <c r="G182" s="35">
        <v>69837</v>
      </c>
      <c r="H182" s="35">
        <v>0</v>
      </c>
      <c r="I182" s="35">
        <v>0</v>
      </c>
      <c r="J182" s="12" t="s">
        <v>89</v>
      </c>
      <c r="K182" s="18">
        <f>SUM(E182:J182)</f>
        <v>69837.0</v>
      </c>
      <c r="L182" s="18">
        <f>D182-K182</f>
        <v>0.0</v>
      </c>
      <c r="M182" s="12" t="s">
        <v>1779</v>
      </c>
      <c r="N182" s="12" t="str">
        <f>C182&amp;"|"&amp;A182</f>
        <v>001|2649788</v>
      </c>
    </row>
    <row r="183" spans="1:14">
      <c r="A183" s="12" t="s">
        <v>785</v>
      </c>
      <c r="B183" s="12" t="s">
        <v>787</v>
      </c>
      <c r="C183" s="12" t="s">
        <v>74</v>
      </c>
      <c r="D183" s="35">
        <v>50000</v>
      </c>
      <c r="E183" s="35">
        <v>0</v>
      </c>
      <c r="F183" s="35">
        <v>0</v>
      </c>
      <c r="G183" s="35">
        <v>50000</v>
      </c>
      <c r="H183" s="35">
        <v>0</v>
      </c>
      <c r="I183" s="35">
        <v>0</v>
      </c>
      <c r="J183" s="12" t="s">
        <v>89</v>
      </c>
      <c r="K183" s="18">
        <f>SUM(E183:J183)</f>
        <v>50000.0</v>
      </c>
      <c r="L183" s="18">
        <f>D183-K183</f>
        <v>0.0</v>
      </c>
      <c r="M183" s="12" t="s">
        <v>1779</v>
      </c>
      <c r="N183" s="12" t="str">
        <f>C183&amp;"|"&amp;A183</f>
        <v>001|2649789</v>
      </c>
    </row>
    <row r="184" spans="1:14">
      <c r="A184" s="12" t="s">
        <v>788</v>
      </c>
      <c r="B184" s="12" t="s">
        <v>790</v>
      </c>
      <c r="C184" s="12" t="s">
        <v>74</v>
      </c>
      <c r="D184" s="35">
        <v>304060</v>
      </c>
      <c r="E184" s="35">
        <v>0</v>
      </c>
      <c r="F184" s="35">
        <v>0</v>
      </c>
      <c r="G184" s="35">
        <v>304060</v>
      </c>
      <c r="H184" s="35">
        <v>0</v>
      </c>
      <c r="I184" s="35">
        <v>0</v>
      </c>
      <c r="J184" s="12" t="s">
        <v>89</v>
      </c>
      <c r="K184" s="18">
        <f>SUM(E184:J184)</f>
        <v>304060.0</v>
      </c>
      <c r="L184" s="18">
        <f>D184-K184</f>
        <v>0.0</v>
      </c>
      <c r="M184" s="12" t="s">
        <v>1779</v>
      </c>
      <c r="N184" s="12" t="str">
        <f>C184&amp;"|"&amp;A184</f>
        <v>001|2649790</v>
      </c>
    </row>
    <row r="185" spans="1:14">
      <c r="A185" s="12" t="s">
        <v>791</v>
      </c>
      <c r="B185" s="12" t="s">
        <v>793</v>
      </c>
      <c r="C185" s="12" t="s">
        <v>74</v>
      </c>
      <c r="D185" s="35">
        <v>0</v>
      </c>
      <c r="E185" s="35">
        <v>0</v>
      </c>
      <c r="F185" s="35">
        <v>0</v>
      </c>
      <c r="G185" s="35">
        <v>0</v>
      </c>
      <c r="H185" s="35">
        <v>0</v>
      </c>
      <c r="I185" s="35">
        <v>0</v>
      </c>
      <c r="J185" s="12" t="s">
        <v>89</v>
      </c>
      <c r="K185" s="18">
        <f>SUM(E185:J185)</f>
        <v>0.0</v>
      </c>
      <c r="L185" s="18">
        <f>D185-K185</f>
        <v>0.0</v>
      </c>
      <c r="M185" s="12" t="s">
        <v>1779</v>
      </c>
      <c r="N185" s="12" t="str">
        <f>C185&amp;"|"&amp;A185</f>
        <v>001|2649793</v>
      </c>
    </row>
    <row r="186" spans="1:14">
      <c r="A186" s="12" t="s">
        <v>794</v>
      </c>
      <c r="B186" s="12" t="s">
        <v>796</v>
      </c>
      <c r="C186" s="12" t="s">
        <v>74</v>
      </c>
      <c r="D186" s="35">
        <v>0</v>
      </c>
      <c r="E186" s="35">
        <v>0</v>
      </c>
      <c r="F186" s="35">
        <v>0</v>
      </c>
      <c r="G186" s="35">
        <v>0</v>
      </c>
      <c r="H186" s="35">
        <v>0</v>
      </c>
      <c r="I186" s="35">
        <v>0</v>
      </c>
      <c r="J186" s="12" t="s">
        <v>89</v>
      </c>
      <c r="K186" s="18">
        <f>SUM(E186:J186)</f>
        <v>0.0</v>
      </c>
      <c r="L186" s="18">
        <f>D186-K186</f>
        <v>0.0</v>
      </c>
      <c r="M186" s="12" t="s">
        <v>1779</v>
      </c>
      <c r="N186" s="12" t="str">
        <f>C186&amp;"|"&amp;A186</f>
        <v>001|2649794</v>
      </c>
    </row>
    <row r="187" spans="1:14">
      <c r="A187" s="12" t="s">
        <v>797</v>
      </c>
      <c r="B187" s="12" t="s">
        <v>799</v>
      </c>
      <c r="C187" s="12" t="s">
        <v>74</v>
      </c>
      <c r="D187" s="35">
        <v>340317</v>
      </c>
      <c r="E187" s="35">
        <v>0</v>
      </c>
      <c r="F187" s="35">
        <v>0</v>
      </c>
      <c r="G187" s="35">
        <v>340317</v>
      </c>
      <c r="H187" s="35">
        <v>0</v>
      </c>
      <c r="I187" s="35">
        <v>0</v>
      </c>
      <c r="J187" s="12" t="s">
        <v>89</v>
      </c>
      <c r="K187" s="18">
        <f>SUM(E187:J187)</f>
        <v>340317.0</v>
      </c>
      <c r="L187" s="18">
        <f>D187-K187</f>
        <v>0.0</v>
      </c>
      <c r="M187" s="12" t="s">
        <v>1779</v>
      </c>
      <c r="N187" s="12" t="str">
        <f>C187&amp;"|"&amp;A187</f>
        <v>001|2658003</v>
      </c>
    </row>
    <row r="188" spans="1:14">
      <c r="A188" s="12" t="s">
        <v>800</v>
      </c>
      <c r="B188" s="12" t="s">
        <v>802</v>
      </c>
      <c r="C188" s="12" t="s">
        <v>74</v>
      </c>
      <c r="D188" s="35">
        <v>0</v>
      </c>
      <c r="E188" s="35">
        <v>0</v>
      </c>
      <c r="F188" s="35">
        <v>0</v>
      </c>
      <c r="G188" s="35">
        <v>0</v>
      </c>
      <c r="H188" s="35">
        <v>0</v>
      </c>
      <c r="I188" s="35">
        <v>0</v>
      </c>
      <c r="J188" s="12" t="s">
        <v>89</v>
      </c>
      <c r="K188" s="18">
        <f>SUM(E188:J188)</f>
        <v>0.0</v>
      </c>
      <c r="L188" s="18">
        <f>D188-K188</f>
        <v>0.0</v>
      </c>
      <c r="M188" s="12" t="s">
        <v>1779</v>
      </c>
      <c r="N188" s="12" t="str">
        <f>C188&amp;"|"&amp;A188</f>
        <v>001|2188379</v>
      </c>
    </row>
    <row r="189" spans="1:14">
      <c r="A189" s="12" t="s">
        <v>804</v>
      </c>
      <c r="B189" s="12" t="s">
        <v>806</v>
      </c>
      <c r="C189" s="12" t="s">
        <v>74</v>
      </c>
      <c r="D189" s="35">
        <v>100000</v>
      </c>
      <c r="E189" s="35">
        <v>0</v>
      </c>
      <c r="F189" s="35">
        <v>0</v>
      </c>
      <c r="G189" s="35">
        <v>100000</v>
      </c>
      <c r="H189" s="35">
        <v>0</v>
      </c>
      <c r="I189" s="35">
        <v>0</v>
      </c>
      <c r="J189" s="12" t="s">
        <v>89</v>
      </c>
      <c r="K189" s="18">
        <f>SUM(E189:J189)</f>
        <v>100000.0</v>
      </c>
      <c r="L189" s="18">
        <f>D189-K189</f>
        <v>0.0</v>
      </c>
      <c r="M189" s="12" t="s">
        <v>1779</v>
      </c>
      <c r="N189" s="12" t="str">
        <f>C189&amp;"|"&amp;A189</f>
        <v>001|2384978</v>
      </c>
    </row>
    <row r="190" spans="1:14">
      <c r="A190" s="12" t="s">
        <v>807</v>
      </c>
      <c r="B190" s="12" t="s">
        <v>809</v>
      </c>
      <c r="C190" s="12" t="s">
        <v>74</v>
      </c>
      <c r="D190" s="35">
        <v>0</v>
      </c>
      <c r="E190" s="35">
        <v>0</v>
      </c>
      <c r="F190" s="35">
        <v>0</v>
      </c>
      <c r="G190" s="35">
        <v>0</v>
      </c>
      <c r="H190" s="35">
        <v>0</v>
      </c>
      <c r="I190" s="35">
        <v>0</v>
      </c>
      <c r="J190" s="12" t="s">
        <v>89</v>
      </c>
      <c r="K190" s="18">
        <f>SUM(E190:J190)</f>
        <v>0.0</v>
      </c>
      <c r="L190" s="18">
        <f>D190-K190</f>
        <v>0.0</v>
      </c>
      <c r="M190" s="12" t="s">
        <v>1779</v>
      </c>
      <c r="N190" s="12" t="str">
        <f>C190&amp;"|"&amp;A190</f>
        <v>001|2525250</v>
      </c>
    </row>
    <row r="191" spans="1:14">
      <c r="A191" s="12" t="s">
        <v>811</v>
      </c>
      <c r="B191" s="12" t="s">
        <v>813</v>
      </c>
      <c r="C191" s="12" t="s">
        <v>74</v>
      </c>
      <c r="D191" s="35">
        <v>58259</v>
      </c>
      <c r="E191" s="35">
        <v>0</v>
      </c>
      <c r="F191" s="35">
        <v>0</v>
      </c>
      <c r="G191" s="35">
        <v>58259</v>
      </c>
      <c r="H191" s="35">
        <v>0</v>
      </c>
      <c r="I191" s="35">
        <v>0</v>
      </c>
      <c r="J191" s="12" t="s">
        <v>89</v>
      </c>
      <c r="K191" s="18">
        <f>SUM(E191:J191)</f>
        <v>58259.0</v>
      </c>
      <c r="L191" s="18">
        <f>D191-K191</f>
        <v>0.0</v>
      </c>
      <c r="M191" s="12" t="s">
        <v>1779</v>
      </c>
      <c r="N191" s="12" t="str">
        <f>C191&amp;"|"&amp;A191</f>
        <v>001|2585923</v>
      </c>
    </row>
    <row r="192" spans="1:14">
      <c r="A192" s="12" t="s">
        <v>814</v>
      </c>
      <c r="B192" s="12" t="s">
        <v>816</v>
      </c>
      <c r="C192" s="12" t="s">
        <v>74</v>
      </c>
      <c r="D192" s="35">
        <v>100000</v>
      </c>
      <c r="E192" s="35">
        <v>0</v>
      </c>
      <c r="F192" s="35">
        <v>0</v>
      </c>
      <c r="G192" s="35">
        <v>100000</v>
      </c>
      <c r="H192" s="35">
        <v>0</v>
      </c>
      <c r="I192" s="35">
        <v>0</v>
      </c>
      <c r="J192" s="12" t="s">
        <v>89</v>
      </c>
      <c r="K192" s="18">
        <f>SUM(E192:J192)</f>
        <v>100000.0</v>
      </c>
      <c r="L192" s="18">
        <f>D192-K192</f>
        <v>0.0</v>
      </c>
      <c r="M192" s="12" t="s">
        <v>1779</v>
      </c>
      <c r="N192" s="12" t="str">
        <f>C192&amp;"|"&amp;A192</f>
        <v>001|2616445</v>
      </c>
    </row>
    <row r="193" spans="1:14">
      <c r="A193" s="12" t="s">
        <v>817</v>
      </c>
      <c r="B193" s="12" t="s">
        <v>819</v>
      </c>
      <c r="C193" s="12" t="s">
        <v>74</v>
      </c>
      <c r="D193" s="35">
        <v>100000</v>
      </c>
      <c r="E193" s="35">
        <v>0</v>
      </c>
      <c r="F193" s="35">
        <v>0</v>
      </c>
      <c r="G193" s="35">
        <v>100000</v>
      </c>
      <c r="H193" s="35">
        <v>0</v>
      </c>
      <c r="I193" s="35">
        <v>0</v>
      </c>
      <c r="J193" s="12" t="s">
        <v>89</v>
      </c>
      <c r="K193" s="18">
        <f>SUM(E193:J193)</f>
        <v>100000.0</v>
      </c>
      <c r="L193" s="18">
        <f>D193-K193</f>
        <v>0.0</v>
      </c>
      <c r="M193" s="12" t="s">
        <v>1779</v>
      </c>
      <c r="N193" s="12" t="str">
        <f>C193&amp;"|"&amp;A193</f>
        <v>001|2618450</v>
      </c>
    </row>
    <row r="194" spans="1:14">
      <c r="A194" s="12" t="s">
        <v>820</v>
      </c>
      <c r="B194" s="12" t="s">
        <v>822</v>
      </c>
      <c r="C194" s="12" t="s">
        <v>74</v>
      </c>
      <c r="D194" s="35">
        <v>500172</v>
      </c>
      <c r="E194" s="35">
        <v>0</v>
      </c>
      <c r="F194" s="35">
        <v>0</v>
      </c>
      <c r="G194" s="35">
        <v>500172</v>
      </c>
      <c r="H194" s="35">
        <v>0</v>
      </c>
      <c r="I194" s="35">
        <v>0</v>
      </c>
      <c r="J194" s="12" t="s">
        <v>89</v>
      </c>
      <c r="K194" s="18">
        <f>SUM(E194:J194)</f>
        <v>500172.0</v>
      </c>
      <c r="L194" s="18">
        <f>D194-K194</f>
        <v>0.0</v>
      </c>
      <c r="M194" s="12" t="s">
        <v>1779</v>
      </c>
      <c r="N194" s="12" t="str">
        <f>C194&amp;"|"&amp;A194</f>
        <v>001|2638009</v>
      </c>
    </row>
    <row r="195" spans="1:14">
      <c r="A195" s="12" t="s">
        <v>823</v>
      </c>
      <c r="B195" s="12" t="s">
        <v>825</v>
      </c>
      <c r="C195" s="12" t="s">
        <v>74</v>
      </c>
      <c r="D195" s="35">
        <v>310000</v>
      </c>
      <c r="E195" s="35">
        <v>0</v>
      </c>
      <c r="F195" s="35">
        <v>0</v>
      </c>
      <c r="G195" s="35">
        <v>310000</v>
      </c>
      <c r="H195" s="35">
        <v>0</v>
      </c>
      <c r="I195" s="35">
        <v>0</v>
      </c>
      <c r="J195" s="12" t="s">
        <v>89</v>
      </c>
      <c r="K195" s="18">
        <f>SUM(E195:J195)</f>
        <v>310000.0</v>
      </c>
      <c r="L195" s="18">
        <f>D195-K195</f>
        <v>0.0</v>
      </c>
      <c r="M195" s="12" t="s">
        <v>1779</v>
      </c>
      <c r="N195" s="12" t="str">
        <f>C195&amp;"|"&amp;A195</f>
        <v>001|2652118</v>
      </c>
    </row>
    <row r="196" spans="1:14">
      <c r="A196" s="12" t="s">
        <v>826</v>
      </c>
      <c r="B196" s="12" t="s">
        <v>828</v>
      </c>
      <c r="C196" s="12" t="s">
        <v>74</v>
      </c>
      <c r="D196" s="35">
        <v>100000</v>
      </c>
      <c r="E196" s="35">
        <v>0</v>
      </c>
      <c r="F196" s="35">
        <v>0</v>
      </c>
      <c r="G196" s="35">
        <v>100000</v>
      </c>
      <c r="H196" s="35">
        <v>0</v>
      </c>
      <c r="I196" s="35">
        <v>0</v>
      </c>
      <c r="J196" s="12" t="s">
        <v>89</v>
      </c>
      <c r="K196" s="18">
        <f>SUM(E196:J196)</f>
        <v>100000.0</v>
      </c>
      <c r="L196" s="18">
        <f>D196-K196</f>
        <v>0.0</v>
      </c>
      <c r="M196" s="12" t="s">
        <v>1779</v>
      </c>
      <c r="N196" s="12" t="str">
        <f>C196&amp;"|"&amp;A196</f>
        <v>001|2652119</v>
      </c>
    </row>
    <row r="197" spans="1:14">
      <c r="A197" s="12" t="s">
        <v>829</v>
      </c>
      <c r="B197" s="12" t="s">
        <v>831</v>
      </c>
      <c r="C197" s="12" t="s">
        <v>74</v>
      </c>
      <c r="D197" s="35">
        <v>400214</v>
      </c>
      <c r="E197" s="35">
        <v>0</v>
      </c>
      <c r="F197" s="35">
        <v>0</v>
      </c>
      <c r="G197" s="35">
        <v>400214</v>
      </c>
      <c r="H197" s="35">
        <v>0</v>
      </c>
      <c r="I197" s="35">
        <v>0</v>
      </c>
      <c r="J197" s="12" t="s">
        <v>89</v>
      </c>
      <c r="K197" s="18">
        <f>SUM(E197:J197)</f>
        <v>400214.0</v>
      </c>
      <c r="L197" s="18">
        <f>D197-K197</f>
        <v>0.0</v>
      </c>
      <c r="M197" s="12" t="s">
        <v>1779</v>
      </c>
      <c r="N197" s="12" t="str">
        <f>C197&amp;"|"&amp;A197</f>
        <v>001|2652120</v>
      </c>
    </row>
    <row r="198" spans="1:14">
      <c r="A198" s="12" t="s">
        <v>832</v>
      </c>
      <c r="B198" s="12" t="s">
        <v>834</v>
      </c>
      <c r="C198" s="12" t="s">
        <v>74</v>
      </c>
      <c r="D198" s="35">
        <v>0</v>
      </c>
      <c r="E198" s="35">
        <v>0</v>
      </c>
      <c r="F198" s="35">
        <v>0</v>
      </c>
      <c r="G198" s="35">
        <v>0</v>
      </c>
      <c r="H198" s="35">
        <v>0</v>
      </c>
      <c r="I198" s="35">
        <v>0</v>
      </c>
      <c r="J198" s="12" t="s">
        <v>89</v>
      </c>
      <c r="K198" s="18">
        <f>SUM(E198:J198)</f>
        <v>0.0</v>
      </c>
      <c r="L198" s="18">
        <f>D198-K198</f>
        <v>0.0</v>
      </c>
      <c r="M198" s="12" t="s">
        <v>1779</v>
      </c>
      <c r="N198" s="12" t="str">
        <f>C198&amp;"|"&amp;A198</f>
        <v>001|2655774</v>
      </c>
    </row>
    <row r="199" spans="1:14">
      <c r="A199" s="12" t="s">
        <v>835</v>
      </c>
      <c r="B199" s="12" t="s">
        <v>837</v>
      </c>
      <c r="C199" s="12" t="s">
        <v>74</v>
      </c>
      <c r="D199" s="35">
        <v>126982</v>
      </c>
      <c r="E199" s="35">
        <v>0</v>
      </c>
      <c r="F199" s="35">
        <v>0</v>
      </c>
      <c r="G199" s="35">
        <v>126982</v>
      </c>
      <c r="H199" s="35">
        <v>0</v>
      </c>
      <c r="I199" s="35">
        <v>0</v>
      </c>
      <c r="J199" s="12" t="s">
        <v>89</v>
      </c>
      <c r="K199" s="18">
        <f>SUM(E199:J199)</f>
        <v>126982.0</v>
      </c>
      <c r="L199" s="18">
        <f>D199-K199</f>
        <v>0.0</v>
      </c>
      <c r="M199" s="12" t="s">
        <v>1779</v>
      </c>
      <c r="N199" s="12" t="str">
        <f>C199&amp;"|"&amp;A199</f>
        <v>001|2656882</v>
      </c>
    </row>
    <row r="200" spans="1:14">
      <c r="A200" s="12" t="s">
        <v>838</v>
      </c>
      <c r="B200" s="12" t="s">
        <v>840</v>
      </c>
      <c r="C200" s="12" t="s">
        <v>74</v>
      </c>
      <c r="D200" s="35">
        <v>0</v>
      </c>
      <c r="E200" s="35">
        <v>0</v>
      </c>
      <c r="F200" s="35">
        <v>0</v>
      </c>
      <c r="G200" s="35">
        <v>0</v>
      </c>
      <c r="H200" s="35">
        <v>0</v>
      </c>
      <c r="I200" s="35">
        <v>0</v>
      </c>
      <c r="J200" s="12" t="s">
        <v>89</v>
      </c>
      <c r="K200" s="18">
        <f>SUM(E200:J200)</f>
        <v>0.0</v>
      </c>
      <c r="L200" s="18">
        <f>D200-K200</f>
        <v>0.0</v>
      </c>
      <c r="M200" s="12" t="s">
        <v>1779</v>
      </c>
      <c r="N200" s="12" t="str">
        <f>C200&amp;"|"&amp;A200</f>
        <v>001|2659574</v>
      </c>
    </row>
    <row r="201" spans="1:14">
      <c r="A201" s="12" t="s">
        <v>841</v>
      </c>
      <c r="B201" s="12" t="s">
        <v>843</v>
      </c>
      <c r="C201" s="12" t="s">
        <v>74</v>
      </c>
      <c r="D201" s="35">
        <v>112244</v>
      </c>
      <c r="E201" s="35">
        <v>0</v>
      </c>
      <c r="F201" s="35">
        <v>0</v>
      </c>
      <c r="G201" s="35">
        <v>112244</v>
      </c>
      <c r="H201" s="35">
        <v>0</v>
      </c>
      <c r="I201" s="35">
        <v>0</v>
      </c>
      <c r="J201" s="12" t="s">
        <v>89</v>
      </c>
      <c r="K201" s="18">
        <f>SUM(E201:J201)</f>
        <v>112244.0</v>
      </c>
      <c r="L201" s="18">
        <f>D201-K201</f>
        <v>0.0</v>
      </c>
      <c r="M201" s="12" t="s">
        <v>1779</v>
      </c>
      <c r="N201" s="12" t="str">
        <f>C201&amp;"|"&amp;A201</f>
        <v>001|2660479</v>
      </c>
    </row>
    <row r="202" spans="1:14">
      <c r="A202" s="12" t="s">
        <v>844</v>
      </c>
      <c r="B202" s="12" t="s">
        <v>846</v>
      </c>
      <c r="C202" s="12" t="s">
        <v>74</v>
      </c>
      <c r="D202" s="35">
        <v>164979</v>
      </c>
      <c r="E202" s="35">
        <v>0</v>
      </c>
      <c r="F202" s="35">
        <v>0</v>
      </c>
      <c r="G202" s="35">
        <v>164979</v>
      </c>
      <c r="H202" s="35">
        <v>0</v>
      </c>
      <c r="I202" s="35">
        <v>0</v>
      </c>
      <c r="J202" s="12" t="s">
        <v>89</v>
      </c>
      <c r="K202" s="18">
        <f>SUM(E202:J202)</f>
        <v>164979.0</v>
      </c>
      <c r="L202" s="18">
        <f>D202-K202</f>
        <v>0.0</v>
      </c>
      <c r="M202" s="12" t="s">
        <v>1779</v>
      </c>
      <c r="N202" s="12" t="str">
        <f>C202&amp;"|"&amp;A202</f>
        <v>001|2662668</v>
      </c>
    </row>
    <row r="203" spans="1:14">
      <c r="A203" s="12" t="s">
        <v>847</v>
      </c>
      <c r="B203" s="12" t="s">
        <v>849</v>
      </c>
      <c r="C203" s="12" t="s">
        <v>74</v>
      </c>
      <c r="D203" s="35">
        <v>99897</v>
      </c>
      <c r="E203" s="35">
        <v>0</v>
      </c>
      <c r="F203" s="35">
        <v>0</v>
      </c>
      <c r="G203" s="35">
        <v>99897</v>
      </c>
      <c r="H203" s="35">
        <v>0</v>
      </c>
      <c r="I203" s="35">
        <v>0</v>
      </c>
      <c r="J203" s="12" t="s">
        <v>89</v>
      </c>
      <c r="K203" s="18">
        <f>SUM(E203:J203)</f>
        <v>99897.0</v>
      </c>
      <c r="L203" s="18">
        <f>D203-K203</f>
        <v>0.0</v>
      </c>
      <c r="M203" s="12" t="s">
        <v>1779</v>
      </c>
      <c r="N203" s="12" t="str">
        <f>C203&amp;"|"&amp;A203</f>
        <v>001|2662786</v>
      </c>
    </row>
    <row r="204" spans="1:14">
      <c r="A204" s="12" t="s">
        <v>850</v>
      </c>
      <c r="B204" s="12" t="s">
        <v>852</v>
      </c>
      <c r="C204" s="12" t="s">
        <v>74</v>
      </c>
      <c r="D204" s="35">
        <v>332000</v>
      </c>
      <c r="E204" s="35">
        <v>0</v>
      </c>
      <c r="F204" s="35">
        <v>0</v>
      </c>
      <c r="G204" s="35">
        <v>332000</v>
      </c>
      <c r="H204" s="35">
        <v>0</v>
      </c>
      <c r="I204" s="35">
        <v>0</v>
      </c>
      <c r="J204" s="12" t="s">
        <v>89</v>
      </c>
      <c r="K204" s="18">
        <f>SUM(E204:J204)</f>
        <v>332000.0</v>
      </c>
      <c r="L204" s="18">
        <f>D204-K204</f>
        <v>0.0</v>
      </c>
      <c r="M204" s="12" t="s">
        <v>1779</v>
      </c>
      <c r="N204" s="12" t="str">
        <f>C204&amp;"|"&amp;A204</f>
        <v>001|2664647</v>
      </c>
    </row>
    <row r="205" spans="1:14">
      <c r="A205" s="12" t="s">
        <v>853</v>
      </c>
      <c r="B205" s="12" t="s">
        <v>855</v>
      </c>
      <c r="C205" s="12" t="s">
        <v>74</v>
      </c>
      <c r="D205" s="35">
        <v>0</v>
      </c>
      <c r="E205" s="35">
        <v>0</v>
      </c>
      <c r="F205" s="35">
        <v>0</v>
      </c>
      <c r="G205" s="35">
        <v>0</v>
      </c>
      <c r="H205" s="35">
        <v>0</v>
      </c>
      <c r="I205" s="35">
        <v>0</v>
      </c>
      <c r="J205" s="12" t="s">
        <v>89</v>
      </c>
      <c r="K205" s="18">
        <f>SUM(E205:J205)</f>
        <v>0.0</v>
      </c>
      <c r="L205" s="18">
        <f>D205-K205</f>
        <v>0.0</v>
      </c>
      <c r="M205" s="12" t="s">
        <v>1779</v>
      </c>
      <c r="N205" s="12" t="str">
        <f>C205&amp;"|"&amp;A205</f>
        <v>001|2673628</v>
      </c>
    </row>
    <row r="206" spans="1:14">
      <c r="A206" s="12" t="s">
        <v>856</v>
      </c>
      <c r="B206" s="12" t="s">
        <v>858</v>
      </c>
      <c r="C206" s="12" t="s">
        <v>74</v>
      </c>
      <c r="D206" s="35">
        <v>100000</v>
      </c>
      <c r="E206" s="35">
        <v>0</v>
      </c>
      <c r="F206" s="35">
        <v>0</v>
      </c>
      <c r="G206" s="35">
        <v>100000</v>
      </c>
      <c r="H206" s="35">
        <v>0</v>
      </c>
      <c r="I206" s="35">
        <v>0</v>
      </c>
      <c r="J206" s="12" t="s">
        <v>89</v>
      </c>
      <c r="K206" s="18">
        <f>SUM(E206:J206)</f>
        <v>100000.0</v>
      </c>
      <c r="L206" s="18">
        <f>D206-K206</f>
        <v>0.0</v>
      </c>
      <c r="M206" s="12" t="s">
        <v>1779</v>
      </c>
      <c r="N206" s="12" t="str">
        <f>C206&amp;"|"&amp;A206</f>
        <v>001|2357337</v>
      </c>
    </row>
    <row r="207" spans="1:14">
      <c r="A207" s="12" t="s">
        <v>859</v>
      </c>
      <c r="B207" s="12" t="s">
        <v>861</v>
      </c>
      <c r="C207" s="12" t="s">
        <v>74</v>
      </c>
      <c r="D207" s="35">
        <v>408761</v>
      </c>
      <c r="E207" s="35">
        <v>0</v>
      </c>
      <c r="F207" s="35">
        <v>0</v>
      </c>
      <c r="G207" s="35">
        <v>408761</v>
      </c>
      <c r="H207" s="35">
        <v>0</v>
      </c>
      <c r="I207" s="35">
        <v>0</v>
      </c>
      <c r="J207" s="12" t="s">
        <v>89</v>
      </c>
      <c r="K207" s="18">
        <f>SUM(E207:J207)</f>
        <v>408761.0</v>
      </c>
      <c r="L207" s="18">
        <f>D207-K207</f>
        <v>0.0</v>
      </c>
      <c r="M207" s="12" t="s">
        <v>1779</v>
      </c>
      <c r="N207" s="12" t="str">
        <f>C207&amp;"|"&amp;A207</f>
        <v>001|2623873</v>
      </c>
    </row>
    <row r="208" spans="1:14">
      <c r="A208" s="12" t="s">
        <v>862</v>
      </c>
      <c r="B208" s="12" t="s">
        <v>864</v>
      </c>
      <c r="C208" s="12" t="s">
        <v>74</v>
      </c>
      <c r="D208" s="35">
        <v>261704</v>
      </c>
      <c r="E208" s="35">
        <v>0</v>
      </c>
      <c r="F208" s="35">
        <v>0</v>
      </c>
      <c r="G208" s="35">
        <v>261704</v>
      </c>
      <c r="H208" s="35">
        <v>0</v>
      </c>
      <c r="I208" s="35">
        <v>0</v>
      </c>
      <c r="J208" s="12" t="s">
        <v>89</v>
      </c>
      <c r="K208" s="18">
        <f>SUM(E208:J208)</f>
        <v>261704.0</v>
      </c>
      <c r="L208" s="18">
        <f>D208-K208</f>
        <v>0.0</v>
      </c>
      <c r="M208" s="12" t="s">
        <v>1779</v>
      </c>
      <c r="N208" s="12" t="str">
        <f>C208&amp;"|"&amp;A208</f>
        <v>001|2403888</v>
      </c>
    </row>
    <row r="209" spans="1:14">
      <c r="A209" s="12" t="s">
        <v>865</v>
      </c>
      <c r="B209" s="12" t="s">
        <v>867</v>
      </c>
      <c r="C209" s="12" t="s">
        <v>74</v>
      </c>
      <c r="D209" s="35">
        <v>5089845</v>
      </c>
      <c r="E209" s="35">
        <v>0</v>
      </c>
      <c r="F209" s="35">
        <v>0</v>
      </c>
      <c r="G209" s="35">
        <v>5089845</v>
      </c>
      <c r="H209" s="35">
        <v>0</v>
      </c>
      <c r="I209" s="35">
        <v>0</v>
      </c>
      <c r="J209" s="12" t="s">
        <v>89</v>
      </c>
      <c r="K209" s="18">
        <f>SUM(E209:J209)</f>
        <v>5089845.0</v>
      </c>
      <c r="L209" s="18">
        <f>D209-K209</f>
        <v>0.0</v>
      </c>
      <c r="M209" s="12" t="s">
        <v>1779</v>
      </c>
      <c r="N209" s="12" t="str">
        <f>C209&amp;"|"&amp;A209</f>
        <v>001|2570033</v>
      </c>
    </row>
    <row r="210" spans="1:14">
      <c r="A210" s="12" t="s">
        <v>868</v>
      </c>
      <c r="B210" s="12" t="s">
        <v>870</v>
      </c>
      <c r="C210" s="12" t="s">
        <v>74</v>
      </c>
      <c r="D210" s="35">
        <v>4863</v>
      </c>
      <c r="E210" s="35">
        <v>0</v>
      </c>
      <c r="F210" s="35">
        <v>0</v>
      </c>
      <c r="G210" s="35">
        <v>4863</v>
      </c>
      <c r="H210" s="35">
        <v>0</v>
      </c>
      <c r="I210" s="35">
        <v>0</v>
      </c>
      <c r="J210" s="12" t="s">
        <v>89</v>
      </c>
      <c r="K210" s="18">
        <f>SUM(E210:J210)</f>
        <v>4863.0</v>
      </c>
      <c r="L210" s="18">
        <f>D210-K210</f>
        <v>0.0</v>
      </c>
      <c r="M210" s="12" t="s">
        <v>1779</v>
      </c>
      <c r="N210" s="12" t="str">
        <f>C210&amp;"|"&amp;A210</f>
        <v>001|2570365</v>
      </c>
    </row>
    <row r="211" spans="1:14">
      <c r="A211" s="12" t="s">
        <v>871</v>
      </c>
      <c r="B211" s="12" t="s">
        <v>873</v>
      </c>
      <c r="C211" s="12" t="s">
        <v>74</v>
      </c>
      <c r="D211" s="35">
        <v>5931027</v>
      </c>
      <c r="E211" s="35">
        <v>0</v>
      </c>
      <c r="F211" s="35">
        <v>0</v>
      </c>
      <c r="G211" s="35">
        <v>5931027</v>
      </c>
      <c r="H211" s="35">
        <v>0</v>
      </c>
      <c r="I211" s="35">
        <v>0</v>
      </c>
      <c r="J211" s="12" t="s">
        <v>89</v>
      </c>
      <c r="K211" s="18">
        <f>SUM(E211:J211)</f>
        <v>5931027.0</v>
      </c>
      <c r="L211" s="18">
        <f>D211-K211</f>
        <v>0.0</v>
      </c>
      <c r="M211" s="12" t="s">
        <v>1779</v>
      </c>
      <c r="N211" s="12" t="str">
        <f>C211&amp;"|"&amp;A211</f>
        <v>001|2570369</v>
      </c>
    </row>
    <row r="212" spans="1:14">
      <c r="A212" s="12" t="s">
        <v>875</v>
      </c>
      <c r="B212" s="12" t="s">
        <v>877</v>
      </c>
      <c r="C212" s="12" t="s">
        <v>74</v>
      </c>
      <c r="D212" s="35">
        <v>178134</v>
      </c>
      <c r="E212" s="35">
        <v>0</v>
      </c>
      <c r="F212" s="35">
        <v>0</v>
      </c>
      <c r="G212" s="35">
        <v>178134</v>
      </c>
      <c r="H212" s="35">
        <v>0</v>
      </c>
      <c r="I212" s="35">
        <v>0</v>
      </c>
      <c r="J212" s="12" t="s">
        <v>89</v>
      </c>
      <c r="K212" s="18">
        <f>SUM(E212:J212)</f>
        <v>178134.0</v>
      </c>
      <c r="L212" s="18">
        <f>D212-K212</f>
        <v>0.0</v>
      </c>
      <c r="M212" s="12" t="s">
        <v>1779</v>
      </c>
      <c r="N212" s="12" t="str">
        <f>C212&amp;"|"&amp;A212</f>
        <v>001|2623875</v>
      </c>
    </row>
    <row r="213" spans="1:14">
      <c r="A213" s="12" t="s">
        <v>878</v>
      </c>
      <c r="B213" s="12" t="s">
        <v>880</v>
      </c>
      <c r="C213" s="12" t="s">
        <v>74</v>
      </c>
      <c r="D213" s="35">
        <v>220481</v>
      </c>
      <c r="E213" s="35">
        <v>0</v>
      </c>
      <c r="F213" s="35">
        <v>0</v>
      </c>
      <c r="G213" s="35">
        <v>194522</v>
      </c>
      <c r="H213" s="35">
        <v>25959</v>
      </c>
      <c r="I213" s="35">
        <v>0</v>
      </c>
      <c r="J213" s="12" t="s">
        <v>89</v>
      </c>
      <c r="K213" s="18">
        <f>SUM(E213:J213)</f>
        <v>220481.0</v>
      </c>
      <c r="L213" s="18">
        <f>D213-K213</f>
        <v>0.0</v>
      </c>
      <c r="M213" s="12" t="s">
        <v>1779</v>
      </c>
      <c r="N213" s="12" t="str">
        <f>C213&amp;"|"&amp;A213</f>
        <v>001|2623876</v>
      </c>
    </row>
    <row r="214" spans="1:14">
      <c r="A214" s="12" t="s">
        <v>881</v>
      </c>
      <c r="B214" s="12" t="s">
        <v>883</v>
      </c>
      <c r="C214" s="12" t="s">
        <v>74</v>
      </c>
      <c r="D214" s="35">
        <v>0</v>
      </c>
      <c r="E214" s="35">
        <v>0</v>
      </c>
      <c r="F214" s="35">
        <v>0</v>
      </c>
      <c r="G214" s="35">
        <v>0</v>
      </c>
      <c r="H214" s="35">
        <v>0</v>
      </c>
      <c r="I214" s="35">
        <v>0</v>
      </c>
      <c r="J214" s="12" t="s">
        <v>89</v>
      </c>
      <c r="K214" s="18">
        <f>SUM(E214:J214)</f>
        <v>0.0</v>
      </c>
      <c r="L214" s="18">
        <f>D214-K214</f>
        <v>0.0</v>
      </c>
      <c r="M214" s="12" t="s">
        <v>1779</v>
      </c>
      <c r="N214" s="12" t="str">
        <f>C214&amp;"|"&amp;A214</f>
        <v>001|2250307</v>
      </c>
    </row>
    <row r="215" spans="1:14">
      <c r="A215" s="12" t="s">
        <v>885</v>
      </c>
      <c r="B215" s="12" t="s">
        <v>887</v>
      </c>
      <c r="C215" s="12" t="s">
        <v>74</v>
      </c>
      <c r="D215" s="35">
        <v>0</v>
      </c>
      <c r="E215" s="35">
        <v>0</v>
      </c>
      <c r="F215" s="35">
        <v>0</v>
      </c>
      <c r="G215" s="35">
        <v>0</v>
      </c>
      <c r="H215" s="35">
        <v>0</v>
      </c>
      <c r="I215" s="35">
        <v>0</v>
      </c>
      <c r="J215" s="12" t="s">
        <v>89</v>
      </c>
      <c r="K215" s="18">
        <f>SUM(E215:J215)</f>
        <v>0.0</v>
      </c>
      <c r="L215" s="18">
        <f>D215-K215</f>
        <v>0.0</v>
      </c>
      <c r="M215" s="12" t="s">
        <v>1779</v>
      </c>
      <c r="N215" s="12" t="str">
        <f>C215&amp;"|"&amp;A215</f>
        <v>001|2250460</v>
      </c>
    </row>
    <row r="216" spans="1:14">
      <c r="A216" s="12" t="s">
        <v>888</v>
      </c>
      <c r="B216" s="12" t="s">
        <v>890</v>
      </c>
      <c r="C216" s="12" t="s">
        <v>74</v>
      </c>
      <c r="D216" s="35">
        <v>29298</v>
      </c>
      <c r="E216" s="35">
        <v>0</v>
      </c>
      <c r="F216" s="35">
        <v>0</v>
      </c>
      <c r="G216" s="35">
        <v>29298</v>
      </c>
      <c r="H216" s="35">
        <v>0</v>
      </c>
      <c r="I216" s="35">
        <v>0</v>
      </c>
      <c r="J216" s="12" t="s">
        <v>89</v>
      </c>
      <c r="K216" s="18">
        <f>SUM(E216:J216)</f>
        <v>29298.0</v>
      </c>
      <c r="L216" s="18">
        <f>D216-K216</f>
        <v>0.0</v>
      </c>
      <c r="M216" s="12" t="s">
        <v>1779</v>
      </c>
      <c r="N216" s="12" t="str">
        <f>C216&amp;"|"&amp;A216</f>
        <v>001|2649797</v>
      </c>
    </row>
    <row r="217" spans="1:14">
      <c r="A217" s="12" t="s">
        <v>891</v>
      </c>
      <c r="B217" s="12" t="s">
        <v>893</v>
      </c>
      <c r="C217" s="12" t="s">
        <v>74</v>
      </c>
      <c r="D217" s="35">
        <v>80000</v>
      </c>
      <c r="E217" s="35">
        <v>0</v>
      </c>
      <c r="F217" s="35">
        <v>0</v>
      </c>
      <c r="G217" s="35">
        <v>80000</v>
      </c>
      <c r="H217" s="35">
        <v>0</v>
      </c>
      <c r="I217" s="35">
        <v>0</v>
      </c>
      <c r="J217" s="12" t="s">
        <v>89</v>
      </c>
      <c r="K217" s="18">
        <f>SUM(E217:J217)</f>
        <v>80000.0</v>
      </c>
      <c r="L217" s="18">
        <f>D217-K217</f>
        <v>0.0</v>
      </c>
      <c r="M217" s="12" t="s">
        <v>1779</v>
      </c>
      <c r="N217" s="12" t="str">
        <f>C217&amp;"|"&amp;A217</f>
        <v>001|2649798</v>
      </c>
    </row>
    <row r="218" spans="1:14">
      <c r="A218" s="12" t="s">
        <v>894</v>
      </c>
      <c r="B218" s="12" t="s">
        <v>896</v>
      </c>
      <c r="C218" s="12" t="s">
        <v>74</v>
      </c>
      <c r="D218" s="35">
        <v>0</v>
      </c>
      <c r="E218" s="35">
        <v>0</v>
      </c>
      <c r="F218" s="35">
        <v>0</v>
      </c>
      <c r="G218" s="35">
        <v>0</v>
      </c>
      <c r="H218" s="35">
        <v>0</v>
      </c>
      <c r="I218" s="35">
        <v>0</v>
      </c>
      <c r="J218" s="12" t="s">
        <v>89</v>
      </c>
      <c r="K218" s="18">
        <f>SUM(E218:J218)</f>
        <v>0.0</v>
      </c>
      <c r="L218" s="18">
        <f>D218-K218</f>
        <v>0.0</v>
      </c>
      <c r="M218" s="12" t="s">
        <v>1779</v>
      </c>
      <c r="N218" s="12" t="str">
        <f>C218&amp;"|"&amp;A218</f>
        <v>001|2649800</v>
      </c>
    </row>
    <row r="219" spans="1:14">
      <c r="A219" s="12" t="s">
        <v>897</v>
      </c>
      <c r="B219" s="12" t="s">
        <v>899</v>
      </c>
      <c r="C219" s="12" t="s">
        <v>74</v>
      </c>
      <c r="D219" s="35">
        <v>209495</v>
      </c>
      <c r="E219" s="35">
        <v>0</v>
      </c>
      <c r="F219" s="35">
        <v>0</v>
      </c>
      <c r="G219" s="35">
        <v>209495</v>
      </c>
      <c r="H219" s="35">
        <v>0</v>
      </c>
      <c r="I219" s="35">
        <v>0</v>
      </c>
      <c r="J219" s="12" t="s">
        <v>89</v>
      </c>
      <c r="K219" s="18">
        <f>SUM(E219:J219)</f>
        <v>209495.0</v>
      </c>
      <c r="L219" s="18">
        <f>D219-K219</f>
        <v>0.0</v>
      </c>
      <c r="M219" s="12" t="s">
        <v>1779</v>
      </c>
      <c r="N219" s="12" t="str">
        <f>C219&amp;"|"&amp;A219</f>
        <v>001|2649803</v>
      </c>
    </row>
    <row r="220" spans="1:14">
      <c r="A220" s="12" t="s">
        <v>900</v>
      </c>
      <c r="B220" s="12" t="s">
        <v>902</v>
      </c>
      <c r="C220" s="12" t="s">
        <v>74</v>
      </c>
      <c r="D220" s="35">
        <v>400000</v>
      </c>
      <c r="E220" s="35">
        <v>0</v>
      </c>
      <c r="F220" s="35">
        <v>0</v>
      </c>
      <c r="G220" s="35">
        <v>400000</v>
      </c>
      <c r="H220" s="35">
        <v>0</v>
      </c>
      <c r="I220" s="35">
        <v>0</v>
      </c>
      <c r="J220" s="12" t="s">
        <v>89</v>
      </c>
      <c r="K220" s="18">
        <f>SUM(E220:J220)</f>
        <v>400000.0</v>
      </c>
      <c r="L220" s="18">
        <f>D220-K220</f>
        <v>0.0</v>
      </c>
      <c r="M220" s="12" t="s">
        <v>1779</v>
      </c>
      <c r="N220" s="12" t="str">
        <f>C220&amp;"|"&amp;A220</f>
        <v>001|2649804</v>
      </c>
    </row>
    <row r="221" spans="1:14">
      <c r="A221" s="12" t="s">
        <v>903</v>
      </c>
      <c r="B221" s="12" t="s">
        <v>905</v>
      </c>
      <c r="C221" s="12" t="s">
        <v>74</v>
      </c>
      <c r="D221" s="35">
        <v>179528</v>
      </c>
      <c r="E221" s="35">
        <v>0</v>
      </c>
      <c r="F221" s="35">
        <v>0</v>
      </c>
      <c r="G221" s="35">
        <v>179528</v>
      </c>
      <c r="H221" s="35">
        <v>0</v>
      </c>
      <c r="I221" s="35">
        <v>0</v>
      </c>
      <c r="J221" s="12" t="s">
        <v>89</v>
      </c>
      <c r="K221" s="18">
        <f>SUM(E221:J221)</f>
        <v>179528.0</v>
      </c>
      <c r="L221" s="18">
        <f>D221-K221</f>
        <v>0.0</v>
      </c>
      <c r="M221" s="12" t="s">
        <v>1779</v>
      </c>
      <c r="N221" s="12" t="str">
        <f>C221&amp;"|"&amp;A221</f>
        <v>001|2649853</v>
      </c>
    </row>
    <row r="222" spans="1:14">
      <c r="A222" s="12" t="s">
        <v>906</v>
      </c>
      <c r="B222" s="12" t="s">
        <v>908</v>
      </c>
      <c r="C222" s="12" t="s">
        <v>74</v>
      </c>
      <c r="D222" s="35">
        <v>0</v>
      </c>
      <c r="E222" s="35">
        <v>0</v>
      </c>
      <c r="F222" s="35">
        <v>0</v>
      </c>
      <c r="G222" s="35">
        <v>0</v>
      </c>
      <c r="H222" s="35">
        <v>0</v>
      </c>
      <c r="I222" s="35">
        <v>0</v>
      </c>
      <c r="J222" s="12" t="s">
        <v>89</v>
      </c>
      <c r="K222" s="18">
        <f>SUM(E222:J222)</f>
        <v>0.0</v>
      </c>
      <c r="L222" s="18">
        <f>D222-K222</f>
        <v>0.0</v>
      </c>
      <c r="M222" s="12" t="s">
        <v>1779</v>
      </c>
      <c r="N222" s="12" t="str">
        <f>C222&amp;"|"&amp;A222</f>
        <v>001|2649854</v>
      </c>
    </row>
    <row r="223" spans="1:14">
      <c r="A223" s="12" t="s">
        <v>909</v>
      </c>
      <c r="B223" s="12" t="s">
        <v>911</v>
      </c>
      <c r="C223" s="12" t="s">
        <v>74</v>
      </c>
      <c r="D223" s="35">
        <v>33556</v>
      </c>
      <c r="E223" s="35">
        <v>0</v>
      </c>
      <c r="F223" s="35">
        <v>0</v>
      </c>
      <c r="G223" s="35">
        <v>33556</v>
      </c>
      <c r="H223" s="35">
        <v>0</v>
      </c>
      <c r="I223" s="35">
        <v>0</v>
      </c>
      <c r="J223" s="12" t="s">
        <v>89</v>
      </c>
      <c r="K223" s="18">
        <f>SUM(E223:J223)</f>
        <v>33556.0</v>
      </c>
      <c r="L223" s="18">
        <f>D223-K223</f>
        <v>0.0</v>
      </c>
      <c r="M223" s="12" t="s">
        <v>1779</v>
      </c>
      <c r="N223" s="12" t="str">
        <f>C223&amp;"|"&amp;A223</f>
        <v>001|2649855</v>
      </c>
    </row>
    <row r="224" spans="1:14">
      <c r="A224" s="12" t="s">
        <v>912</v>
      </c>
      <c r="B224" s="12" t="s">
        <v>914</v>
      </c>
      <c r="C224" s="12" t="s">
        <v>74</v>
      </c>
      <c r="D224" s="35">
        <v>0</v>
      </c>
      <c r="E224" s="35">
        <v>0</v>
      </c>
      <c r="F224" s="35">
        <v>0</v>
      </c>
      <c r="G224" s="35">
        <v>0</v>
      </c>
      <c r="H224" s="35">
        <v>0</v>
      </c>
      <c r="I224" s="35">
        <v>0</v>
      </c>
      <c r="J224" s="12" t="s">
        <v>89</v>
      </c>
      <c r="K224" s="18">
        <f>SUM(E224:J224)</f>
        <v>0.0</v>
      </c>
      <c r="L224" s="18">
        <f>D224-K224</f>
        <v>0.0</v>
      </c>
      <c r="M224" s="12" t="s">
        <v>1779</v>
      </c>
      <c r="N224" s="12" t="str">
        <f>C224&amp;"|"&amp;A224</f>
        <v>001|2649856</v>
      </c>
    </row>
    <row r="225" spans="1:14">
      <c r="A225" s="12" t="s">
        <v>915</v>
      </c>
      <c r="B225" s="12" t="s">
        <v>917</v>
      </c>
      <c r="C225" s="12" t="s">
        <v>74</v>
      </c>
      <c r="D225" s="35">
        <v>0</v>
      </c>
      <c r="E225" s="35">
        <v>0</v>
      </c>
      <c r="F225" s="35">
        <v>0</v>
      </c>
      <c r="G225" s="35">
        <v>0</v>
      </c>
      <c r="H225" s="35">
        <v>0</v>
      </c>
      <c r="I225" s="35">
        <v>0</v>
      </c>
      <c r="J225" s="12" t="s">
        <v>89</v>
      </c>
      <c r="K225" s="18">
        <f>SUM(E225:J225)</f>
        <v>0.0</v>
      </c>
      <c r="L225" s="18">
        <f>D225-K225</f>
        <v>0.0</v>
      </c>
      <c r="M225" s="12" t="s">
        <v>1779</v>
      </c>
      <c r="N225" s="12" t="str">
        <f>C225&amp;"|"&amp;A225</f>
        <v>001|2649857</v>
      </c>
    </row>
    <row r="226" spans="1:14">
      <c r="A226" s="12" t="s">
        <v>918</v>
      </c>
      <c r="B226" s="12" t="s">
        <v>920</v>
      </c>
      <c r="C226" s="12" t="s">
        <v>74</v>
      </c>
      <c r="D226" s="35">
        <v>106670</v>
      </c>
      <c r="E226" s="35">
        <v>0</v>
      </c>
      <c r="F226" s="35">
        <v>0</v>
      </c>
      <c r="G226" s="35">
        <v>106670</v>
      </c>
      <c r="H226" s="35">
        <v>0</v>
      </c>
      <c r="I226" s="35">
        <v>0</v>
      </c>
      <c r="J226" s="12" t="s">
        <v>89</v>
      </c>
      <c r="K226" s="18">
        <f>SUM(E226:J226)</f>
        <v>106670.0</v>
      </c>
      <c r="L226" s="18">
        <f>D226-K226</f>
        <v>0.0</v>
      </c>
      <c r="M226" s="12" t="s">
        <v>1779</v>
      </c>
      <c r="N226" s="12" t="str">
        <f>C226&amp;"|"&amp;A226</f>
        <v>001|2651086</v>
      </c>
    </row>
    <row r="227" spans="1:14">
      <c r="A227" s="12" t="s">
        <v>921</v>
      </c>
      <c r="B227" s="12" t="s">
        <v>923</v>
      </c>
      <c r="C227" s="12" t="s">
        <v>74</v>
      </c>
      <c r="D227" s="35">
        <v>306148</v>
      </c>
      <c r="E227" s="35">
        <v>0</v>
      </c>
      <c r="F227" s="35">
        <v>0</v>
      </c>
      <c r="G227" s="35">
        <v>306148</v>
      </c>
      <c r="H227" s="35">
        <v>0</v>
      </c>
      <c r="I227" s="35">
        <v>0</v>
      </c>
      <c r="J227" s="12" t="s">
        <v>89</v>
      </c>
      <c r="K227" s="18">
        <f>SUM(E227:J227)</f>
        <v>306148.0</v>
      </c>
      <c r="L227" s="18">
        <f>D227-K227</f>
        <v>0.0</v>
      </c>
      <c r="M227" s="12" t="s">
        <v>1779</v>
      </c>
      <c r="N227" s="12" t="str">
        <f>C227&amp;"|"&amp;A227</f>
        <v>001|2652121</v>
      </c>
    </row>
    <row r="228" spans="1:14">
      <c r="A228" s="12" t="s">
        <v>924</v>
      </c>
      <c r="B228" s="12" t="s">
        <v>926</v>
      </c>
      <c r="C228" s="12" t="s">
        <v>74</v>
      </c>
      <c r="D228" s="35">
        <v>159574</v>
      </c>
      <c r="E228" s="35">
        <v>0</v>
      </c>
      <c r="F228" s="35">
        <v>0</v>
      </c>
      <c r="G228" s="35">
        <v>159574</v>
      </c>
      <c r="H228" s="35">
        <v>0</v>
      </c>
      <c r="I228" s="35">
        <v>0</v>
      </c>
      <c r="J228" s="12" t="s">
        <v>89</v>
      </c>
      <c r="K228" s="18">
        <f>SUM(E228:J228)</f>
        <v>159574.0</v>
      </c>
      <c r="L228" s="18">
        <f>D228-K228</f>
        <v>0.0</v>
      </c>
      <c r="M228" s="12" t="s">
        <v>1779</v>
      </c>
      <c r="N228" s="12" t="str">
        <f>C228&amp;"|"&amp;A228</f>
        <v>001|2659575</v>
      </c>
    </row>
    <row r="229" spans="1:14">
      <c r="A229" s="12" t="s">
        <v>927</v>
      </c>
      <c r="B229" s="12" t="s">
        <v>929</v>
      </c>
      <c r="C229" s="12" t="s">
        <v>74</v>
      </c>
      <c r="D229" s="35">
        <v>50467</v>
      </c>
      <c r="E229" s="35">
        <v>0</v>
      </c>
      <c r="F229" s="35">
        <v>0</v>
      </c>
      <c r="G229" s="35">
        <v>50467</v>
      </c>
      <c r="H229" s="35">
        <v>0</v>
      </c>
      <c r="I229" s="35">
        <v>0</v>
      </c>
      <c r="J229" s="12" t="s">
        <v>89</v>
      </c>
      <c r="K229" s="18">
        <f>SUM(E229:J229)</f>
        <v>50467.0</v>
      </c>
      <c r="L229" s="18">
        <f>D229-K229</f>
        <v>0.0</v>
      </c>
      <c r="M229" s="12" t="s">
        <v>1779</v>
      </c>
      <c r="N229" s="12" t="str">
        <f>C229&amp;"|"&amp;A229</f>
        <v>001|2673614</v>
      </c>
    </row>
    <row r="230" spans="1:14">
      <c r="A230" s="12" t="s">
        <v>930</v>
      </c>
      <c r="B230" s="12" t="s">
        <v>932</v>
      </c>
      <c r="C230" s="12" t="s">
        <v>74</v>
      </c>
      <c r="D230" s="35">
        <v>0</v>
      </c>
      <c r="E230" s="35">
        <v>0</v>
      </c>
      <c r="F230" s="35">
        <v>0</v>
      </c>
      <c r="G230" s="35">
        <v>0</v>
      </c>
      <c r="H230" s="35">
        <v>0</v>
      </c>
      <c r="I230" s="35">
        <v>0</v>
      </c>
      <c r="J230" s="12" t="s">
        <v>89</v>
      </c>
      <c r="K230" s="18">
        <f>SUM(E230:J230)</f>
        <v>0.0</v>
      </c>
      <c r="L230" s="18">
        <f>D230-K230</f>
        <v>0.0</v>
      </c>
      <c r="M230" s="12" t="s">
        <v>1779</v>
      </c>
      <c r="N230" s="12" t="str">
        <f>C230&amp;"|"&amp;A230</f>
        <v>001|2506927</v>
      </c>
    </row>
    <row r="231" spans="1:14">
      <c r="A231" s="12" t="s">
        <v>936</v>
      </c>
      <c r="B231" s="12" t="s">
        <v>938</v>
      </c>
      <c r="C231" s="12" t="s">
        <v>74</v>
      </c>
      <c r="D231" s="35">
        <v>2394005</v>
      </c>
      <c r="E231" s="35">
        <v>0</v>
      </c>
      <c r="F231" s="35">
        <v>653776</v>
      </c>
      <c r="G231" s="35">
        <v>0</v>
      </c>
      <c r="H231" s="35">
        <v>1740229</v>
      </c>
      <c r="I231" s="35">
        <v>0</v>
      </c>
      <c r="J231" s="12" t="s">
        <v>89</v>
      </c>
      <c r="K231" s="18">
        <f>SUM(E231:J231)</f>
        <v>2394005.0</v>
      </c>
      <c r="L231" s="18">
        <f>D231-K231</f>
        <v>0.0</v>
      </c>
      <c r="M231" s="12" t="s">
        <v>1779</v>
      </c>
      <c r="N231" s="12" t="str">
        <f>C231&amp;"|"&amp;A231</f>
        <v>001|2650473</v>
      </c>
    </row>
    <row r="232" spans="1:14">
      <c r="A232" s="12" t="s">
        <v>939</v>
      </c>
      <c r="B232" s="12" t="s">
        <v>941</v>
      </c>
      <c r="C232" s="12" t="s">
        <v>74</v>
      </c>
      <c r="D232" s="35">
        <v>350198</v>
      </c>
      <c r="E232" s="35">
        <v>0</v>
      </c>
      <c r="F232" s="35">
        <v>0</v>
      </c>
      <c r="G232" s="35">
        <v>350198</v>
      </c>
      <c r="H232" s="35">
        <v>0</v>
      </c>
      <c r="I232" s="35">
        <v>0</v>
      </c>
      <c r="J232" s="12" t="s">
        <v>89</v>
      </c>
      <c r="K232" s="18">
        <f>SUM(E232:J232)</f>
        <v>350198.0</v>
      </c>
      <c r="L232" s="18">
        <f>D232-K232</f>
        <v>0.0</v>
      </c>
      <c r="M232" s="12" t="s">
        <v>1779</v>
      </c>
      <c r="N232" s="12" t="str">
        <f>C232&amp;"|"&amp;A232</f>
        <v>001|2159836</v>
      </c>
    </row>
    <row r="233" spans="1:14">
      <c r="A233" s="12" t="s">
        <v>943</v>
      </c>
      <c r="B233" s="12" t="s">
        <v>945</v>
      </c>
      <c r="C233" s="12" t="s">
        <v>74</v>
      </c>
      <c r="D233" s="35">
        <v>0</v>
      </c>
      <c r="E233" s="35">
        <v>0</v>
      </c>
      <c r="F233" s="35">
        <v>0</v>
      </c>
      <c r="G233" s="35">
        <v>0</v>
      </c>
      <c r="H233" s="35">
        <v>0</v>
      </c>
      <c r="I233" s="35">
        <v>0</v>
      </c>
      <c r="J233" s="12" t="s">
        <v>89</v>
      </c>
      <c r="K233" s="18">
        <f>SUM(E233:J233)</f>
        <v>0.0</v>
      </c>
      <c r="L233" s="18">
        <f>D233-K233</f>
        <v>0.0</v>
      </c>
      <c r="M233" s="12" t="s">
        <v>1779</v>
      </c>
      <c r="N233" s="12" t="str">
        <f>C233&amp;"|"&amp;A233</f>
        <v>001|2185111</v>
      </c>
    </row>
    <row r="234" spans="1:14">
      <c r="A234" s="12" t="s">
        <v>947</v>
      </c>
      <c r="B234" s="12" t="s">
        <v>949</v>
      </c>
      <c r="C234" s="12" t="s">
        <v>74</v>
      </c>
      <c r="D234" s="35">
        <v>0</v>
      </c>
      <c r="E234" s="35">
        <v>0</v>
      </c>
      <c r="F234" s="35">
        <v>0</v>
      </c>
      <c r="G234" s="35">
        <v>0</v>
      </c>
      <c r="H234" s="35">
        <v>0</v>
      </c>
      <c r="I234" s="35">
        <v>0</v>
      </c>
      <c r="J234" s="12" t="s">
        <v>89</v>
      </c>
      <c r="K234" s="18">
        <f>SUM(E234:J234)</f>
        <v>0.0</v>
      </c>
      <c r="L234" s="18">
        <f>D234-K234</f>
        <v>0.0</v>
      </c>
      <c r="M234" s="12" t="s">
        <v>1779</v>
      </c>
      <c r="N234" s="12" t="str">
        <f>C234&amp;"|"&amp;A234</f>
        <v>001|2338085</v>
      </c>
    </row>
    <row r="235" spans="1:14">
      <c r="A235" s="12" t="s">
        <v>952</v>
      </c>
      <c r="B235" s="12" t="s">
        <v>954</v>
      </c>
      <c r="C235" s="12" t="s">
        <v>74</v>
      </c>
      <c r="D235" s="35">
        <v>0</v>
      </c>
      <c r="E235" s="35">
        <v>0</v>
      </c>
      <c r="F235" s="35">
        <v>0</v>
      </c>
      <c r="G235" s="35">
        <v>0</v>
      </c>
      <c r="H235" s="35">
        <v>0</v>
      </c>
      <c r="I235" s="35">
        <v>0</v>
      </c>
      <c r="J235" s="12" t="s">
        <v>89</v>
      </c>
      <c r="K235" s="18">
        <f>SUM(E235:J235)</f>
        <v>0.0</v>
      </c>
      <c r="L235" s="18">
        <f>D235-K235</f>
        <v>0.0</v>
      </c>
      <c r="M235" s="12" t="s">
        <v>1779</v>
      </c>
      <c r="N235" s="12" t="str">
        <f>C235&amp;"|"&amp;A235</f>
        <v>001|2316291</v>
      </c>
    </row>
    <row r="236" spans="1:14">
      <c r="A236" s="12" t="s">
        <v>955</v>
      </c>
      <c r="B236" s="12" t="s">
        <v>957</v>
      </c>
      <c r="C236" s="12" t="s">
        <v>74</v>
      </c>
      <c r="D236" s="35">
        <v>0</v>
      </c>
      <c r="E236" s="35">
        <v>0</v>
      </c>
      <c r="F236" s="35">
        <v>0</v>
      </c>
      <c r="G236" s="35">
        <v>0</v>
      </c>
      <c r="H236" s="35">
        <v>0</v>
      </c>
      <c r="I236" s="35">
        <v>0</v>
      </c>
      <c r="J236" s="12" t="s">
        <v>89</v>
      </c>
      <c r="K236" s="18">
        <f>SUM(E236:J236)</f>
        <v>0.0</v>
      </c>
      <c r="L236" s="18">
        <f>D236-K236</f>
        <v>0.0</v>
      </c>
      <c r="M236" s="12" t="s">
        <v>1779</v>
      </c>
      <c r="N236" s="12" t="str">
        <f>C236&amp;"|"&amp;A236</f>
        <v>001|2470024</v>
      </c>
    </row>
    <row r="237" spans="1:14">
      <c r="A237" s="12" t="s">
        <v>959</v>
      </c>
      <c r="B237" s="12" t="s">
        <v>961</v>
      </c>
      <c r="C237" s="12" t="s">
        <v>74</v>
      </c>
      <c r="D237" s="35">
        <v>100000</v>
      </c>
      <c r="E237" s="35">
        <v>0</v>
      </c>
      <c r="F237" s="35">
        <v>0</v>
      </c>
      <c r="G237" s="35">
        <v>100000</v>
      </c>
      <c r="H237" s="35">
        <v>0</v>
      </c>
      <c r="I237" s="35">
        <v>0</v>
      </c>
      <c r="J237" s="12" t="s">
        <v>89</v>
      </c>
      <c r="K237" s="18">
        <f>SUM(E237:J237)</f>
        <v>100000.0</v>
      </c>
      <c r="L237" s="18">
        <f>D237-K237</f>
        <v>0.0</v>
      </c>
      <c r="M237" s="12" t="s">
        <v>1779</v>
      </c>
      <c r="N237" s="12" t="str">
        <f>C237&amp;"|"&amp;A237</f>
        <v>001|2585398</v>
      </c>
    </row>
    <row r="238" spans="1:14">
      <c r="A238" s="12" t="s">
        <v>962</v>
      </c>
      <c r="B238" s="12" t="s">
        <v>964</v>
      </c>
      <c r="C238" s="12" t="s">
        <v>74</v>
      </c>
      <c r="D238" s="35">
        <v>391951</v>
      </c>
      <c r="E238" s="35">
        <v>0</v>
      </c>
      <c r="F238" s="35">
        <v>0</v>
      </c>
      <c r="G238" s="35">
        <v>391951</v>
      </c>
      <c r="H238" s="35">
        <v>0</v>
      </c>
      <c r="I238" s="35">
        <v>0</v>
      </c>
      <c r="J238" s="12" t="s">
        <v>89</v>
      </c>
      <c r="K238" s="18">
        <f>SUM(E238:J238)</f>
        <v>391951.0</v>
      </c>
      <c r="L238" s="18">
        <f>D238-K238</f>
        <v>0.0</v>
      </c>
      <c r="M238" s="12" t="s">
        <v>1779</v>
      </c>
      <c r="N238" s="12" t="str">
        <f>C238&amp;"|"&amp;A238</f>
        <v>001|2585541</v>
      </c>
    </row>
    <row r="239" spans="1:14">
      <c r="A239" s="12" t="s">
        <v>965</v>
      </c>
      <c r="B239" s="12" t="s">
        <v>967</v>
      </c>
      <c r="C239" s="12" t="s">
        <v>74</v>
      </c>
      <c r="D239" s="35">
        <v>0</v>
      </c>
      <c r="E239" s="35">
        <v>0</v>
      </c>
      <c r="F239" s="35">
        <v>0</v>
      </c>
      <c r="G239" s="35">
        <v>0</v>
      </c>
      <c r="H239" s="35">
        <v>0</v>
      </c>
      <c r="I239" s="35">
        <v>0</v>
      </c>
      <c r="J239" s="12" t="s">
        <v>89</v>
      </c>
      <c r="K239" s="18">
        <f>SUM(E239:J239)</f>
        <v>0.0</v>
      </c>
      <c r="L239" s="18">
        <f>D239-K239</f>
        <v>0.0</v>
      </c>
      <c r="M239" s="12" t="s">
        <v>1779</v>
      </c>
      <c r="N239" s="12" t="str">
        <f>C239&amp;"|"&amp;A239</f>
        <v>001|2591732</v>
      </c>
    </row>
    <row r="240" spans="1:14">
      <c r="A240" s="12" t="s">
        <v>968</v>
      </c>
      <c r="B240" s="12" t="s">
        <v>970</v>
      </c>
      <c r="C240" s="12" t="s">
        <v>74</v>
      </c>
      <c r="D240" s="35">
        <v>171047</v>
      </c>
      <c r="E240" s="35">
        <v>0</v>
      </c>
      <c r="F240" s="35">
        <v>0</v>
      </c>
      <c r="G240" s="35">
        <v>171047</v>
      </c>
      <c r="H240" s="35">
        <v>0</v>
      </c>
      <c r="I240" s="35">
        <v>0</v>
      </c>
      <c r="J240" s="12" t="s">
        <v>89</v>
      </c>
      <c r="K240" s="18">
        <f>SUM(E240:J240)</f>
        <v>171047.0</v>
      </c>
      <c r="L240" s="18">
        <f>D240-K240</f>
        <v>0.0</v>
      </c>
      <c r="M240" s="12" t="s">
        <v>1779</v>
      </c>
      <c r="N240" s="12" t="str">
        <f>C240&amp;"|"&amp;A240</f>
        <v>001|2602159</v>
      </c>
    </row>
    <row r="241" spans="1:14">
      <c r="A241" s="12" t="s">
        <v>971</v>
      </c>
      <c r="B241" s="12" t="s">
        <v>973</v>
      </c>
      <c r="C241" s="12" t="s">
        <v>74</v>
      </c>
      <c r="D241" s="35">
        <v>840279</v>
      </c>
      <c r="E241" s="35">
        <v>0</v>
      </c>
      <c r="F241" s="35">
        <v>0</v>
      </c>
      <c r="G241" s="35">
        <v>840279</v>
      </c>
      <c r="H241" s="35">
        <v>0</v>
      </c>
      <c r="I241" s="35">
        <v>0</v>
      </c>
      <c r="J241" s="12" t="s">
        <v>89</v>
      </c>
      <c r="K241" s="18">
        <f>SUM(E241:J241)</f>
        <v>840279.0</v>
      </c>
      <c r="L241" s="18">
        <f>D241-K241</f>
        <v>0.0</v>
      </c>
      <c r="M241" s="12" t="s">
        <v>1779</v>
      </c>
      <c r="N241" s="12" t="str">
        <f>C241&amp;"|"&amp;A241</f>
        <v>001|2603164</v>
      </c>
    </row>
    <row r="242" spans="1:14">
      <c r="A242" s="12" t="s">
        <v>974</v>
      </c>
      <c r="B242" s="12" t="s">
        <v>976</v>
      </c>
      <c r="C242" s="12" t="s">
        <v>74</v>
      </c>
      <c r="D242" s="35">
        <v>674368</v>
      </c>
      <c r="E242" s="35">
        <v>0</v>
      </c>
      <c r="F242" s="35">
        <v>0</v>
      </c>
      <c r="G242" s="35">
        <v>674368</v>
      </c>
      <c r="H242" s="35">
        <v>0</v>
      </c>
      <c r="I242" s="35">
        <v>0</v>
      </c>
      <c r="J242" s="12" t="s">
        <v>89</v>
      </c>
      <c r="K242" s="18">
        <f>SUM(E242:J242)</f>
        <v>674368.0</v>
      </c>
      <c r="L242" s="18">
        <f>D242-K242</f>
        <v>0.0</v>
      </c>
      <c r="M242" s="12" t="s">
        <v>1779</v>
      </c>
      <c r="N242" s="12" t="str">
        <f>C242&amp;"|"&amp;A242</f>
        <v>001|2603281</v>
      </c>
    </row>
    <row r="243" spans="1:14">
      <c r="A243" s="12" t="s">
        <v>977</v>
      </c>
      <c r="B243" s="12" t="s">
        <v>979</v>
      </c>
      <c r="C243" s="12" t="s">
        <v>74</v>
      </c>
      <c r="D243" s="35">
        <v>520686</v>
      </c>
      <c r="E243" s="35">
        <v>0</v>
      </c>
      <c r="F243" s="35">
        <v>0</v>
      </c>
      <c r="G243" s="35">
        <v>520686</v>
      </c>
      <c r="H243" s="35">
        <v>0</v>
      </c>
      <c r="I243" s="35">
        <v>0</v>
      </c>
      <c r="J243" s="12" t="s">
        <v>89</v>
      </c>
      <c r="K243" s="18">
        <f>SUM(E243:J243)</f>
        <v>520686.0</v>
      </c>
      <c r="L243" s="18">
        <f>D243-K243</f>
        <v>0.0</v>
      </c>
      <c r="M243" s="12" t="s">
        <v>1779</v>
      </c>
      <c r="N243" s="12" t="str">
        <f>C243&amp;"|"&amp;A243</f>
        <v>001|2607527</v>
      </c>
    </row>
    <row r="244" spans="1:14">
      <c r="A244" s="12" t="s">
        <v>980</v>
      </c>
      <c r="B244" s="12" t="s">
        <v>982</v>
      </c>
      <c r="C244" s="12" t="s">
        <v>74</v>
      </c>
      <c r="D244" s="35">
        <v>321536</v>
      </c>
      <c r="E244" s="35">
        <v>0</v>
      </c>
      <c r="F244" s="35">
        <v>0</v>
      </c>
      <c r="G244" s="35">
        <v>321536</v>
      </c>
      <c r="H244" s="35">
        <v>0</v>
      </c>
      <c r="I244" s="35">
        <v>0</v>
      </c>
      <c r="J244" s="12" t="s">
        <v>89</v>
      </c>
      <c r="K244" s="18">
        <f>SUM(E244:J244)</f>
        <v>321536.0</v>
      </c>
      <c r="L244" s="18">
        <f>D244-K244</f>
        <v>0.0</v>
      </c>
      <c r="M244" s="12" t="s">
        <v>1779</v>
      </c>
      <c r="N244" s="12" t="str">
        <f>C244&amp;"|"&amp;A244</f>
        <v>001|2614553</v>
      </c>
    </row>
    <row r="245" spans="1:14">
      <c r="A245" s="12" t="s">
        <v>983</v>
      </c>
      <c r="B245" s="12" t="s">
        <v>985</v>
      </c>
      <c r="C245" s="12" t="s">
        <v>74</v>
      </c>
      <c r="D245" s="35">
        <v>230847</v>
      </c>
      <c r="E245" s="35">
        <v>0</v>
      </c>
      <c r="F245" s="35">
        <v>0</v>
      </c>
      <c r="G245" s="35">
        <v>230847</v>
      </c>
      <c r="H245" s="35">
        <v>0</v>
      </c>
      <c r="I245" s="35">
        <v>0</v>
      </c>
      <c r="J245" s="12" t="s">
        <v>89</v>
      </c>
      <c r="K245" s="18">
        <f>SUM(E245:J245)</f>
        <v>230847.0</v>
      </c>
      <c r="L245" s="18">
        <f>D245-K245</f>
        <v>0.0</v>
      </c>
      <c r="M245" s="12" t="s">
        <v>1779</v>
      </c>
      <c r="N245" s="12" t="str">
        <f>C245&amp;"|"&amp;A245</f>
        <v>001|2645503</v>
      </c>
    </row>
    <row r="246" spans="1:14">
      <c r="A246" s="12" t="s">
        <v>986</v>
      </c>
      <c r="B246" s="12" t="s">
        <v>988</v>
      </c>
      <c r="C246" s="12" t="s">
        <v>74</v>
      </c>
      <c r="D246" s="35">
        <v>349206</v>
      </c>
      <c r="E246" s="35">
        <v>0</v>
      </c>
      <c r="F246" s="35">
        <v>0</v>
      </c>
      <c r="G246" s="35">
        <v>349206</v>
      </c>
      <c r="H246" s="35">
        <v>0</v>
      </c>
      <c r="I246" s="35">
        <v>0</v>
      </c>
      <c r="J246" s="12" t="s">
        <v>89</v>
      </c>
      <c r="K246" s="18">
        <f>SUM(E246:J246)</f>
        <v>349206.0</v>
      </c>
      <c r="L246" s="18">
        <f>D246-K246</f>
        <v>0.0</v>
      </c>
      <c r="M246" s="12" t="s">
        <v>1779</v>
      </c>
      <c r="N246" s="12" t="str">
        <f>C246&amp;"|"&amp;A246</f>
        <v>001|2646859</v>
      </c>
    </row>
    <row r="247" spans="1:14">
      <c r="A247" s="12" t="s">
        <v>989</v>
      </c>
      <c r="B247" s="12" t="s">
        <v>991</v>
      </c>
      <c r="C247" s="12" t="s">
        <v>74</v>
      </c>
      <c r="D247" s="35">
        <v>239379</v>
      </c>
      <c r="E247" s="35">
        <v>0</v>
      </c>
      <c r="F247" s="35">
        <v>0</v>
      </c>
      <c r="G247" s="35">
        <v>239379</v>
      </c>
      <c r="H247" s="35">
        <v>0</v>
      </c>
      <c r="I247" s="35">
        <v>0</v>
      </c>
      <c r="J247" s="12" t="s">
        <v>89</v>
      </c>
      <c r="K247" s="18">
        <f>SUM(E247:J247)</f>
        <v>239379.0</v>
      </c>
      <c r="L247" s="18">
        <f>D247-K247</f>
        <v>0.0</v>
      </c>
      <c r="M247" s="12" t="s">
        <v>1779</v>
      </c>
      <c r="N247" s="12" t="str">
        <f>C247&amp;"|"&amp;A247</f>
        <v>001|2649221</v>
      </c>
    </row>
    <row r="248" spans="1:14">
      <c r="A248" s="12" t="s">
        <v>992</v>
      </c>
      <c r="B248" s="12" t="s">
        <v>994</v>
      </c>
      <c r="C248" s="12" t="s">
        <v>74</v>
      </c>
      <c r="D248" s="35">
        <v>118786</v>
      </c>
      <c r="E248" s="35">
        <v>0</v>
      </c>
      <c r="F248" s="35">
        <v>0</v>
      </c>
      <c r="G248" s="35">
        <v>118786</v>
      </c>
      <c r="H248" s="35">
        <v>0</v>
      </c>
      <c r="I248" s="35">
        <v>0</v>
      </c>
      <c r="J248" s="12" t="s">
        <v>89</v>
      </c>
      <c r="K248" s="18">
        <f>SUM(E248:J248)</f>
        <v>118786.0</v>
      </c>
      <c r="L248" s="18">
        <f>D248-K248</f>
        <v>0.0</v>
      </c>
      <c r="M248" s="12" t="s">
        <v>1779</v>
      </c>
      <c r="N248" s="12" t="str">
        <f>C248&amp;"|"&amp;A248</f>
        <v>001|2651270</v>
      </c>
    </row>
    <row r="249" spans="1:14">
      <c r="A249" s="12" t="s">
        <v>995</v>
      </c>
      <c r="B249" s="12" t="s">
        <v>997</v>
      </c>
      <c r="C249" s="12" t="s">
        <v>74</v>
      </c>
      <c r="D249" s="35">
        <v>141416</v>
      </c>
      <c r="E249" s="35">
        <v>0</v>
      </c>
      <c r="F249" s="35">
        <v>0</v>
      </c>
      <c r="G249" s="35">
        <v>141416</v>
      </c>
      <c r="H249" s="35">
        <v>0</v>
      </c>
      <c r="I249" s="35">
        <v>0</v>
      </c>
      <c r="J249" s="12" t="s">
        <v>89</v>
      </c>
      <c r="K249" s="18">
        <f>SUM(E249:J249)</f>
        <v>141416.0</v>
      </c>
      <c r="L249" s="18">
        <f>D249-K249</f>
        <v>0.0</v>
      </c>
      <c r="M249" s="12" t="s">
        <v>1779</v>
      </c>
      <c r="N249" s="12" t="str">
        <f>C249&amp;"|"&amp;A249</f>
        <v>001|2651271</v>
      </c>
    </row>
    <row r="250" spans="1:14">
      <c r="A250" s="12" t="s">
        <v>998</v>
      </c>
      <c r="B250" s="12" t="s">
        <v>1000</v>
      </c>
      <c r="C250" s="12" t="s">
        <v>74</v>
      </c>
      <c r="D250" s="35">
        <v>230550</v>
      </c>
      <c r="E250" s="35">
        <v>0</v>
      </c>
      <c r="F250" s="35">
        <v>0</v>
      </c>
      <c r="G250" s="35">
        <v>230550</v>
      </c>
      <c r="H250" s="35">
        <v>0</v>
      </c>
      <c r="I250" s="35">
        <v>0</v>
      </c>
      <c r="J250" s="12" t="s">
        <v>89</v>
      </c>
      <c r="K250" s="18">
        <f>SUM(E250:J250)</f>
        <v>230550.0</v>
      </c>
      <c r="L250" s="18">
        <f>D250-K250</f>
        <v>0.0</v>
      </c>
      <c r="M250" s="12" t="s">
        <v>1779</v>
      </c>
      <c r="N250" s="12" t="str">
        <f>C250&amp;"|"&amp;A250</f>
        <v>001|2652984</v>
      </c>
    </row>
    <row r="251" spans="1:14">
      <c r="A251" s="12" t="s">
        <v>1001</v>
      </c>
      <c r="B251" s="12" t="s">
        <v>1003</v>
      </c>
      <c r="C251" s="12" t="s">
        <v>74</v>
      </c>
      <c r="D251" s="35">
        <v>490000</v>
      </c>
      <c r="E251" s="35">
        <v>0</v>
      </c>
      <c r="F251" s="35">
        <v>0</v>
      </c>
      <c r="G251" s="35">
        <v>490000</v>
      </c>
      <c r="H251" s="35">
        <v>0</v>
      </c>
      <c r="I251" s="35">
        <v>0</v>
      </c>
      <c r="J251" s="12" t="s">
        <v>89</v>
      </c>
      <c r="K251" s="18">
        <f>SUM(E251:J251)</f>
        <v>490000.0</v>
      </c>
      <c r="L251" s="18">
        <f>D251-K251</f>
        <v>0.0</v>
      </c>
      <c r="M251" s="12" t="s">
        <v>1779</v>
      </c>
      <c r="N251" s="12" t="str">
        <f>C251&amp;"|"&amp;A251</f>
        <v>001|2653737</v>
      </c>
    </row>
    <row r="252" spans="1:14">
      <c r="A252" s="12" t="s">
        <v>1004</v>
      </c>
      <c r="B252" s="12" t="s">
        <v>1006</v>
      </c>
      <c r="C252" s="12" t="s">
        <v>74</v>
      </c>
      <c r="D252" s="35">
        <v>0</v>
      </c>
      <c r="E252" s="35">
        <v>0</v>
      </c>
      <c r="F252" s="35">
        <v>0</v>
      </c>
      <c r="G252" s="35">
        <v>0</v>
      </c>
      <c r="H252" s="35">
        <v>0</v>
      </c>
      <c r="I252" s="35">
        <v>0</v>
      </c>
      <c r="J252" s="12" t="s">
        <v>89</v>
      </c>
      <c r="K252" s="18">
        <f>SUM(E252:J252)</f>
        <v>0.0</v>
      </c>
      <c r="L252" s="18">
        <f>D252-K252</f>
        <v>0.0</v>
      </c>
      <c r="M252" s="12" t="s">
        <v>1779</v>
      </c>
      <c r="N252" s="12" t="str">
        <f>C252&amp;"|"&amp;A252</f>
        <v>001|2653926</v>
      </c>
    </row>
    <row r="253" spans="1:14">
      <c r="A253" s="12" t="s">
        <v>1007</v>
      </c>
      <c r="B253" s="12" t="s">
        <v>1009</v>
      </c>
      <c r="C253" s="12" t="s">
        <v>74</v>
      </c>
      <c r="D253" s="35">
        <v>601668</v>
      </c>
      <c r="E253" s="35">
        <v>0</v>
      </c>
      <c r="F253" s="35">
        <v>0</v>
      </c>
      <c r="G253" s="35">
        <v>601668</v>
      </c>
      <c r="H253" s="35">
        <v>0</v>
      </c>
      <c r="I253" s="35">
        <v>0</v>
      </c>
      <c r="J253" s="12" t="s">
        <v>89</v>
      </c>
      <c r="K253" s="18">
        <f>SUM(E253:J253)</f>
        <v>601668.0</v>
      </c>
      <c r="L253" s="18">
        <f>D253-K253</f>
        <v>0.0</v>
      </c>
      <c r="M253" s="12" t="s">
        <v>1779</v>
      </c>
      <c r="N253" s="12" t="str">
        <f>C253&amp;"|"&amp;A253</f>
        <v>001|2654509</v>
      </c>
    </row>
    <row r="254" spans="1:14">
      <c r="A254" s="12" t="s">
        <v>1011</v>
      </c>
      <c r="B254" s="12" t="s">
        <v>1013</v>
      </c>
      <c r="C254" s="12" t="s">
        <v>74</v>
      </c>
      <c r="D254" s="35">
        <v>870779</v>
      </c>
      <c r="E254" s="35">
        <v>0</v>
      </c>
      <c r="F254" s="35">
        <v>0</v>
      </c>
      <c r="G254" s="35">
        <v>870779</v>
      </c>
      <c r="H254" s="35">
        <v>0</v>
      </c>
      <c r="I254" s="35">
        <v>0</v>
      </c>
      <c r="J254" s="12" t="s">
        <v>89</v>
      </c>
      <c r="K254" s="18">
        <f>SUM(E254:J254)</f>
        <v>870779.0</v>
      </c>
      <c r="L254" s="18">
        <f>D254-K254</f>
        <v>0.0</v>
      </c>
      <c r="M254" s="12" t="s">
        <v>1779</v>
      </c>
      <c r="N254" s="12" t="str">
        <f>C254&amp;"|"&amp;A254</f>
        <v>001|2654549</v>
      </c>
    </row>
    <row r="255" spans="1:14">
      <c r="A255" s="12" t="s">
        <v>1014</v>
      </c>
      <c r="B255" s="12" t="s">
        <v>1016</v>
      </c>
      <c r="C255" s="12" t="s">
        <v>74</v>
      </c>
      <c r="D255" s="35">
        <v>101523</v>
      </c>
      <c r="E255" s="35">
        <v>0</v>
      </c>
      <c r="F255" s="35">
        <v>0</v>
      </c>
      <c r="G255" s="35">
        <v>101523</v>
      </c>
      <c r="H255" s="35">
        <v>0</v>
      </c>
      <c r="I255" s="35">
        <v>0</v>
      </c>
      <c r="J255" s="12" t="s">
        <v>89</v>
      </c>
      <c r="K255" s="18">
        <f>SUM(E255:J255)</f>
        <v>101523.0</v>
      </c>
      <c r="L255" s="18">
        <f>D255-K255</f>
        <v>0.0</v>
      </c>
      <c r="M255" s="12" t="s">
        <v>1779</v>
      </c>
      <c r="N255" s="12" t="str">
        <f>C255&amp;"|"&amp;A255</f>
        <v>001|2655389</v>
      </c>
    </row>
    <row r="256" spans="1:14">
      <c r="A256" s="12" t="s">
        <v>1017</v>
      </c>
      <c r="B256" s="12" t="s">
        <v>1019</v>
      </c>
      <c r="C256" s="12" t="s">
        <v>74</v>
      </c>
      <c r="D256" s="35">
        <v>0</v>
      </c>
      <c r="E256" s="35">
        <v>0</v>
      </c>
      <c r="F256" s="35">
        <v>0</v>
      </c>
      <c r="G256" s="35">
        <v>0</v>
      </c>
      <c r="H256" s="35">
        <v>0</v>
      </c>
      <c r="I256" s="35">
        <v>0</v>
      </c>
      <c r="J256" s="12" t="s">
        <v>89</v>
      </c>
      <c r="K256" s="18">
        <f>SUM(E256:J256)</f>
        <v>0.0</v>
      </c>
      <c r="L256" s="18">
        <f>D256-K256</f>
        <v>0.0</v>
      </c>
      <c r="M256" s="12" t="s">
        <v>1779</v>
      </c>
      <c r="N256" s="12" t="str">
        <f>C256&amp;"|"&amp;A256</f>
        <v>001|2656599</v>
      </c>
    </row>
    <row r="257" spans="1:14">
      <c r="A257" s="12" t="s">
        <v>1020</v>
      </c>
      <c r="B257" s="12" t="s">
        <v>1022</v>
      </c>
      <c r="C257" s="12" t="s">
        <v>74</v>
      </c>
      <c r="D257" s="35">
        <v>300000</v>
      </c>
      <c r="E257" s="35">
        <v>0</v>
      </c>
      <c r="F257" s="35">
        <v>0</v>
      </c>
      <c r="G257" s="35">
        <v>300000</v>
      </c>
      <c r="H257" s="35">
        <v>0</v>
      </c>
      <c r="I257" s="35">
        <v>0</v>
      </c>
      <c r="J257" s="12" t="s">
        <v>89</v>
      </c>
      <c r="K257" s="18">
        <f>SUM(E257:J257)</f>
        <v>300000.0</v>
      </c>
      <c r="L257" s="18">
        <f>D257-K257</f>
        <v>0.0</v>
      </c>
      <c r="M257" s="12" t="s">
        <v>1779</v>
      </c>
      <c r="N257" s="12" t="str">
        <f>C257&amp;"|"&amp;A257</f>
        <v>001|2656878</v>
      </c>
    </row>
    <row r="258" spans="1:14">
      <c r="A258" s="12" t="s">
        <v>1023</v>
      </c>
      <c r="B258" s="12" t="s">
        <v>1025</v>
      </c>
      <c r="C258" s="12" t="s">
        <v>74</v>
      </c>
      <c r="D258" s="35">
        <v>330710</v>
      </c>
      <c r="E258" s="35">
        <v>0</v>
      </c>
      <c r="F258" s="35">
        <v>0</v>
      </c>
      <c r="G258" s="35">
        <v>330710</v>
      </c>
      <c r="H258" s="35">
        <v>0</v>
      </c>
      <c r="I258" s="35">
        <v>0</v>
      </c>
      <c r="J258" s="12" t="s">
        <v>89</v>
      </c>
      <c r="K258" s="18">
        <f>SUM(E258:J258)</f>
        <v>330710.0</v>
      </c>
      <c r="L258" s="18">
        <f>D258-K258</f>
        <v>0.0</v>
      </c>
      <c r="M258" s="12" t="s">
        <v>1779</v>
      </c>
      <c r="N258" s="12" t="str">
        <f>C258&amp;"|"&amp;A258</f>
        <v>001|2657159</v>
      </c>
    </row>
    <row r="259" spans="1:14">
      <c r="A259" s="12" t="s">
        <v>1026</v>
      </c>
      <c r="B259" s="12" t="s">
        <v>1028</v>
      </c>
      <c r="C259" s="12" t="s">
        <v>74</v>
      </c>
      <c r="D259" s="35">
        <v>50000</v>
      </c>
      <c r="E259" s="35">
        <v>0</v>
      </c>
      <c r="F259" s="35">
        <v>0</v>
      </c>
      <c r="G259" s="35">
        <v>50000</v>
      </c>
      <c r="H259" s="35">
        <v>0</v>
      </c>
      <c r="I259" s="35">
        <v>0</v>
      </c>
      <c r="J259" s="12" t="s">
        <v>89</v>
      </c>
      <c r="K259" s="18">
        <f>SUM(E259:J259)</f>
        <v>50000.0</v>
      </c>
      <c r="L259" s="18">
        <f>D259-K259</f>
        <v>0.0</v>
      </c>
      <c r="M259" s="12" t="s">
        <v>1779</v>
      </c>
      <c r="N259" s="12" t="str">
        <f>C259&amp;"|"&amp;A259</f>
        <v>001|2657484</v>
      </c>
    </row>
    <row r="260" spans="1:14">
      <c r="A260" s="12" t="s">
        <v>1029</v>
      </c>
      <c r="B260" s="12" t="s">
        <v>1031</v>
      </c>
      <c r="C260" s="12" t="s">
        <v>74</v>
      </c>
      <c r="D260" s="35">
        <v>278409</v>
      </c>
      <c r="E260" s="35">
        <v>0</v>
      </c>
      <c r="F260" s="35">
        <v>0</v>
      </c>
      <c r="G260" s="35">
        <v>278409</v>
      </c>
      <c r="H260" s="35">
        <v>0</v>
      </c>
      <c r="I260" s="35">
        <v>0</v>
      </c>
      <c r="J260" s="12" t="s">
        <v>89</v>
      </c>
      <c r="K260" s="18">
        <f>SUM(E260:J260)</f>
        <v>278409.0</v>
      </c>
      <c r="L260" s="18">
        <f>D260-K260</f>
        <v>0.0</v>
      </c>
      <c r="M260" s="12" t="s">
        <v>1779</v>
      </c>
      <c r="N260" s="12" t="str">
        <f>C260&amp;"|"&amp;A260</f>
        <v>001|2657867</v>
      </c>
    </row>
    <row r="261" spans="1:14">
      <c r="A261" s="12" t="s">
        <v>1032</v>
      </c>
      <c r="B261" s="12" t="s">
        <v>1034</v>
      </c>
      <c r="C261" s="12" t="s">
        <v>74</v>
      </c>
      <c r="D261" s="35">
        <v>390297</v>
      </c>
      <c r="E261" s="35">
        <v>0</v>
      </c>
      <c r="F261" s="35">
        <v>0</v>
      </c>
      <c r="G261" s="35">
        <v>390297</v>
      </c>
      <c r="H261" s="35">
        <v>0</v>
      </c>
      <c r="I261" s="35">
        <v>0</v>
      </c>
      <c r="J261" s="12" t="s">
        <v>89</v>
      </c>
      <c r="K261" s="18">
        <f>SUM(E261:J261)</f>
        <v>390297.0</v>
      </c>
      <c r="L261" s="18">
        <f>D261-K261</f>
        <v>0.0</v>
      </c>
      <c r="M261" s="12" t="s">
        <v>1779</v>
      </c>
      <c r="N261" s="12" t="str">
        <f>C261&amp;"|"&amp;A261</f>
        <v>001|2657953</v>
      </c>
    </row>
    <row r="262" spans="1:14">
      <c r="A262" s="12" t="s">
        <v>1035</v>
      </c>
      <c r="B262" s="12" t="s">
        <v>1037</v>
      </c>
      <c r="C262" s="12" t="s">
        <v>74</v>
      </c>
      <c r="D262" s="35">
        <v>159651</v>
      </c>
      <c r="E262" s="35">
        <v>0</v>
      </c>
      <c r="F262" s="35">
        <v>0</v>
      </c>
      <c r="G262" s="35">
        <v>159651</v>
      </c>
      <c r="H262" s="35">
        <v>0</v>
      </c>
      <c r="I262" s="35">
        <v>0</v>
      </c>
      <c r="J262" s="12" t="s">
        <v>89</v>
      </c>
      <c r="K262" s="18">
        <f>SUM(E262:J262)</f>
        <v>159651.0</v>
      </c>
      <c r="L262" s="18">
        <f>D262-K262</f>
        <v>0.0</v>
      </c>
      <c r="M262" s="12" t="s">
        <v>1779</v>
      </c>
      <c r="N262" s="12" t="str">
        <f>C262&amp;"|"&amp;A262</f>
        <v>001|2661648</v>
      </c>
    </row>
    <row r="263" spans="1:14">
      <c r="A263" s="12" t="s">
        <v>1038</v>
      </c>
      <c r="B263" s="12" t="s">
        <v>1040</v>
      </c>
      <c r="C263" s="12" t="s">
        <v>74</v>
      </c>
      <c r="D263" s="35">
        <v>703231</v>
      </c>
      <c r="E263" s="35">
        <v>0</v>
      </c>
      <c r="F263" s="35">
        <v>0</v>
      </c>
      <c r="G263" s="35">
        <v>703231</v>
      </c>
      <c r="H263" s="35">
        <v>0</v>
      </c>
      <c r="I263" s="35">
        <v>0</v>
      </c>
      <c r="J263" s="12" t="s">
        <v>89</v>
      </c>
      <c r="K263" s="18">
        <f>SUM(E263:J263)</f>
        <v>703231.0</v>
      </c>
      <c r="L263" s="18">
        <f>D263-K263</f>
        <v>0.0</v>
      </c>
      <c r="M263" s="12" t="s">
        <v>1779</v>
      </c>
      <c r="N263" s="12" t="str">
        <f>C263&amp;"|"&amp;A263</f>
        <v>001|2661660</v>
      </c>
    </row>
    <row r="264" spans="1:14">
      <c r="A264" s="12" t="s">
        <v>1041</v>
      </c>
      <c r="B264" s="12" t="s">
        <v>1043</v>
      </c>
      <c r="C264" s="12" t="s">
        <v>74</v>
      </c>
      <c r="D264" s="35">
        <v>0</v>
      </c>
      <c r="E264" s="35">
        <v>0</v>
      </c>
      <c r="F264" s="35">
        <v>0</v>
      </c>
      <c r="G264" s="35">
        <v>0</v>
      </c>
      <c r="H264" s="35">
        <v>0</v>
      </c>
      <c r="I264" s="35">
        <v>0</v>
      </c>
      <c r="J264" s="12" t="s">
        <v>89</v>
      </c>
      <c r="K264" s="18">
        <f>SUM(E264:J264)</f>
        <v>0.0</v>
      </c>
      <c r="L264" s="18">
        <f>D264-K264</f>
        <v>0.0</v>
      </c>
      <c r="M264" s="12" t="s">
        <v>1779</v>
      </c>
      <c r="N264" s="12" t="str">
        <f>C264&amp;"|"&amp;A264</f>
        <v>001|2666182</v>
      </c>
    </row>
    <row r="265" spans="1:14">
      <c r="A265" s="12" t="s">
        <v>1044</v>
      </c>
      <c r="B265" s="12" t="s">
        <v>1046</v>
      </c>
      <c r="C265" s="12" t="s">
        <v>74</v>
      </c>
      <c r="D265" s="35">
        <v>275790</v>
      </c>
      <c r="E265" s="35">
        <v>0</v>
      </c>
      <c r="F265" s="35">
        <v>0</v>
      </c>
      <c r="G265" s="35">
        <v>275790</v>
      </c>
      <c r="H265" s="35">
        <v>0</v>
      </c>
      <c r="I265" s="35">
        <v>0</v>
      </c>
      <c r="J265" s="12" t="s">
        <v>89</v>
      </c>
      <c r="K265" s="18">
        <f>SUM(E265:J265)</f>
        <v>275790.0</v>
      </c>
      <c r="L265" s="18">
        <f>D265-K265</f>
        <v>0.0</v>
      </c>
      <c r="M265" s="12" t="s">
        <v>1779</v>
      </c>
      <c r="N265" s="12" t="str">
        <f>C265&amp;"|"&amp;A265</f>
        <v>001|2670620</v>
      </c>
    </row>
    <row r="266" spans="1:14">
      <c r="A266" s="12" t="s">
        <v>1047</v>
      </c>
      <c r="B266" s="12" t="s">
        <v>1049</v>
      </c>
      <c r="C266" s="12" t="s">
        <v>74</v>
      </c>
      <c r="D266" s="35">
        <v>255799</v>
      </c>
      <c r="E266" s="35">
        <v>0</v>
      </c>
      <c r="F266" s="35">
        <v>0</v>
      </c>
      <c r="G266" s="35">
        <v>255799</v>
      </c>
      <c r="H266" s="35">
        <v>0</v>
      </c>
      <c r="I266" s="35">
        <v>0</v>
      </c>
      <c r="J266" s="12" t="s">
        <v>89</v>
      </c>
      <c r="K266" s="18">
        <f>SUM(E266:J266)</f>
        <v>255799.0</v>
      </c>
      <c r="L266" s="18">
        <f>D266-K266</f>
        <v>0.0</v>
      </c>
      <c r="M266" s="12" t="s">
        <v>1779</v>
      </c>
      <c r="N266" s="12" t="str">
        <f>C266&amp;"|"&amp;A266</f>
        <v>001|2673441</v>
      </c>
    </row>
    <row r="267" spans="1:14">
      <c r="A267" s="12" t="s">
        <v>1050</v>
      </c>
      <c r="B267" s="12" t="s">
        <v>1052</v>
      </c>
      <c r="C267" s="12" t="s">
        <v>74</v>
      </c>
      <c r="D267" s="35">
        <v>222962</v>
      </c>
      <c r="E267" s="35">
        <v>0</v>
      </c>
      <c r="F267" s="35">
        <v>0</v>
      </c>
      <c r="G267" s="35">
        <v>222962</v>
      </c>
      <c r="H267" s="35">
        <v>0</v>
      </c>
      <c r="I267" s="35">
        <v>0</v>
      </c>
      <c r="J267" s="12" t="s">
        <v>89</v>
      </c>
      <c r="K267" s="18">
        <f>SUM(E267:J267)</f>
        <v>222962.0</v>
      </c>
      <c r="L267" s="18">
        <f>D267-K267</f>
        <v>0.0</v>
      </c>
      <c r="M267" s="12" t="s">
        <v>1779</v>
      </c>
      <c r="N267" s="12" t="str">
        <f>C267&amp;"|"&amp;A267</f>
        <v>001|2681264</v>
      </c>
    </row>
    <row r="268" spans="1:14">
      <c r="A268" s="12" t="s">
        <v>1054</v>
      </c>
      <c r="B268" s="12" t="s">
        <v>1056</v>
      </c>
      <c r="C268" s="12" t="s">
        <v>74</v>
      </c>
      <c r="D268" s="35">
        <v>48882</v>
      </c>
      <c r="E268" s="35">
        <v>0</v>
      </c>
      <c r="F268" s="35">
        <v>0</v>
      </c>
      <c r="G268" s="35">
        <v>48882</v>
      </c>
      <c r="H268" s="35">
        <v>0</v>
      </c>
      <c r="I268" s="35">
        <v>0</v>
      </c>
      <c r="J268" s="12" t="s">
        <v>89</v>
      </c>
      <c r="K268" s="18">
        <f>SUM(E268:J268)</f>
        <v>48882.0</v>
      </c>
      <c r="L268" s="18">
        <f>D268-K268</f>
        <v>0.0</v>
      </c>
      <c r="M268" s="12" t="s">
        <v>1779</v>
      </c>
      <c r="N268" s="12" t="str">
        <f>C268&amp;"|"&amp;A268</f>
        <v>001|2645444</v>
      </c>
    </row>
    <row r="269" spans="1:14">
      <c r="A269" s="12" t="s">
        <v>1057</v>
      </c>
      <c r="B269" s="12" t="s">
        <v>1059</v>
      </c>
      <c r="C269" s="12" t="s">
        <v>74</v>
      </c>
      <c r="D269" s="35">
        <v>25425</v>
      </c>
      <c r="E269" s="35">
        <v>0</v>
      </c>
      <c r="F269" s="35">
        <v>0</v>
      </c>
      <c r="G269" s="35">
        <v>25425</v>
      </c>
      <c r="H269" s="35">
        <v>0</v>
      </c>
      <c r="I269" s="35">
        <v>0</v>
      </c>
      <c r="J269" s="12" t="s">
        <v>89</v>
      </c>
      <c r="K269" s="18">
        <f>SUM(E269:J269)</f>
        <v>25425.0</v>
      </c>
      <c r="L269" s="18">
        <f>D269-K269</f>
        <v>0.0</v>
      </c>
      <c r="M269" s="12" t="s">
        <v>1779</v>
      </c>
      <c r="N269" s="12" t="str">
        <f>C269&amp;"|"&amp;A269</f>
        <v>001|2646095</v>
      </c>
    </row>
    <row r="270" spans="1:14">
      <c r="A270" s="12" t="s">
        <v>1060</v>
      </c>
      <c r="B270" s="12" t="s">
        <v>1062</v>
      </c>
      <c r="C270" s="12" t="s">
        <v>74</v>
      </c>
      <c r="D270" s="35">
        <v>50000</v>
      </c>
      <c r="E270" s="35">
        <v>0</v>
      </c>
      <c r="F270" s="35">
        <v>0</v>
      </c>
      <c r="G270" s="35">
        <v>50000</v>
      </c>
      <c r="H270" s="35">
        <v>0</v>
      </c>
      <c r="I270" s="35">
        <v>0</v>
      </c>
      <c r="J270" s="12" t="s">
        <v>89</v>
      </c>
      <c r="K270" s="18">
        <f>SUM(E270:J270)</f>
        <v>50000.0</v>
      </c>
      <c r="L270" s="18">
        <f>D270-K270</f>
        <v>0.0</v>
      </c>
      <c r="M270" s="12" t="s">
        <v>1779</v>
      </c>
      <c r="N270" s="12" t="str">
        <f>C270&amp;"|"&amp;A270</f>
        <v>001|2669946</v>
      </c>
    </row>
    <row r="271" spans="1:14">
      <c r="A271" s="12" t="s">
        <v>1063</v>
      </c>
      <c r="B271" s="12" t="s">
        <v>1065</v>
      </c>
      <c r="C271" s="12" t="s">
        <v>74</v>
      </c>
      <c r="D271" s="35">
        <v>369217</v>
      </c>
      <c r="E271" s="35">
        <v>19217</v>
      </c>
      <c r="F271" s="35">
        <v>0</v>
      </c>
      <c r="G271" s="35">
        <v>350000</v>
      </c>
      <c r="H271" s="35">
        <v>0</v>
      </c>
      <c r="I271" s="35">
        <v>0</v>
      </c>
      <c r="J271" s="12" t="s">
        <v>89</v>
      </c>
      <c r="K271" s="18">
        <f>SUM(E271:J271)</f>
        <v>369217.0</v>
      </c>
      <c r="L271" s="18">
        <f>D271-K271</f>
        <v>0.0</v>
      </c>
      <c r="M271" s="12" t="s">
        <v>1779</v>
      </c>
      <c r="N271" s="12" t="str">
        <f>C271&amp;"|"&amp;A271</f>
        <v>001|2527207</v>
      </c>
    </row>
    <row r="272" spans="1:14">
      <c r="A272" s="12" t="s">
        <v>1067</v>
      </c>
      <c r="B272" s="12" t="s">
        <v>1069</v>
      </c>
      <c r="C272" s="12" t="s">
        <v>74</v>
      </c>
      <c r="D272" s="35">
        <v>0</v>
      </c>
      <c r="E272" s="35">
        <v>0</v>
      </c>
      <c r="F272" s="35">
        <v>0</v>
      </c>
      <c r="G272" s="35">
        <v>0</v>
      </c>
      <c r="H272" s="35">
        <v>0</v>
      </c>
      <c r="I272" s="35">
        <v>0</v>
      </c>
      <c r="J272" s="12" t="s">
        <v>89</v>
      </c>
      <c r="K272" s="18">
        <f>SUM(E272:J272)</f>
        <v>0.0</v>
      </c>
      <c r="L272" s="18">
        <f>D272-K272</f>
        <v>0.0</v>
      </c>
      <c r="M272" s="12" t="s">
        <v>1779</v>
      </c>
      <c r="N272" s="12" t="str">
        <f>C272&amp;"|"&amp;A272</f>
        <v>001|2393101</v>
      </c>
    </row>
    <row r="273" spans="1:14">
      <c r="A273" s="12" t="s">
        <v>1070</v>
      </c>
      <c r="B273" s="12" t="s">
        <v>1072</v>
      </c>
      <c r="C273" s="12" t="s">
        <v>74</v>
      </c>
      <c r="D273" s="35">
        <v>0</v>
      </c>
      <c r="E273" s="35">
        <v>0</v>
      </c>
      <c r="F273" s="35">
        <v>0</v>
      </c>
      <c r="G273" s="35">
        <v>0</v>
      </c>
      <c r="H273" s="35">
        <v>0</v>
      </c>
      <c r="I273" s="35">
        <v>0</v>
      </c>
      <c r="J273" s="12" t="s">
        <v>89</v>
      </c>
      <c r="K273" s="18">
        <f>SUM(E273:J273)</f>
        <v>0.0</v>
      </c>
      <c r="L273" s="18">
        <f>D273-K273</f>
        <v>0.0</v>
      </c>
      <c r="M273" s="12" t="s">
        <v>1779</v>
      </c>
      <c r="N273" s="12" t="str">
        <f>C273&amp;"|"&amp;A273</f>
        <v>001|2411317</v>
      </c>
    </row>
    <row r="274" spans="1:14">
      <c r="A274" s="12" t="s">
        <v>1073</v>
      </c>
      <c r="B274" s="12" t="s">
        <v>1075</v>
      </c>
      <c r="C274" s="12" t="s">
        <v>74</v>
      </c>
      <c r="D274" s="35">
        <v>1376515</v>
      </c>
      <c r="E274" s="35">
        <v>0</v>
      </c>
      <c r="F274" s="35">
        <v>0</v>
      </c>
      <c r="G274" s="35">
        <v>0</v>
      </c>
      <c r="H274" s="35">
        <v>1376515</v>
      </c>
      <c r="I274" s="35">
        <v>0</v>
      </c>
      <c r="J274" s="12" t="s">
        <v>89</v>
      </c>
      <c r="K274" s="18">
        <f>SUM(E274:J274)</f>
        <v>1376515.0</v>
      </c>
      <c r="L274" s="18">
        <f>D274-K274</f>
        <v>0.0</v>
      </c>
      <c r="M274" s="12" t="s">
        <v>1779</v>
      </c>
      <c r="N274" s="12" t="str">
        <f>C274&amp;"|"&amp;A274</f>
        <v>001|2658446</v>
      </c>
    </row>
    <row r="275" spans="1:14">
      <c r="A275" s="12" t="s">
        <v>1079</v>
      </c>
      <c r="B275" s="12" t="s">
        <v>1081</v>
      </c>
      <c r="C275" s="12" t="s">
        <v>74</v>
      </c>
      <c r="D275" s="35">
        <v>46429</v>
      </c>
      <c r="E275" s="35">
        <v>0</v>
      </c>
      <c r="F275" s="35">
        <v>0</v>
      </c>
      <c r="G275" s="35">
        <v>46429</v>
      </c>
      <c r="H275" s="35">
        <v>0</v>
      </c>
      <c r="I275" s="35">
        <v>0</v>
      </c>
      <c r="J275" s="12" t="s">
        <v>89</v>
      </c>
      <c r="K275" s="18">
        <f>SUM(E275:J275)</f>
        <v>46429.0</v>
      </c>
      <c r="L275" s="18">
        <f>D275-K275</f>
        <v>0.0</v>
      </c>
      <c r="M275" s="12" t="s">
        <v>1779</v>
      </c>
      <c r="N275" s="12" t="str">
        <f>C275&amp;"|"&amp;A275</f>
        <v>001|2343538</v>
      </c>
    </row>
    <row r="276" spans="1:14">
      <c r="A276" s="12" t="s">
        <v>1084</v>
      </c>
      <c r="B276" s="12" t="s">
        <v>1086</v>
      </c>
      <c r="C276" s="12" t="s">
        <v>74</v>
      </c>
      <c r="D276" s="35">
        <v>1349649</v>
      </c>
      <c r="E276" s="35">
        <v>0</v>
      </c>
      <c r="F276" s="35">
        <v>0</v>
      </c>
      <c r="G276" s="35">
        <v>1349649</v>
      </c>
      <c r="H276" s="35">
        <v>0</v>
      </c>
      <c r="I276" s="35">
        <v>0</v>
      </c>
      <c r="J276" s="12" t="s">
        <v>89</v>
      </c>
      <c r="K276" s="18">
        <f>SUM(E276:J276)</f>
        <v>1349649.0</v>
      </c>
      <c r="L276" s="18">
        <f>D276-K276</f>
        <v>0.0</v>
      </c>
      <c r="M276" s="12" t="s">
        <v>1779</v>
      </c>
      <c r="N276" s="12" t="str">
        <f>C276&amp;"|"&amp;A276</f>
        <v>001|2645524</v>
      </c>
    </row>
    <row r="277" spans="1:14">
      <c r="A277" s="12" t="s">
        <v>1088</v>
      </c>
      <c r="B277" s="12" t="s">
        <v>1090</v>
      </c>
      <c r="C277" s="12" t="s">
        <v>74</v>
      </c>
      <c r="D277" s="35">
        <v>100000</v>
      </c>
      <c r="E277" s="35">
        <v>0</v>
      </c>
      <c r="F277" s="35">
        <v>0</v>
      </c>
      <c r="G277" s="35">
        <v>100000</v>
      </c>
      <c r="H277" s="35">
        <v>0</v>
      </c>
      <c r="I277" s="35">
        <v>0</v>
      </c>
      <c r="J277" s="12" t="s">
        <v>89</v>
      </c>
      <c r="K277" s="18">
        <f>SUM(E277:J277)</f>
        <v>100000.0</v>
      </c>
      <c r="L277" s="18">
        <f>D277-K277</f>
        <v>0.0</v>
      </c>
      <c r="M277" s="12" t="s">
        <v>1779</v>
      </c>
      <c r="N277" s="12" t="str">
        <f>C277&amp;"|"&amp;A277</f>
        <v>001|2625216</v>
      </c>
    </row>
    <row r="278" spans="1:14">
      <c r="A278" s="12" t="s">
        <v>1092</v>
      </c>
      <c r="B278" s="12" t="s">
        <v>1094</v>
      </c>
      <c r="C278" s="12" t="s">
        <v>74</v>
      </c>
      <c r="D278" s="35">
        <v>0</v>
      </c>
      <c r="E278" s="35">
        <v>0</v>
      </c>
      <c r="F278" s="35">
        <v>0</v>
      </c>
      <c r="G278" s="35">
        <v>0</v>
      </c>
      <c r="H278" s="35">
        <v>0</v>
      </c>
      <c r="I278" s="35">
        <v>0</v>
      </c>
      <c r="J278" s="12" t="s">
        <v>89</v>
      </c>
      <c r="K278" s="18">
        <f>SUM(E278:J278)</f>
        <v>0.0</v>
      </c>
      <c r="L278" s="18">
        <f>D278-K278</f>
        <v>0.0</v>
      </c>
      <c r="M278" s="12" t="s">
        <v>1779</v>
      </c>
      <c r="N278" s="12" t="str">
        <f>C278&amp;"|"&amp;A278</f>
        <v>001|2462296</v>
      </c>
    </row>
    <row r="279" spans="1:14">
      <c r="A279" s="12" t="s">
        <v>1097</v>
      </c>
      <c r="B279" s="12" t="s">
        <v>1099</v>
      </c>
      <c r="C279" s="12" t="s">
        <v>74</v>
      </c>
      <c r="D279" s="35">
        <v>2659376</v>
      </c>
      <c r="E279" s="35">
        <v>0</v>
      </c>
      <c r="F279" s="35">
        <v>0</v>
      </c>
      <c r="G279" s="35">
        <v>2659376</v>
      </c>
      <c r="H279" s="35">
        <v>0</v>
      </c>
      <c r="I279" s="35">
        <v>0</v>
      </c>
      <c r="J279" s="12" t="s">
        <v>89</v>
      </c>
      <c r="K279" s="18">
        <f>SUM(E279:J279)</f>
        <v>2659376.0</v>
      </c>
      <c r="L279" s="18">
        <f>D279-K279</f>
        <v>0.0</v>
      </c>
      <c r="M279" s="12" t="s">
        <v>1779</v>
      </c>
      <c r="N279" s="12" t="str">
        <f>C279&amp;"|"&amp;A279</f>
        <v>001|2526527</v>
      </c>
    </row>
    <row r="280" spans="1:14">
      <c r="A280" s="12" t="s">
        <v>1100</v>
      </c>
      <c r="B280" s="12" t="s">
        <v>1102</v>
      </c>
      <c r="C280" s="12" t="s">
        <v>74</v>
      </c>
      <c r="D280" s="35">
        <v>159946</v>
      </c>
      <c r="E280" s="35">
        <v>0</v>
      </c>
      <c r="F280" s="35">
        <v>0</v>
      </c>
      <c r="G280" s="35">
        <v>159946</v>
      </c>
      <c r="H280" s="35">
        <v>0</v>
      </c>
      <c r="I280" s="35">
        <v>0</v>
      </c>
      <c r="J280" s="12" t="s">
        <v>89</v>
      </c>
      <c r="K280" s="18">
        <f>SUM(E280:J280)</f>
        <v>159946.0</v>
      </c>
      <c r="L280" s="18">
        <f>D280-K280</f>
        <v>0.0</v>
      </c>
      <c r="M280" s="12" t="s">
        <v>1779</v>
      </c>
      <c r="N280" s="12" t="str">
        <f>C280&amp;"|"&amp;A280</f>
        <v>001|2717147</v>
      </c>
    </row>
    <row r="281" spans="1:14">
      <c r="A281" s="12" t="s">
        <v>1107</v>
      </c>
      <c r="B281" s="12" t="s">
        <v>1109</v>
      </c>
      <c r="C281" s="12" t="s">
        <v>74</v>
      </c>
      <c r="D281" s="35">
        <v>159560</v>
      </c>
      <c r="E281" s="35">
        <v>0</v>
      </c>
      <c r="F281" s="35">
        <v>0</v>
      </c>
      <c r="G281" s="35">
        <v>159560</v>
      </c>
      <c r="H281" s="35">
        <v>0</v>
      </c>
      <c r="I281" s="35">
        <v>0</v>
      </c>
      <c r="J281" s="12" t="s">
        <v>89</v>
      </c>
      <c r="K281" s="18">
        <f>SUM(E281:J281)</f>
        <v>159560.0</v>
      </c>
      <c r="L281" s="18">
        <f>D281-K281</f>
        <v>0.0</v>
      </c>
      <c r="M281" s="12" t="s">
        <v>1779</v>
      </c>
      <c r="N281" s="12" t="str">
        <f>C281&amp;"|"&amp;A281</f>
        <v>001|2723296</v>
      </c>
    </row>
    <row r="282" spans="1:14">
      <c r="A282" s="12" t="s">
        <v>1110</v>
      </c>
      <c r="B282" s="12" t="s">
        <v>1112</v>
      </c>
      <c r="C282" s="12" t="s">
        <v>74</v>
      </c>
      <c r="D282" s="35">
        <v>158892</v>
      </c>
      <c r="E282" s="35">
        <v>0</v>
      </c>
      <c r="F282" s="35">
        <v>0</v>
      </c>
      <c r="G282" s="35">
        <v>158892</v>
      </c>
      <c r="H282" s="35">
        <v>0</v>
      </c>
      <c r="I282" s="35">
        <v>0</v>
      </c>
      <c r="J282" s="12" t="s">
        <v>89</v>
      </c>
      <c r="K282" s="18">
        <f>SUM(E282:J282)</f>
        <v>158892.0</v>
      </c>
      <c r="L282" s="18">
        <f>D282-K282</f>
        <v>0.0</v>
      </c>
      <c r="M282" s="12" t="s">
        <v>1779</v>
      </c>
      <c r="N282" s="12" t="str">
        <f>C282&amp;"|"&amp;A282</f>
        <v>001|2717175</v>
      </c>
    </row>
    <row r="283" spans="1:14">
      <c r="A283" s="12" t="s">
        <v>1113</v>
      </c>
      <c r="B283" s="12" t="s">
        <v>1115</v>
      </c>
      <c r="C283" s="12" t="s">
        <v>74</v>
      </c>
      <c r="D283" s="35">
        <v>160000</v>
      </c>
      <c r="E283" s="35">
        <v>0</v>
      </c>
      <c r="F283" s="35">
        <v>0</v>
      </c>
      <c r="G283" s="35">
        <v>160000</v>
      </c>
      <c r="H283" s="35">
        <v>0</v>
      </c>
      <c r="I283" s="35">
        <v>0</v>
      </c>
      <c r="J283" s="12" t="s">
        <v>89</v>
      </c>
      <c r="K283" s="18">
        <f>SUM(E283:J283)</f>
        <v>160000.0</v>
      </c>
      <c r="L283" s="18">
        <f>D283-K283</f>
        <v>0.0</v>
      </c>
      <c r="M283" s="12" t="s">
        <v>1779</v>
      </c>
      <c r="N283" s="12" t="str">
        <f>C283&amp;"|"&amp;A283</f>
        <v>001|2717164</v>
      </c>
    </row>
    <row r="284" spans="1:14">
      <c r="A284" s="12" t="s">
        <v>1116</v>
      </c>
      <c r="B284" s="12" t="s">
        <v>1118</v>
      </c>
      <c r="C284" s="12" t="s">
        <v>74</v>
      </c>
      <c r="D284" s="35">
        <v>83160</v>
      </c>
      <c r="E284" s="35">
        <v>0</v>
      </c>
      <c r="F284" s="35">
        <v>0</v>
      </c>
      <c r="G284" s="35">
        <v>83160</v>
      </c>
      <c r="H284" s="35">
        <v>0</v>
      </c>
      <c r="I284" s="35">
        <v>0</v>
      </c>
      <c r="J284" s="12" t="s">
        <v>89</v>
      </c>
      <c r="K284" s="18">
        <f>SUM(E284:J284)</f>
        <v>83160.0</v>
      </c>
      <c r="L284" s="18">
        <f>D284-K284</f>
        <v>0.0</v>
      </c>
      <c r="M284" s="12" t="s">
        <v>1779</v>
      </c>
      <c r="N284" s="12" t="str">
        <f>C284&amp;"|"&amp;A284</f>
        <v>001|2676438</v>
      </c>
    </row>
    <row r="285" spans="1:14">
      <c r="A285" s="12" t="s">
        <v>1120</v>
      </c>
      <c r="B285" s="12" t="s">
        <v>1122</v>
      </c>
      <c r="C285" s="12" t="s">
        <v>74</v>
      </c>
      <c r="D285" s="35">
        <v>1098209</v>
      </c>
      <c r="E285" s="35">
        <v>0</v>
      </c>
      <c r="F285" s="35">
        <v>0</v>
      </c>
      <c r="G285" s="35">
        <v>1098209</v>
      </c>
      <c r="H285" s="35">
        <v>0</v>
      </c>
      <c r="I285" s="35">
        <v>0</v>
      </c>
      <c r="J285" s="12" t="s">
        <v>89</v>
      </c>
      <c r="K285" s="18">
        <f>SUM(E285:J285)</f>
        <v>1098209.0</v>
      </c>
      <c r="L285" s="18">
        <f>D285-K285</f>
        <v>0.0</v>
      </c>
      <c r="M285" s="12" t="s">
        <v>1779</v>
      </c>
      <c r="N285" s="12" t="str">
        <f>C285&amp;"|"&amp;A285</f>
        <v>001|2016766</v>
      </c>
    </row>
    <row r="286" spans="1:14">
      <c r="A286" s="12" t="s">
        <v>1129</v>
      </c>
      <c r="B286" s="12" t="s">
        <v>1131</v>
      </c>
      <c r="C286" s="12" t="s">
        <v>74</v>
      </c>
      <c r="D286" s="35">
        <v>350000</v>
      </c>
      <c r="E286" s="35">
        <v>0</v>
      </c>
      <c r="F286" s="35">
        <v>0</v>
      </c>
      <c r="G286" s="35">
        <v>350000</v>
      </c>
      <c r="H286" s="35">
        <v>0</v>
      </c>
      <c r="I286" s="35">
        <v>0</v>
      </c>
      <c r="J286" s="12" t="s">
        <v>89</v>
      </c>
      <c r="K286" s="18">
        <f>SUM(E286:J286)</f>
        <v>350000.0</v>
      </c>
      <c r="L286" s="18">
        <f>D286-K286</f>
        <v>0.0</v>
      </c>
      <c r="M286" s="12" t="s">
        <v>1779</v>
      </c>
      <c r="N286" s="12" t="str">
        <f>C286&amp;"|"&amp;A286</f>
        <v>001|2717186</v>
      </c>
    </row>
    <row r="287" spans="1:14">
      <c r="A287" s="12" t="s">
        <v>1132</v>
      </c>
      <c r="B287" s="12" t="s">
        <v>1134</v>
      </c>
      <c r="C287" s="12" t="s">
        <v>74</v>
      </c>
      <c r="D287" s="35">
        <v>349950</v>
      </c>
      <c r="E287" s="35">
        <v>0</v>
      </c>
      <c r="F287" s="35">
        <v>0</v>
      </c>
      <c r="G287" s="35">
        <v>349950</v>
      </c>
      <c r="H287" s="35">
        <v>0</v>
      </c>
      <c r="I287" s="35">
        <v>0</v>
      </c>
      <c r="J287" s="12" t="s">
        <v>89</v>
      </c>
      <c r="K287" s="18">
        <f>SUM(E287:J287)</f>
        <v>349950.0</v>
      </c>
      <c r="L287" s="18">
        <f>D287-K287</f>
        <v>0.0</v>
      </c>
      <c r="M287" s="12" t="s">
        <v>1779</v>
      </c>
      <c r="N287" s="12" t="str">
        <f>C287&amp;"|"&amp;A287</f>
        <v>001|2717193</v>
      </c>
    </row>
    <row r="288" spans="1:14">
      <c r="A288" s="12" t="s">
        <v>1135</v>
      </c>
      <c r="B288" s="12" t="s">
        <v>1137</v>
      </c>
      <c r="C288" s="12" t="s">
        <v>74</v>
      </c>
      <c r="D288" s="35">
        <v>349899</v>
      </c>
      <c r="E288" s="35">
        <v>0</v>
      </c>
      <c r="F288" s="35">
        <v>0</v>
      </c>
      <c r="G288" s="35">
        <v>349899</v>
      </c>
      <c r="H288" s="35">
        <v>0</v>
      </c>
      <c r="I288" s="35">
        <v>0</v>
      </c>
      <c r="J288" s="12" t="s">
        <v>89</v>
      </c>
      <c r="K288" s="18">
        <f>SUM(E288:J288)</f>
        <v>349899.0</v>
      </c>
      <c r="L288" s="18">
        <f>D288-K288</f>
        <v>0.0</v>
      </c>
      <c r="M288" s="12" t="s">
        <v>1779</v>
      </c>
      <c r="N288" s="12" t="str">
        <f>C288&amp;"|"&amp;A288</f>
        <v>001|2717178</v>
      </c>
    </row>
    <row r="289" spans="1:14">
      <c r="A289" s="12" t="s">
        <v>1138</v>
      </c>
      <c r="B289" s="12" t="s">
        <v>1140</v>
      </c>
      <c r="C289" s="12" t="s">
        <v>74</v>
      </c>
      <c r="D289" s="35">
        <v>349792</v>
      </c>
      <c r="E289" s="35">
        <v>0</v>
      </c>
      <c r="F289" s="35">
        <v>0</v>
      </c>
      <c r="G289" s="35">
        <v>349792</v>
      </c>
      <c r="H289" s="35">
        <v>0</v>
      </c>
      <c r="I289" s="35">
        <v>0</v>
      </c>
      <c r="J289" s="12" t="s">
        <v>89</v>
      </c>
      <c r="K289" s="18">
        <f>SUM(E289:J289)</f>
        <v>349792.0</v>
      </c>
      <c r="L289" s="18">
        <f>D289-K289</f>
        <v>0.0</v>
      </c>
      <c r="M289" s="12" t="s">
        <v>1779</v>
      </c>
      <c r="N289" s="12" t="str">
        <f>C289&amp;"|"&amp;A289</f>
        <v>001|2717158</v>
      </c>
    </row>
    <row r="290" spans="1:14">
      <c r="A290" s="12" t="s">
        <v>1141</v>
      </c>
      <c r="B290" s="12" t="s">
        <v>1143</v>
      </c>
      <c r="C290" s="12" t="s">
        <v>74</v>
      </c>
      <c r="D290" s="35">
        <v>349792</v>
      </c>
      <c r="E290" s="35">
        <v>0</v>
      </c>
      <c r="F290" s="35">
        <v>0</v>
      </c>
      <c r="G290" s="35">
        <v>349792</v>
      </c>
      <c r="H290" s="35">
        <v>0</v>
      </c>
      <c r="I290" s="35">
        <v>0</v>
      </c>
      <c r="J290" s="12" t="s">
        <v>89</v>
      </c>
      <c r="K290" s="18">
        <f>SUM(E290:J290)</f>
        <v>349792.0</v>
      </c>
      <c r="L290" s="18">
        <f>D290-K290</f>
        <v>0.0</v>
      </c>
      <c r="M290" s="12" t="s">
        <v>1779</v>
      </c>
      <c r="N290" s="12" t="str">
        <f>C290&amp;"|"&amp;A290</f>
        <v>001|2717173</v>
      </c>
    </row>
    <row r="291" spans="1:14">
      <c r="A291" s="12" t="s">
        <v>1144</v>
      </c>
      <c r="B291" s="12" t="s">
        <v>1146</v>
      </c>
      <c r="C291" s="12" t="s">
        <v>74</v>
      </c>
      <c r="D291" s="35">
        <v>346711</v>
      </c>
      <c r="E291" s="35">
        <v>0</v>
      </c>
      <c r="F291" s="35">
        <v>0</v>
      </c>
      <c r="G291" s="35">
        <v>346711</v>
      </c>
      <c r="H291" s="35">
        <v>0</v>
      </c>
      <c r="I291" s="35">
        <v>0</v>
      </c>
      <c r="J291" s="12" t="s">
        <v>89</v>
      </c>
      <c r="K291" s="18">
        <f>SUM(E291:J291)</f>
        <v>346711.0</v>
      </c>
      <c r="L291" s="18">
        <f>D291-K291</f>
        <v>0.0</v>
      </c>
      <c r="M291" s="12" t="s">
        <v>1779</v>
      </c>
      <c r="N291" s="12" t="str">
        <f>C291&amp;"|"&amp;A291</f>
        <v>001|2717189</v>
      </c>
    </row>
    <row r="292" spans="1:14">
      <c r="A292" s="12" t="s">
        <v>1147</v>
      </c>
      <c r="B292" s="12" t="s">
        <v>1149</v>
      </c>
      <c r="C292" s="12" t="s">
        <v>74</v>
      </c>
      <c r="D292" s="35">
        <v>269980</v>
      </c>
      <c r="E292" s="35">
        <v>0</v>
      </c>
      <c r="F292" s="35">
        <v>0</v>
      </c>
      <c r="G292" s="35">
        <v>269980</v>
      </c>
      <c r="H292" s="35">
        <v>0</v>
      </c>
      <c r="I292" s="35">
        <v>0</v>
      </c>
      <c r="J292" s="12" t="s">
        <v>89</v>
      </c>
      <c r="K292" s="18">
        <f>SUM(E292:J292)</f>
        <v>269980.0</v>
      </c>
      <c r="L292" s="18">
        <f>D292-K292</f>
        <v>0.0</v>
      </c>
      <c r="M292" s="12" t="s">
        <v>1779</v>
      </c>
      <c r="N292" s="12" t="str">
        <f>C292&amp;"|"&amp;A292</f>
        <v>001|2717151</v>
      </c>
    </row>
    <row r="293" spans="1:14">
      <c r="A293" s="12" t="s">
        <v>1150</v>
      </c>
      <c r="B293" s="12" t="s">
        <v>1152</v>
      </c>
      <c r="C293" s="12" t="s">
        <v>74</v>
      </c>
      <c r="D293" s="35">
        <v>209400</v>
      </c>
      <c r="E293" s="35">
        <v>0</v>
      </c>
      <c r="F293" s="35">
        <v>0</v>
      </c>
      <c r="G293" s="35">
        <v>209400</v>
      </c>
      <c r="H293" s="35">
        <v>0</v>
      </c>
      <c r="I293" s="35">
        <v>0</v>
      </c>
      <c r="J293" s="12" t="s">
        <v>89</v>
      </c>
      <c r="K293" s="18">
        <f>SUM(E293:J293)</f>
        <v>209400.0</v>
      </c>
      <c r="L293" s="18">
        <f>D293-K293</f>
        <v>0.0</v>
      </c>
      <c r="M293" s="12" t="s">
        <v>1779</v>
      </c>
      <c r="N293" s="12" t="str">
        <f>C293&amp;"|"&amp;A293</f>
        <v>001|2676440</v>
      </c>
    </row>
    <row r="294" spans="1:14">
      <c r="A294" s="12" t="s">
        <v>1153</v>
      </c>
      <c r="B294" s="12" t="s">
        <v>1155</v>
      </c>
      <c r="C294" s="12" t="s">
        <v>74</v>
      </c>
      <c r="D294" s="35">
        <v>160000</v>
      </c>
      <c r="E294" s="35">
        <v>0</v>
      </c>
      <c r="F294" s="35">
        <v>0</v>
      </c>
      <c r="G294" s="35">
        <v>160000</v>
      </c>
      <c r="H294" s="35">
        <v>0</v>
      </c>
      <c r="I294" s="35">
        <v>0</v>
      </c>
      <c r="J294" s="12" t="s">
        <v>89</v>
      </c>
      <c r="K294" s="18">
        <f>SUM(E294:J294)</f>
        <v>160000.0</v>
      </c>
      <c r="L294" s="18">
        <f>D294-K294</f>
        <v>0.0</v>
      </c>
      <c r="M294" s="12" t="s">
        <v>1779</v>
      </c>
      <c r="N294" s="12" t="str">
        <f>C294&amp;"|"&amp;A294</f>
        <v>001|2717156</v>
      </c>
    </row>
    <row r="295" spans="1:14">
      <c r="A295" s="12" t="s">
        <v>1156</v>
      </c>
      <c r="B295" s="12" t="s">
        <v>1158</v>
      </c>
      <c r="C295" s="12" t="s">
        <v>74</v>
      </c>
      <c r="D295" s="35">
        <v>160000</v>
      </c>
      <c r="E295" s="35">
        <v>0</v>
      </c>
      <c r="F295" s="35">
        <v>0</v>
      </c>
      <c r="G295" s="35">
        <v>160000</v>
      </c>
      <c r="H295" s="35">
        <v>0</v>
      </c>
      <c r="I295" s="35">
        <v>0</v>
      </c>
      <c r="J295" s="12" t="s">
        <v>89</v>
      </c>
      <c r="K295" s="18">
        <f>SUM(E295:J295)</f>
        <v>160000.0</v>
      </c>
      <c r="L295" s="18">
        <f>D295-K295</f>
        <v>0.0</v>
      </c>
      <c r="M295" s="12" t="s">
        <v>1779</v>
      </c>
      <c r="N295" s="12" t="str">
        <f>C295&amp;"|"&amp;A295</f>
        <v>001|2717157</v>
      </c>
    </row>
    <row r="296" spans="1:14">
      <c r="A296" s="12" t="s">
        <v>1159</v>
      </c>
      <c r="B296" s="12" t="s">
        <v>1161</v>
      </c>
      <c r="C296" s="12" t="s">
        <v>74</v>
      </c>
      <c r="D296" s="35">
        <v>160000</v>
      </c>
      <c r="E296" s="35">
        <v>0</v>
      </c>
      <c r="F296" s="35">
        <v>0</v>
      </c>
      <c r="G296" s="35">
        <v>160000</v>
      </c>
      <c r="H296" s="35">
        <v>0</v>
      </c>
      <c r="I296" s="35">
        <v>0</v>
      </c>
      <c r="J296" s="12" t="s">
        <v>89</v>
      </c>
      <c r="K296" s="18">
        <f>SUM(E296:J296)</f>
        <v>160000.0</v>
      </c>
      <c r="L296" s="18">
        <f>D296-K296</f>
        <v>0.0</v>
      </c>
      <c r="M296" s="12" t="s">
        <v>1779</v>
      </c>
      <c r="N296" s="12" t="str">
        <f>C296&amp;"|"&amp;A296</f>
        <v>001|2717161</v>
      </c>
    </row>
    <row r="297" spans="1:14">
      <c r="A297" s="12" t="s">
        <v>1162</v>
      </c>
      <c r="B297" s="12" t="s">
        <v>1164</v>
      </c>
      <c r="C297" s="12" t="s">
        <v>74</v>
      </c>
      <c r="D297" s="35">
        <v>160000</v>
      </c>
      <c r="E297" s="35">
        <v>0</v>
      </c>
      <c r="F297" s="35">
        <v>0</v>
      </c>
      <c r="G297" s="35">
        <v>160000</v>
      </c>
      <c r="H297" s="35">
        <v>0</v>
      </c>
      <c r="I297" s="35">
        <v>0</v>
      </c>
      <c r="J297" s="12" t="s">
        <v>89</v>
      </c>
      <c r="K297" s="18">
        <f>SUM(E297:J297)</f>
        <v>160000.0</v>
      </c>
      <c r="L297" s="18">
        <f>D297-K297</f>
        <v>0.0</v>
      </c>
      <c r="M297" s="12" t="s">
        <v>1779</v>
      </c>
      <c r="N297" s="12" t="str">
        <f>C297&amp;"|"&amp;A297</f>
        <v>001|2717169</v>
      </c>
    </row>
    <row r="298" spans="1:14">
      <c r="A298" s="12" t="s">
        <v>1165</v>
      </c>
      <c r="B298" s="12" t="s">
        <v>1167</v>
      </c>
      <c r="C298" s="12" t="s">
        <v>74</v>
      </c>
      <c r="D298" s="35">
        <v>160000</v>
      </c>
      <c r="E298" s="35">
        <v>0</v>
      </c>
      <c r="F298" s="35">
        <v>0</v>
      </c>
      <c r="G298" s="35">
        <v>160000</v>
      </c>
      <c r="H298" s="35">
        <v>0</v>
      </c>
      <c r="I298" s="35">
        <v>0</v>
      </c>
      <c r="J298" s="12" t="s">
        <v>89</v>
      </c>
      <c r="K298" s="18">
        <f>SUM(E298:J298)</f>
        <v>160000.0</v>
      </c>
      <c r="L298" s="18">
        <f>D298-K298</f>
        <v>0.0</v>
      </c>
      <c r="M298" s="12" t="s">
        <v>1779</v>
      </c>
      <c r="N298" s="12" t="str">
        <f>C298&amp;"|"&amp;A298</f>
        <v>001|2717172</v>
      </c>
    </row>
    <row r="299" spans="1:14">
      <c r="A299" s="12" t="s">
        <v>1168</v>
      </c>
      <c r="B299" s="12" t="s">
        <v>1170</v>
      </c>
      <c r="C299" s="12" t="s">
        <v>74</v>
      </c>
      <c r="D299" s="35">
        <v>160000</v>
      </c>
      <c r="E299" s="35">
        <v>0</v>
      </c>
      <c r="F299" s="35">
        <v>0</v>
      </c>
      <c r="G299" s="35">
        <v>160000</v>
      </c>
      <c r="H299" s="35">
        <v>0</v>
      </c>
      <c r="I299" s="35">
        <v>0</v>
      </c>
      <c r="J299" s="12" t="s">
        <v>89</v>
      </c>
      <c r="K299" s="18">
        <f>SUM(E299:J299)</f>
        <v>160000.0</v>
      </c>
      <c r="L299" s="18">
        <f>D299-K299</f>
        <v>0.0</v>
      </c>
      <c r="M299" s="12" t="s">
        <v>1779</v>
      </c>
      <c r="N299" s="12" t="str">
        <f>C299&amp;"|"&amp;A299</f>
        <v>001|2717177</v>
      </c>
    </row>
    <row r="300" spans="1:14">
      <c r="A300" s="12" t="s">
        <v>1171</v>
      </c>
      <c r="B300" s="12" t="s">
        <v>1173</v>
      </c>
      <c r="C300" s="12" t="s">
        <v>74</v>
      </c>
      <c r="D300" s="35">
        <v>160000</v>
      </c>
      <c r="E300" s="35">
        <v>0</v>
      </c>
      <c r="F300" s="35">
        <v>0</v>
      </c>
      <c r="G300" s="35">
        <v>160000</v>
      </c>
      <c r="H300" s="35">
        <v>0</v>
      </c>
      <c r="I300" s="35">
        <v>0</v>
      </c>
      <c r="J300" s="12" t="s">
        <v>89</v>
      </c>
      <c r="K300" s="18">
        <f>SUM(E300:J300)</f>
        <v>160000.0</v>
      </c>
      <c r="L300" s="18">
        <f>D300-K300</f>
        <v>0.0</v>
      </c>
      <c r="M300" s="12" t="s">
        <v>1779</v>
      </c>
      <c r="N300" s="12" t="str">
        <f>C300&amp;"|"&amp;A300</f>
        <v>001|2717188</v>
      </c>
    </row>
    <row r="301" spans="1:14">
      <c r="A301" s="12" t="s">
        <v>1174</v>
      </c>
      <c r="B301" s="12" t="s">
        <v>1176</v>
      </c>
      <c r="C301" s="12" t="s">
        <v>74</v>
      </c>
      <c r="D301" s="35">
        <v>160000</v>
      </c>
      <c r="E301" s="35">
        <v>0</v>
      </c>
      <c r="F301" s="35">
        <v>0</v>
      </c>
      <c r="G301" s="35">
        <v>160000</v>
      </c>
      <c r="H301" s="35">
        <v>0</v>
      </c>
      <c r="I301" s="35">
        <v>0</v>
      </c>
      <c r="J301" s="12" t="s">
        <v>89</v>
      </c>
      <c r="K301" s="18">
        <f>SUM(E301:J301)</f>
        <v>160000.0</v>
      </c>
      <c r="L301" s="18">
        <f>D301-K301</f>
        <v>0.0</v>
      </c>
      <c r="M301" s="12" t="s">
        <v>1779</v>
      </c>
      <c r="N301" s="12" t="str">
        <f>C301&amp;"|"&amp;A301</f>
        <v>001|2717192</v>
      </c>
    </row>
    <row r="302" spans="1:14">
      <c r="A302" s="12" t="s">
        <v>1177</v>
      </c>
      <c r="B302" s="12" t="s">
        <v>1179</v>
      </c>
      <c r="C302" s="12" t="s">
        <v>74</v>
      </c>
      <c r="D302" s="35">
        <v>160000</v>
      </c>
      <c r="E302" s="35">
        <v>0</v>
      </c>
      <c r="F302" s="35">
        <v>0</v>
      </c>
      <c r="G302" s="35">
        <v>160000</v>
      </c>
      <c r="H302" s="35">
        <v>0</v>
      </c>
      <c r="I302" s="35">
        <v>0</v>
      </c>
      <c r="J302" s="12" t="s">
        <v>89</v>
      </c>
      <c r="K302" s="18">
        <f>SUM(E302:J302)</f>
        <v>160000.0</v>
      </c>
      <c r="L302" s="18">
        <f>D302-K302</f>
        <v>0.0</v>
      </c>
      <c r="M302" s="12" t="s">
        <v>1779</v>
      </c>
      <c r="N302" s="12" t="str">
        <f>C302&amp;"|"&amp;A302</f>
        <v>001|2717194</v>
      </c>
    </row>
    <row r="303" spans="1:14">
      <c r="A303" s="12" t="s">
        <v>1180</v>
      </c>
      <c r="B303" s="12" t="s">
        <v>1182</v>
      </c>
      <c r="C303" s="12" t="s">
        <v>74</v>
      </c>
      <c r="D303" s="35">
        <v>61500</v>
      </c>
      <c r="E303" s="35">
        <v>0</v>
      </c>
      <c r="F303" s="35">
        <v>0</v>
      </c>
      <c r="G303" s="35">
        <v>61500</v>
      </c>
      <c r="H303" s="35">
        <v>0</v>
      </c>
      <c r="I303" s="35">
        <v>0</v>
      </c>
      <c r="J303" s="12" t="s">
        <v>89</v>
      </c>
      <c r="K303" s="18">
        <f>SUM(E303:J303)</f>
        <v>61500.0</v>
      </c>
      <c r="L303" s="18">
        <f>D303-K303</f>
        <v>0.0</v>
      </c>
      <c r="M303" s="12" t="s">
        <v>1779</v>
      </c>
      <c r="N303" s="12" t="str">
        <f>C303&amp;"|"&amp;A303</f>
        <v>001|2612522</v>
      </c>
    </row>
    <row r="304" spans="1:14">
      <c r="A304" s="12" t="s">
        <v>1183</v>
      </c>
      <c r="B304" s="12" t="s">
        <v>1185</v>
      </c>
      <c r="C304" s="12" t="s">
        <v>74</v>
      </c>
      <c r="D304" s="35">
        <v>62000</v>
      </c>
      <c r="E304" s="35">
        <v>0</v>
      </c>
      <c r="F304" s="35">
        <v>0</v>
      </c>
      <c r="G304" s="35">
        <v>62000</v>
      </c>
      <c r="H304" s="35">
        <v>0</v>
      </c>
      <c r="I304" s="35">
        <v>0</v>
      </c>
      <c r="J304" s="12" t="s">
        <v>89</v>
      </c>
      <c r="K304" s="18">
        <f>SUM(E304:J304)</f>
        <v>62000.0</v>
      </c>
      <c r="L304" s="18">
        <f>D304-K304</f>
        <v>0.0</v>
      </c>
      <c r="M304" s="12" t="s">
        <v>1779</v>
      </c>
      <c r="N304" s="12" t="str">
        <f>C304&amp;"|"&amp;A304</f>
        <v>001|2612541</v>
      </c>
    </row>
    <row r="305" spans="1:14">
      <c r="A305" s="12" t="s">
        <v>1186</v>
      </c>
      <c r="B305" s="12" t="s">
        <v>1188</v>
      </c>
      <c r="C305" s="12" t="s">
        <v>74</v>
      </c>
      <c r="D305" s="35">
        <v>63755</v>
      </c>
      <c r="E305" s="35">
        <v>0</v>
      </c>
      <c r="F305" s="35">
        <v>0</v>
      </c>
      <c r="G305" s="35">
        <v>63755</v>
      </c>
      <c r="H305" s="35">
        <v>0</v>
      </c>
      <c r="I305" s="35">
        <v>0</v>
      </c>
      <c r="J305" s="12" t="s">
        <v>89</v>
      </c>
      <c r="K305" s="18">
        <f>SUM(E305:J305)</f>
        <v>63755.0</v>
      </c>
      <c r="L305" s="18">
        <f>D305-K305</f>
        <v>0.0</v>
      </c>
      <c r="M305" s="12" t="s">
        <v>1779</v>
      </c>
      <c r="N305" s="12" t="str">
        <f>C305&amp;"|"&amp;A305</f>
        <v>001|2680578</v>
      </c>
    </row>
    <row r="306" spans="1:14">
      <c r="A306" s="12" t="s">
        <v>1189</v>
      </c>
      <c r="B306" s="12" t="s">
        <v>1191</v>
      </c>
      <c r="C306" s="12" t="s">
        <v>74</v>
      </c>
      <c r="D306" s="35">
        <v>65438</v>
      </c>
      <c r="E306" s="35">
        <v>0</v>
      </c>
      <c r="F306" s="35">
        <v>0</v>
      </c>
      <c r="G306" s="35">
        <v>65438</v>
      </c>
      <c r="H306" s="35">
        <v>0</v>
      </c>
      <c r="I306" s="35">
        <v>0</v>
      </c>
      <c r="J306" s="12" t="s">
        <v>89</v>
      </c>
      <c r="K306" s="18">
        <f>SUM(E306:J306)</f>
        <v>65438.0</v>
      </c>
      <c r="L306" s="18">
        <f>D306-K306</f>
        <v>0.0</v>
      </c>
      <c r="M306" s="12" t="s">
        <v>1779</v>
      </c>
      <c r="N306" s="12" t="str">
        <f>C306&amp;"|"&amp;A306</f>
        <v>001|2676418</v>
      </c>
    </row>
    <row r="307" spans="1:14">
      <c r="A307" s="12" t="s">
        <v>1192</v>
      </c>
      <c r="B307" s="12" t="s">
        <v>1194</v>
      </c>
      <c r="C307" s="12" t="s">
        <v>74</v>
      </c>
      <c r="D307" s="35">
        <v>61200</v>
      </c>
      <c r="E307" s="35">
        <v>0</v>
      </c>
      <c r="F307" s="35">
        <v>0</v>
      </c>
      <c r="G307" s="35">
        <v>61200</v>
      </c>
      <c r="H307" s="35">
        <v>0</v>
      </c>
      <c r="I307" s="35">
        <v>0</v>
      </c>
      <c r="J307" s="12" t="s">
        <v>89</v>
      </c>
      <c r="K307" s="18">
        <f>SUM(E307:J307)</f>
        <v>61200.0</v>
      </c>
      <c r="L307" s="18">
        <f>D307-K307</f>
        <v>0.0</v>
      </c>
      <c r="M307" s="12" t="s">
        <v>1779</v>
      </c>
      <c r="N307" s="12" t="str">
        <f>C307&amp;"|"&amp;A307</f>
        <v>001|2681120</v>
      </c>
    </row>
    <row r="308" spans="1:14">
      <c r="A308" s="12" t="s">
        <v>1195</v>
      </c>
      <c r="B308" s="12" t="s">
        <v>1197</v>
      </c>
      <c r="C308" s="12" t="s">
        <v>74</v>
      </c>
      <c r="D308" s="35">
        <v>2936</v>
      </c>
      <c r="E308" s="35">
        <v>0</v>
      </c>
      <c r="F308" s="35">
        <v>0</v>
      </c>
      <c r="G308" s="35">
        <v>2936</v>
      </c>
      <c r="H308" s="35">
        <v>0</v>
      </c>
      <c r="I308" s="35">
        <v>0</v>
      </c>
      <c r="J308" s="12" t="s">
        <v>89</v>
      </c>
      <c r="K308" s="18">
        <f>SUM(E308:J308)</f>
        <v>2936.0</v>
      </c>
      <c r="L308" s="18">
        <f>D308-K308</f>
        <v>0.0</v>
      </c>
      <c r="M308" s="12" t="s">
        <v>1779</v>
      </c>
      <c r="N308" s="12" t="str">
        <f>C308&amp;"|"&amp;A308</f>
        <v>001|2676423</v>
      </c>
    </row>
    <row r="309" spans="1:14">
      <c r="A309" s="12" t="s">
        <v>1198</v>
      </c>
      <c r="B309" s="12" t="s">
        <v>1200</v>
      </c>
      <c r="C309" s="12" t="s">
        <v>74</v>
      </c>
      <c r="D309" s="35">
        <v>10692</v>
      </c>
      <c r="E309" s="35">
        <v>0</v>
      </c>
      <c r="F309" s="35">
        <v>0</v>
      </c>
      <c r="G309" s="35">
        <v>10692</v>
      </c>
      <c r="H309" s="35">
        <v>0</v>
      </c>
      <c r="I309" s="35">
        <v>0</v>
      </c>
      <c r="J309" s="12" t="s">
        <v>89</v>
      </c>
      <c r="K309" s="18">
        <f>SUM(E309:J309)</f>
        <v>10692.0</v>
      </c>
      <c r="L309" s="18">
        <f>D309-K309</f>
        <v>0.0</v>
      </c>
      <c r="M309" s="12" t="s">
        <v>1779</v>
      </c>
      <c r="N309" s="12" t="str">
        <f>C309&amp;"|"&amp;A309</f>
        <v>001|2676424</v>
      </c>
    </row>
    <row r="310" spans="1:14">
      <c r="A310" s="12" t="s">
        <v>1201</v>
      </c>
      <c r="B310" s="12" t="s">
        <v>1203</v>
      </c>
      <c r="C310" s="12" t="s">
        <v>74</v>
      </c>
      <c r="D310" s="35">
        <v>7816</v>
      </c>
      <c r="E310" s="35">
        <v>0</v>
      </c>
      <c r="F310" s="35">
        <v>0</v>
      </c>
      <c r="G310" s="35">
        <v>7816</v>
      </c>
      <c r="H310" s="35">
        <v>0</v>
      </c>
      <c r="I310" s="35">
        <v>0</v>
      </c>
      <c r="J310" s="12" t="s">
        <v>89</v>
      </c>
      <c r="K310" s="18">
        <f>SUM(E310:J310)</f>
        <v>7816.0</v>
      </c>
      <c r="L310" s="18">
        <f>D310-K310</f>
        <v>0.0</v>
      </c>
      <c r="M310" s="12" t="s">
        <v>1779</v>
      </c>
      <c r="N310" s="12" t="str">
        <f>C310&amp;"|"&amp;A310</f>
        <v>001|2681121</v>
      </c>
    </row>
    <row r="311" spans="1:14">
      <c r="A311" s="12" t="s">
        <v>1204</v>
      </c>
      <c r="B311" s="12" t="s">
        <v>1206</v>
      </c>
      <c r="C311" s="12" t="s">
        <v>74</v>
      </c>
      <c r="D311" s="35">
        <v>3546</v>
      </c>
      <c r="E311" s="35">
        <v>0</v>
      </c>
      <c r="F311" s="35">
        <v>0</v>
      </c>
      <c r="G311" s="35">
        <v>3546</v>
      </c>
      <c r="H311" s="35">
        <v>0</v>
      </c>
      <c r="I311" s="35">
        <v>0</v>
      </c>
      <c r="J311" s="12" t="s">
        <v>89</v>
      </c>
      <c r="K311" s="18">
        <f>SUM(E311:J311)</f>
        <v>3546.0</v>
      </c>
      <c r="L311" s="18">
        <f>D311-K311</f>
        <v>0.0</v>
      </c>
      <c r="M311" s="12" t="s">
        <v>1779</v>
      </c>
      <c r="N311" s="12" t="str">
        <f>C311&amp;"|"&amp;A311</f>
        <v>001|2676426</v>
      </c>
    </row>
    <row r="312" spans="1:14">
      <c r="A312" s="12" t="s">
        <v>1207</v>
      </c>
      <c r="B312" s="12" t="s">
        <v>1209</v>
      </c>
      <c r="C312" s="12" t="s">
        <v>74</v>
      </c>
      <c r="D312" s="35">
        <v>2555</v>
      </c>
      <c r="E312" s="35">
        <v>0</v>
      </c>
      <c r="F312" s="35">
        <v>0</v>
      </c>
      <c r="G312" s="35">
        <v>2555</v>
      </c>
      <c r="H312" s="35">
        <v>0</v>
      </c>
      <c r="I312" s="35">
        <v>0</v>
      </c>
      <c r="J312" s="12" t="s">
        <v>89</v>
      </c>
      <c r="K312" s="18">
        <f>SUM(E312:J312)</f>
        <v>2555.0</v>
      </c>
      <c r="L312" s="18">
        <f>D312-K312</f>
        <v>0.0</v>
      </c>
      <c r="M312" s="12" t="s">
        <v>1779</v>
      </c>
      <c r="N312" s="12" t="str">
        <f>C312&amp;"|"&amp;A312</f>
        <v>001|2676427</v>
      </c>
    </row>
    <row r="313" spans="1:14">
      <c r="A313" s="12" t="s">
        <v>1210</v>
      </c>
      <c r="B313" s="12" t="s">
        <v>1212</v>
      </c>
      <c r="C313" s="12" t="s">
        <v>74</v>
      </c>
      <c r="D313" s="35">
        <v>73376</v>
      </c>
      <c r="E313" s="35">
        <v>0</v>
      </c>
      <c r="F313" s="35">
        <v>0</v>
      </c>
      <c r="G313" s="35">
        <v>73376</v>
      </c>
      <c r="H313" s="35">
        <v>0</v>
      </c>
      <c r="I313" s="35">
        <v>0</v>
      </c>
      <c r="J313" s="12" t="s">
        <v>89</v>
      </c>
      <c r="K313" s="18">
        <f>SUM(E313:J313)</f>
        <v>73376.0</v>
      </c>
      <c r="L313" s="18">
        <f>D313-K313</f>
        <v>0.0</v>
      </c>
      <c r="M313" s="12" t="s">
        <v>1779</v>
      </c>
      <c r="N313" s="12" t="str">
        <f>C313&amp;"|"&amp;A313</f>
        <v>001|2676430</v>
      </c>
    </row>
    <row r="314" spans="1:14">
      <c r="A314" s="12" t="s">
        <v>1213</v>
      </c>
      <c r="B314" s="12" t="s">
        <v>1215</v>
      </c>
      <c r="C314" s="12" t="s">
        <v>74</v>
      </c>
      <c r="D314" s="35">
        <v>54964</v>
      </c>
      <c r="E314" s="35">
        <v>0</v>
      </c>
      <c r="F314" s="35">
        <v>0</v>
      </c>
      <c r="G314" s="35">
        <v>54964</v>
      </c>
      <c r="H314" s="35">
        <v>0</v>
      </c>
      <c r="I314" s="35">
        <v>0</v>
      </c>
      <c r="J314" s="12" t="s">
        <v>89</v>
      </c>
      <c r="K314" s="18">
        <f>SUM(E314:J314)</f>
        <v>54964.0</v>
      </c>
      <c r="L314" s="18">
        <f>D314-K314</f>
        <v>0.0</v>
      </c>
      <c r="M314" s="12" t="s">
        <v>1779</v>
      </c>
      <c r="N314" s="12" t="str">
        <f>C314&amp;"|"&amp;A314</f>
        <v>001|2676431</v>
      </c>
    </row>
    <row r="315" spans="1:14">
      <c r="A315" s="12" t="s">
        <v>1216</v>
      </c>
      <c r="B315" s="12" t="s">
        <v>1218</v>
      </c>
      <c r="C315" s="12" t="s">
        <v>74</v>
      </c>
      <c r="D315" s="35">
        <v>73915</v>
      </c>
      <c r="E315" s="35">
        <v>0</v>
      </c>
      <c r="F315" s="35">
        <v>0</v>
      </c>
      <c r="G315" s="35">
        <v>73915</v>
      </c>
      <c r="H315" s="35">
        <v>0</v>
      </c>
      <c r="I315" s="35">
        <v>0</v>
      </c>
      <c r="J315" s="12" t="s">
        <v>89</v>
      </c>
      <c r="K315" s="18">
        <f>SUM(E315:J315)</f>
        <v>73915.0</v>
      </c>
      <c r="L315" s="18">
        <f>D315-K315</f>
        <v>0.0</v>
      </c>
      <c r="M315" s="12" t="s">
        <v>1779</v>
      </c>
      <c r="N315" s="12" t="str">
        <f>C315&amp;"|"&amp;A315</f>
        <v>001|2676432</v>
      </c>
    </row>
    <row r="316" spans="1:14">
      <c r="A316" s="12" t="s">
        <v>1219</v>
      </c>
      <c r="B316" s="12" t="s">
        <v>1221</v>
      </c>
      <c r="C316" s="12" t="s">
        <v>74</v>
      </c>
      <c r="D316" s="35">
        <v>5098</v>
      </c>
      <c r="E316" s="35">
        <v>0</v>
      </c>
      <c r="F316" s="35">
        <v>0</v>
      </c>
      <c r="G316" s="35">
        <v>5098</v>
      </c>
      <c r="H316" s="35">
        <v>0</v>
      </c>
      <c r="I316" s="35">
        <v>0</v>
      </c>
      <c r="J316" s="12" t="s">
        <v>89</v>
      </c>
      <c r="K316" s="18">
        <f>SUM(E316:J316)</f>
        <v>5098.0</v>
      </c>
      <c r="L316" s="18">
        <f>D316-K316</f>
        <v>0.0</v>
      </c>
      <c r="M316" s="12" t="s">
        <v>1779</v>
      </c>
      <c r="N316" s="12" t="str">
        <f>C316&amp;"|"&amp;A316</f>
        <v>001|2681125</v>
      </c>
    </row>
    <row r="317" spans="1:14">
      <c r="A317" s="12" t="s">
        <v>1222</v>
      </c>
      <c r="B317" s="12" t="s">
        <v>1224</v>
      </c>
      <c r="C317" s="12" t="s">
        <v>74</v>
      </c>
      <c r="D317" s="35">
        <v>4800</v>
      </c>
      <c r="E317" s="35">
        <v>0</v>
      </c>
      <c r="F317" s="35">
        <v>0</v>
      </c>
      <c r="G317" s="35">
        <v>4800</v>
      </c>
      <c r="H317" s="35">
        <v>0</v>
      </c>
      <c r="I317" s="35">
        <v>0</v>
      </c>
      <c r="J317" s="12" t="s">
        <v>89</v>
      </c>
      <c r="K317" s="18">
        <f>SUM(E317:J317)</f>
        <v>4800.0</v>
      </c>
      <c r="L317" s="18">
        <f>D317-K317</f>
        <v>0.0</v>
      </c>
      <c r="M317" s="12" t="s">
        <v>1779</v>
      </c>
      <c r="N317" s="12" t="str">
        <f>C317&amp;"|"&amp;A317</f>
        <v>001|2681128</v>
      </c>
    </row>
    <row r="318" spans="1:14">
      <c r="A318" s="12" t="s">
        <v>1225</v>
      </c>
      <c r="B318" s="12" t="s">
        <v>1227</v>
      </c>
      <c r="C318" s="12" t="s">
        <v>74</v>
      </c>
      <c r="D318" s="35">
        <v>12800</v>
      </c>
      <c r="E318" s="35">
        <v>0</v>
      </c>
      <c r="F318" s="35">
        <v>0</v>
      </c>
      <c r="G318" s="35">
        <v>12800</v>
      </c>
      <c r="H318" s="35">
        <v>0</v>
      </c>
      <c r="I318" s="35">
        <v>0</v>
      </c>
      <c r="J318" s="12" t="s">
        <v>89</v>
      </c>
      <c r="K318" s="18">
        <f>SUM(E318:J318)</f>
        <v>12800.0</v>
      </c>
      <c r="L318" s="18">
        <f>D318-K318</f>
        <v>0.0</v>
      </c>
      <c r="M318" s="12" t="s">
        <v>1779</v>
      </c>
      <c r="N318" s="12" t="str">
        <f>C318&amp;"|"&amp;A318</f>
        <v>001|2681129</v>
      </c>
    </row>
    <row r="319" spans="1:14">
      <c r="A319" s="12" t="s">
        <v>1228</v>
      </c>
      <c r="B319" s="12" t="s">
        <v>1230</v>
      </c>
      <c r="C319" s="12" t="s">
        <v>74</v>
      </c>
      <c r="D319" s="35">
        <v>57400</v>
      </c>
      <c r="E319" s="35">
        <v>0</v>
      </c>
      <c r="F319" s="35">
        <v>0</v>
      </c>
      <c r="G319" s="35">
        <v>57400</v>
      </c>
      <c r="H319" s="35">
        <v>0</v>
      </c>
      <c r="I319" s="35">
        <v>0</v>
      </c>
      <c r="J319" s="12" t="s">
        <v>89</v>
      </c>
      <c r="K319" s="18">
        <f>SUM(E319:J319)</f>
        <v>57400.0</v>
      </c>
      <c r="L319" s="18">
        <f>D319-K319</f>
        <v>0.0</v>
      </c>
      <c r="M319" s="12" t="s">
        <v>1779</v>
      </c>
      <c r="N319" s="12" t="str">
        <f>C319&amp;"|"&amp;A319</f>
        <v>001|2676435</v>
      </c>
    </row>
    <row r="320" spans="1:14">
      <c r="A320" s="12" t="s">
        <v>1231</v>
      </c>
      <c r="B320" s="12" t="s">
        <v>1233</v>
      </c>
      <c r="C320" s="12" t="s">
        <v>74</v>
      </c>
      <c r="D320" s="35">
        <v>5898</v>
      </c>
      <c r="E320" s="35">
        <v>0</v>
      </c>
      <c r="F320" s="35">
        <v>0</v>
      </c>
      <c r="G320" s="35">
        <v>5898</v>
      </c>
      <c r="H320" s="35">
        <v>0</v>
      </c>
      <c r="I320" s="35">
        <v>0</v>
      </c>
      <c r="J320" s="12" t="s">
        <v>89</v>
      </c>
      <c r="K320" s="18">
        <f>SUM(E320:J320)</f>
        <v>5898.0</v>
      </c>
      <c r="L320" s="18">
        <f>D320-K320</f>
        <v>0.0</v>
      </c>
      <c r="M320" s="12" t="s">
        <v>1779</v>
      </c>
      <c r="N320" s="12" t="str">
        <f>C320&amp;"|"&amp;A320</f>
        <v>001|2676436</v>
      </c>
    </row>
    <row r="321" spans="1:14">
      <c r="A321" s="12" t="s">
        <v>1234</v>
      </c>
      <c r="B321" s="12" t="s">
        <v>1236</v>
      </c>
      <c r="C321" s="12" t="s">
        <v>74</v>
      </c>
      <c r="D321" s="35">
        <v>3000</v>
      </c>
      <c r="E321" s="35">
        <v>0</v>
      </c>
      <c r="F321" s="35">
        <v>0</v>
      </c>
      <c r="G321" s="35">
        <v>3000</v>
      </c>
      <c r="H321" s="35">
        <v>0</v>
      </c>
      <c r="I321" s="35">
        <v>0</v>
      </c>
      <c r="J321" s="12" t="s">
        <v>89</v>
      </c>
      <c r="K321" s="18">
        <f>SUM(E321:J321)</f>
        <v>3000.0</v>
      </c>
      <c r="L321" s="18">
        <f>D321-K321</f>
        <v>0.0</v>
      </c>
      <c r="M321" s="12" t="s">
        <v>1779</v>
      </c>
      <c r="N321" s="12" t="str">
        <f>C321&amp;"|"&amp;A321</f>
        <v>001|2681276</v>
      </c>
    </row>
    <row r="322" spans="1:14">
      <c r="A322" s="12" t="s">
        <v>1237</v>
      </c>
      <c r="B322" s="12" t="s">
        <v>1239</v>
      </c>
      <c r="C322" s="12" t="s">
        <v>74</v>
      </c>
      <c r="D322" s="35">
        <v>87790</v>
      </c>
      <c r="E322" s="35">
        <v>0</v>
      </c>
      <c r="F322" s="35">
        <v>0</v>
      </c>
      <c r="G322" s="35">
        <v>87790</v>
      </c>
      <c r="H322" s="35">
        <v>0</v>
      </c>
      <c r="I322" s="35">
        <v>0</v>
      </c>
      <c r="J322" s="12" t="s">
        <v>89</v>
      </c>
      <c r="K322" s="18">
        <f>SUM(E322:J322)</f>
        <v>87790.0</v>
      </c>
      <c r="L322" s="18">
        <f>D322-K322</f>
        <v>0.0</v>
      </c>
      <c r="M322" s="12" t="s">
        <v>1779</v>
      </c>
      <c r="N322" s="12" t="str">
        <f>C322&amp;"|"&amp;A322</f>
        <v>001|2681132</v>
      </c>
    </row>
    <row r="323" spans="1:14">
      <c r="A323" s="12" t="s">
        <v>1240</v>
      </c>
      <c r="B323" s="12" t="s">
        <v>1242</v>
      </c>
      <c r="C323" s="12" t="s">
        <v>74</v>
      </c>
      <c r="D323" s="35">
        <v>14715</v>
      </c>
      <c r="E323" s="35">
        <v>0</v>
      </c>
      <c r="F323" s="35">
        <v>0</v>
      </c>
      <c r="G323" s="35">
        <v>14715</v>
      </c>
      <c r="H323" s="35">
        <v>0</v>
      </c>
      <c r="I323" s="35">
        <v>0</v>
      </c>
      <c r="J323" s="12" t="s">
        <v>89</v>
      </c>
      <c r="K323" s="18">
        <f>SUM(E323:J323)</f>
        <v>14715.0</v>
      </c>
      <c r="L323" s="18">
        <f>D323-K323</f>
        <v>0.0</v>
      </c>
      <c r="M323" s="12" t="s">
        <v>1779</v>
      </c>
      <c r="N323" s="12" t="str">
        <f>C323&amp;"|"&amp;A323</f>
        <v>001|2676433</v>
      </c>
    </row>
    <row r="324" spans="1:14">
      <c r="A324" s="12" t="s">
        <v>1243</v>
      </c>
      <c r="B324" s="12" t="s">
        <v>1245</v>
      </c>
      <c r="C324" s="12" t="s">
        <v>74</v>
      </c>
      <c r="D324" s="35">
        <v>159547</v>
      </c>
      <c r="E324" s="35">
        <v>0</v>
      </c>
      <c r="F324" s="35">
        <v>0</v>
      </c>
      <c r="G324" s="35">
        <v>159547</v>
      </c>
      <c r="H324" s="35">
        <v>0</v>
      </c>
      <c r="I324" s="35">
        <v>0</v>
      </c>
      <c r="J324" s="12" t="s">
        <v>89</v>
      </c>
      <c r="K324" s="18">
        <f>SUM(E324:J324)</f>
        <v>159547.0</v>
      </c>
      <c r="L324" s="18">
        <f>D324-K324</f>
        <v>0.0</v>
      </c>
      <c r="M324" s="12" t="s">
        <v>1779</v>
      </c>
      <c r="N324" s="12" t="str">
        <f>C324&amp;"|"&amp;A324</f>
        <v>001|2717148</v>
      </c>
    </row>
    <row r="325" spans="1:14">
      <c r="A325" s="12" t="s">
        <v>1246</v>
      </c>
      <c r="B325" s="12" t="s">
        <v>1248</v>
      </c>
      <c r="C325" s="12" t="s">
        <v>74</v>
      </c>
      <c r="D325" s="35">
        <v>158642</v>
      </c>
      <c r="E325" s="35">
        <v>0</v>
      </c>
      <c r="F325" s="35">
        <v>0</v>
      </c>
      <c r="G325" s="35">
        <v>158642</v>
      </c>
      <c r="H325" s="35">
        <v>0</v>
      </c>
      <c r="I325" s="35">
        <v>0</v>
      </c>
      <c r="J325" s="12" t="s">
        <v>89</v>
      </c>
      <c r="K325" s="18">
        <f>SUM(E325:J325)</f>
        <v>158642.0</v>
      </c>
      <c r="L325" s="18">
        <f>D325-K325</f>
        <v>0.0</v>
      </c>
      <c r="M325" s="12" t="s">
        <v>1779</v>
      </c>
      <c r="N325" s="12" t="str">
        <f>C325&amp;"|"&amp;A325</f>
        <v>001|2717149</v>
      </c>
    </row>
    <row r="326" spans="1:14">
      <c r="A326" s="12" t="s">
        <v>1249</v>
      </c>
      <c r="B326" s="12" t="s">
        <v>1251</v>
      </c>
      <c r="C326" s="12" t="s">
        <v>74</v>
      </c>
      <c r="D326" s="35">
        <v>159352</v>
      </c>
      <c r="E326" s="35">
        <v>0</v>
      </c>
      <c r="F326" s="35">
        <v>0</v>
      </c>
      <c r="G326" s="35">
        <v>159352</v>
      </c>
      <c r="H326" s="35">
        <v>0</v>
      </c>
      <c r="I326" s="35">
        <v>0</v>
      </c>
      <c r="J326" s="12" t="s">
        <v>89</v>
      </c>
      <c r="K326" s="18">
        <f>SUM(E326:J326)</f>
        <v>159352.0</v>
      </c>
      <c r="L326" s="18">
        <f>D326-K326</f>
        <v>0.0</v>
      </c>
      <c r="M326" s="12" t="s">
        <v>1779</v>
      </c>
      <c r="N326" s="12" t="str">
        <f>C326&amp;"|"&amp;A326</f>
        <v>001|2717152</v>
      </c>
    </row>
    <row r="327" spans="1:14">
      <c r="A327" s="12" t="s">
        <v>1252</v>
      </c>
      <c r="B327" s="12" t="s">
        <v>1254</v>
      </c>
      <c r="C327" s="12" t="s">
        <v>74</v>
      </c>
      <c r="D327" s="35">
        <v>159613</v>
      </c>
      <c r="E327" s="35">
        <v>0</v>
      </c>
      <c r="F327" s="35">
        <v>0</v>
      </c>
      <c r="G327" s="35">
        <v>159613</v>
      </c>
      <c r="H327" s="35">
        <v>0</v>
      </c>
      <c r="I327" s="35">
        <v>0</v>
      </c>
      <c r="J327" s="12" t="s">
        <v>89</v>
      </c>
      <c r="K327" s="18">
        <f>SUM(E327:J327)</f>
        <v>159613.0</v>
      </c>
      <c r="L327" s="18">
        <f>D327-K327</f>
        <v>0.0</v>
      </c>
      <c r="M327" s="12" t="s">
        <v>1779</v>
      </c>
      <c r="N327" s="12" t="str">
        <f>C327&amp;"|"&amp;A327</f>
        <v>001|2717153</v>
      </c>
    </row>
    <row r="328" spans="1:14">
      <c r="A328" s="12" t="s">
        <v>1255</v>
      </c>
      <c r="B328" s="12" t="s">
        <v>1257</v>
      </c>
      <c r="C328" s="12" t="s">
        <v>74</v>
      </c>
      <c r="D328" s="35">
        <v>159555</v>
      </c>
      <c r="E328" s="35">
        <v>0</v>
      </c>
      <c r="F328" s="35">
        <v>0</v>
      </c>
      <c r="G328" s="35">
        <v>159555</v>
      </c>
      <c r="H328" s="35">
        <v>0</v>
      </c>
      <c r="I328" s="35">
        <v>0</v>
      </c>
      <c r="J328" s="12" t="s">
        <v>89</v>
      </c>
      <c r="K328" s="18">
        <f>SUM(E328:J328)</f>
        <v>159555.0</v>
      </c>
      <c r="L328" s="18">
        <f>D328-K328</f>
        <v>0.0</v>
      </c>
      <c r="M328" s="12" t="s">
        <v>1779</v>
      </c>
      <c r="N328" s="12" t="str">
        <f>C328&amp;"|"&amp;A328</f>
        <v>001|2717154</v>
      </c>
    </row>
    <row r="329" spans="1:14">
      <c r="A329" s="12" t="s">
        <v>1258</v>
      </c>
      <c r="B329" s="12" t="s">
        <v>1260</v>
      </c>
      <c r="C329" s="12" t="s">
        <v>74</v>
      </c>
      <c r="D329" s="35">
        <v>154799</v>
      </c>
      <c r="E329" s="35">
        <v>0</v>
      </c>
      <c r="F329" s="35">
        <v>0</v>
      </c>
      <c r="G329" s="35">
        <v>154799</v>
      </c>
      <c r="H329" s="35">
        <v>0</v>
      </c>
      <c r="I329" s="35">
        <v>0</v>
      </c>
      <c r="J329" s="12" t="s">
        <v>89</v>
      </c>
      <c r="K329" s="18">
        <f>SUM(E329:J329)</f>
        <v>154799.0</v>
      </c>
      <c r="L329" s="18">
        <f>D329-K329</f>
        <v>0.0</v>
      </c>
      <c r="M329" s="12" t="s">
        <v>1779</v>
      </c>
      <c r="N329" s="12" t="str">
        <f>C329&amp;"|"&amp;A329</f>
        <v>001|2717155</v>
      </c>
    </row>
    <row r="330" spans="1:14">
      <c r="A330" s="12" t="s">
        <v>1261</v>
      </c>
      <c r="B330" s="12" t="s">
        <v>1263</v>
      </c>
      <c r="C330" s="12" t="s">
        <v>74</v>
      </c>
      <c r="D330" s="35">
        <v>155278</v>
      </c>
      <c r="E330" s="35">
        <v>0</v>
      </c>
      <c r="F330" s="35">
        <v>0</v>
      </c>
      <c r="G330" s="35">
        <v>155278</v>
      </c>
      <c r="H330" s="35">
        <v>0</v>
      </c>
      <c r="I330" s="35">
        <v>0</v>
      </c>
      <c r="J330" s="12" t="s">
        <v>89</v>
      </c>
      <c r="K330" s="18">
        <f>SUM(E330:J330)</f>
        <v>155278.0</v>
      </c>
      <c r="L330" s="18">
        <f>D330-K330</f>
        <v>0.0</v>
      </c>
      <c r="M330" s="12" t="s">
        <v>1779</v>
      </c>
      <c r="N330" s="12" t="str">
        <f>C330&amp;"|"&amp;A330</f>
        <v>001|2717159</v>
      </c>
    </row>
    <row r="331" spans="1:14">
      <c r="A331" s="12" t="s">
        <v>1264</v>
      </c>
      <c r="B331" s="12" t="s">
        <v>1266</v>
      </c>
      <c r="C331" s="12" t="s">
        <v>74</v>
      </c>
      <c r="D331" s="35">
        <v>159890</v>
      </c>
      <c r="E331" s="35">
        <v>0</v>
      </c>
      <c r="F331" s="35">
        <v>0</v>
      </c>
      <c r="G331" s="35">
        <v>159890</v>
      </c>
      <c r="H331" s="35">
        <v>0</v>
      </c>
      <c r="I331" s="35">
        <v>0</v>
      </c>
      <c r="J331" s="12" t="s">
        <v>89</v>
      </c>
      <c r="K331" s="18">
        <f>SUM(E331:J331)</f>
        <v>159890.0</v>
      </c>
      <c r="L331" s="18">
        <f>D331-K331</f>
        <v>0.0</v>
      </c>
      <c r="M331" s="12" t="s">
        <v>1779</v>
      </c>
      <c r="N331" s="12" t="str">
        <f>C331&amp;"|"&amp;A331</f>
        <v>001|2717160</v>
      </c>
    </row>
    <row r="332" spans="1:14">
      <c r="A332" s="12" t="s">
        <v>1267</v>
      </c>
      <c r="B332" s="12" t="s">
        <v>1269</v>
      </c>
      <c r="C332" s="12" t="s">
        <v>74</v>
      </c>
      <c r="D332" s="35">
        <v>159321</v>
      </c>
      <c r="E332" s="35">
        <v>0</v>
      </c>
      <c r="F332" s="35">
        <v>0</v>
      </c>
      <c r="G332" s="35">
        <v>159321</v>
      </c>
      <c r="H332" s="35">
        <v>0</v>
      </c>
      <c r="I332" s="35">
        <v>0</v>
      </c>
      <c r="J332" s="12" t="s">
        <v>89</v>
      </c>
      <c r="K332" s="18">
        <f>SUM(E332:J332)</f>
        <v>159321.0</v>
      </c>
      <c r="L332" s="18">
        <f>D332-K332</f>
        <v>0.0</v>
      </c>
      <c r="M332" s="12" t="s">
        <v>1779</v>
      </c>
      <c r="N332" s="12" t="str">
        <f>C332&amp;"|"&amp;A332</f>
        <v>001|2717162</v>
      </c>
    </row>
    <row r="333" spans="1:14">
      <c r="A333" s="12" t="s">
        <v>1270</v>
      </c>
      <c r="B333" s="12" t="s">
        <v>1272</v>
      </c>
      <c r="C333" s="12" t="s">
        <v>74</v>
      </c>
      <c r="D333" s="35">
        <v>146532</v>
      </c>
      <c r="E333" s="35">
        <v>0</v>
      </c>
      <c r="F333" s="35">
        <v>0</v>
      </c>
      <c r="G333" s="35">
        <v>146532</v>
      </c>
      <c r="H333" s="35">
        <v>0</v>
      </c>
      <c r="I333" s="35">
        <v>0</v>
      </c>
      <c r="J333" s="12" t="s">
        <v>89</v>
      </c>
      <c r="K333" s="18">
        <f>SUM(E333:J333)</f>
        <v>146532.0</v>
      </c>
      <c r="L333" s="18">
        <f>D333-K333</f>
        <v>0.0</v>
      </c>
      <c r="M333" s="12" t="s">
        <v>1779</v>
      </c>
      <c r="N333" s="12" t="str">
        <f>C333&amp;"|"&amp;A333</f>
        <v>001|2717165</v>
      </c>
    </row>
    <row r="334" spans="1:14">
      <c r="A334" s="12" t="s">
        <v>1273</v>
      </c>
      <c r="B334" s="12" t="s">
        <v>1275</v>
      </c>
      <c r="C334" s="12" t="s">
        <v>74</v>
      </c>
      <c r="D334" s="35">
        <v>155656</v>
      </c>
      <c r="E334" s="35">
        <v>0</v>
      </c>
      <c r="F334" s="35">
        <v>0</v>
      </c>
      <c r="G334" s="35">
        <v>155656</v>
      </c>
      <c r="H334" s="35">
        <v>0</v>
      </c>
      <c r="I334" s="35">
        <v>0</v>
      </c>
      <c r="J334" s="12" t="s">
        <v>89</v>
      </c>
      <c r="K334" s="18">
        <f>SUM(E334:J334)</f>
        <v>155656.0</v>
      </c>
      <c r="L334" s="18">
        <f>D334-K334</f>
        <v>0.0</v>
      </c>
      <c r="M334" s="12" t="s">
        <v>1779</v>
      </c>
      <c r="N334" s="12" t="str">
        <f>C334&amp;"|"&amp;A334</f>
        <v>001|2717166</v>
      </c>
    </row>
    <row r="335" spans="1:14">
      <c r="A335" s="12" t="s">
        <v>1276</v>
      </c>
      <c r="B335" s="12" t="s">
        <v>1278</v>
      </c>
      <c r="C335" s="12" t="s">
        <v>74</v>
      </c>
      <c r="D335" s="35">
        <v>159060</v>
      </c>
      <c r="E335" s="35">
        <v>0</v>
      </c>
      <c r="F335" s="35">
        <v>0</v>
      </c>
      <c r="G335" s="35">
        <v>159060</v>
      </c>
      <c r="H335" s="35">
        <v>0</v>
      </c>
      <c r="I335" s="35">
        <v>0</v>
      </c>
      <c r="J335" s="12" t="s">
        <v>89</v>
      </c>
      <c r="K335" s="18">
        <f>SUM(E335:J335)</f>
        <v>159060.0</v>
      </c>
      <c r="L335" s="18">
        <f>D335-K335</f>
        <v>0.0</v>
      </c>
      <c r="M335" s="12" t="s">
        <v>1779</v>
      </c>
      <c r="N335" s="12" t="str">
        <f>C335&amp;"|"&amp;A335</f>
        <v>001|2717167</v>
      </c>
    </row>
    <row r="336" spans="1:14">
      <c r="A336" s="12" t="s">
        <v>1279</v>
      </c>
      <c r="B336" s="12" t="s">
        <v>1281</v>
      </c>
      <c r="C336" s="12" t="s">
        <v>74</v>
      </c>
      <c r="D336" s="35">
        <v>159862</v>
      </c>
      <c r="E336" s="35">
        <v>0</v>
      </c>
      <c r="F336" s="35">
        <v>0</v>
      </c>
      <c r="G336" s="35">
        <v>159862</v>
      </c>
      <c r="H336" s="35">
        <v>0</v>
      </c>
      <c r="I336" s="35">
        <v>0</v>
      </c>
      <c r="J336" s="12" t="s">
        <v>89</v>
      </c>
      <c r="K336" s="18">
        <f>SUM(E336:J336)</f>
        <v>159862.0</v>
      </c>
      <c r="L336" s="18">
        <f>D336-K336</f>
        <v>0.0</v>
      </c>
      <c r="M336" s="12" t="s">
        <v>1779</v>
      </c>
      <c r="N336" s="12" t="str">
        <f>C336&amp;"|"&amp;A336</f>
        <v>001|2717168</v>
      </c>
    </row>
    <row r="337" spans="1:14">
      <c r="A337" s="12" t="s">
        <v>1282</v>
      </c>
      <c r="B337" s="12" t="s">
        <v>1284</v>
      </c>
      <c r="C337" s="12" t="s">
        <v>74</v>
      </c>
      <c r="D337" s="35">
        <v>157300</v>
      </c>
      <c r="E337" s="35">
        <v>0</v>
      </c>
      <c r="F337" s="35">
        <v>0</v>
      </c>
      <c r="G337" s="35">
        <v>157300</v>
      </c>
      <c r="H337" s="35">
        <v>0</v>
      </c>
      <c r="I337" s="35">
        <v>0</v>
      </c>
      <c r="J337" s="12" t="s">
        <v>89</v>
      </c>
      <c r="K337" s="18">
        <f>SUM(E337:J337)</f>
        <v>157300.0</v>
      </c>
      <c r="L337" s="18">
        <f>D337-K337</f>
        <v>0.0</v>
      </c>
      <c r="M337" s="12" t="s">
        <v>1779</v>
      </c>
      <c r="N337" s="12" t="str">
        <f>C337&amp;"|"&amp;A337</f>
        <v>001|2717170</v>
      </c>
    </row>
    <row r="338" spans="1:14">
      <c r="A338" s="12" t="s">
        <v>1285</v>
      </c>
      <c r="B338" s="12" t="s">
        <v>1287</v>
      </c>
      <c r="C338" s="12" t="s">
        <v>74</v>
      </c>
      <c r="D338" s="35">
        <v>159720</v>
      </c>
      <c r="E338" s="35">
        <v>0</v>
      </c>
      <c r="F338" s="35">
        <v>0</v>
      </c>
      <c r="G338" s="35">
        <v>159720</v>
      </c>
      <c r="H338" s="35">
        <v>0</v>
      </c>
      <c r="I338" s="35">
        <v>0</v>
      </c>
      <c r="J338" s="12" t="s">
        <v>89</v>
      </c>
      <c r="K338" s="18">
        <f>SUM(E338:J338)</f>
        <v>159720.0</v>
      </c>
      <c r="L338" s="18">
        <f>D338-K338</f>
        <v>0.0</v>
      </c>
      <c r="M338" s="12" t="s">
        <v>1779</v>
      </c>
      <c r="N338" s="12" t="str">
        <f>C338&amp;"|"&amp;A338</f>
        <v>001|2717171</v>
      </c>
    </row>
    <row r="339" spans="1:14">
      <c r="A339" s="12" t="s">
        <v>1288</v>
      </c>
      <c r="B339" s="12" t="s">
        <v>1290</v>
      </c>
      <c r="C339" s="12" t="s">
        <v>74</v>
      </c>
      <c r="D339" s="35">
        <v>159007</v>
      </c>
      <c r="E339" s="35">
        <v>0</v>
      </c>
      <c r="F339" s="35">
        <v>0</v>
      </c>
      <c r="G339" s="35">
        <v>159007</v>
      </c>
      <c r="H339" s="35">
        <v>0</v>
      </c>
      <c r="I339" s="35">
        <v>0</v>
      </c>
      <c r="J339" s="12" t="s">
        <v>89</v>
      </c>
      <c r="K339" s="18">
        <f>SUM(E339:J339)</f>
        <v>159007.0</v>
      </c>
      <c r="L339" s="18">
        <f>D339-K339</f>
        <v>0.0</v>
      </c>
      <c r="M339" s="12" t="s">
        <v>1779</v>
      </c>
      <c r="N339" s="12" t="str">
        <f>C339&amp;"|"&amp;A339</f>
        <v>001|2717174</v>
      </c>
    </row>
    <row r="340" spans="1:14">
      <c r="A340" s="12" t="s">
        <v>1291</v>
      </c>
      <c r="B340" s="12" t="s">
        <v>1293</v>
      </c>
      <c r="C340" s="12" t="s">
        <v>74</v>
      </c>
      <c r="D340" s="35">
        <v>159876</v>
      </c>
      <c r="E340" s="35">
        <v>0</v>
      </c>
      <c r="F340" s="35">
        <v>0</v>
      </c>
      <c r="G340" s="35">
        <v>159876</v>
      </c>
      <c r="H340" s="35">
        <v>0</v>
      </c>
      <c r="I340" s="35">
        <v>0</v>
      </c>
      <c r="J340" s="12" t="s">
        <v>89</v>
      </c>
      <c r="K340" s="18">
        <f>SUM(E340:J340)</f>
        <v>159876.0</v>
      </c>
      <c r="L340" s="18">
        <f>D340-K340</f>
        <v>0.0</v>
      </c>
      <c r="M340" s="12" t="s">
        <v>1779</v>
      </c>
      <c r="N340" s="12" t="str">
        <f>C340&amp;"|"&amp;A340</f>
        <v>001|2717176</v>
      </c>
    </row>
    <row r="341" spans="1:14">
      <c r="A341" s="12" t="s">
        <v>1294</v>
      </c>
      <c r="B341" s="12" t="s">
        <v>1296</v>
      </c>
      <c r="C341" s="12" t="s">
        <v>74</v>
      </c>
      <c r="D341" s="35">
        <v>158527</v>
      </c>
      <c r="E341" s="35">
        <v>0</v>
      </c>
      <c r="F341" s="35">
        <v>0</v>
      </c>
      <c r="G341" s="35">
        <v>158527</v>
      </c>
      <c r="H341" s="35">
        <v>0</v>
      </c>
      <c r="I341" s="35">
        <v>0</v>
      </c>
      <c r="J341" s="12" t="s">
        <v>89</v>
      </c>
      <c r="K341" s="18">
        <f>SUM(E341:J341)</f>
        <v>158527.0</v>
      </c>
      <c r="L341" s="18">
        <f>D341-K341</f>
        <v>0.0</v>
      </c>
      <c r="M341" s="12" t="s">
        <v>1779</v>
      </c>
      <c r="N341" s="12" t="str">
        <f>C341&amp;"|"&amp;A341</f>
        <v>001|2717179</v>
      </c>
    </row>
    <row r="342" spans="1:14">
      <c r="A342" s="12" t="s">
        <v>1297</v>
      </c>
      <c r="B342" s="12" t="s">
        <v>1299</v>
      </c>
      <c r="C342" s="12" t="s">
        <v>74</v>
      </c>
      <c r="D342" s="35">
        <v>158640</v>
      </c>
      <c r="E342" s="35">
        <v>0</v>
      </c>
      <c r="F342" s="35">
        <v>0</v>
      </c>
      <c r="G342" s="35">
        <v>158640</v>
      </c>
      <c r="H342" s="35">
        <v>0</v>
      </c>
      <c r="I342" s="35">
        <v>0</v>
      </c>
      <c r="J342" s="12" t="s">
        <v>89</v>
      </c>
      <c r="K342" s="18">
        <f>SUM(E342:J342)</f>
        <v>158640.0</v>
      </c>
      <c r="L342" s="18">
        <f>D342-K342</f>
        <v>0.0</v>
      </c>
      <c r="M342" s="12" t="s">
        <v>1779</v>
      </c>
      <c r="N342" s="12" t="str">
        <f>C342&amp;"|"&amp;A342</f>
        <v>001|2717180</v>
      </c>
    </row>
    <row r="343" spans="1:14">
      <c r="A343" s="12" t="s">
        <v>1300</v>
      </c>
      <c r="B343" s="12" t="s">
        <v>1302</v>
      </c>
      <c r="C343" s="12" t="s">
        <v>74</v>
      </c>
      <c r="D343" s="35">
        <v>159041</v>
      </c>
      <c r="E343" s="35">
        <v>0</v>
      </c>
      <c r="F343" s="35">
        <v>0</v>
      </c>
      <c r="G343" s="35">
        <v>159041</v>
      </c>
      <c r="H343" s="35">
        <v>0</v>
      </c>
      <c r="I343" s="35">
        <v>0</v>
      </c>
      <c r="J343" s="12" t="s">
        <v>89</v>
      </c>
      <c r="K343" s="18">
        <f>SUM(E343:J343)</f>
        <v>159041.0</v>
      </c>
      <c r="L343" s="18">
        <f>D343-K343</f>
        <v>0.0</v>
      </c>
      <c r="M343" s="12" t="s">
        <v>1779</v>
      </c>
      <c r="N343" s="12" t="str">
        <f>C343&amp;"|"&amp;A343</f>
        <v>001|2717184</v>
      </c>
    </row>
    <row r="344" spans="1:14">
      <c r="A344" s="12" t="s">
        <v>1303</v>
      </c>
      <c r="B344" s="12" t="s">
        <v>1305</v>
      </c>
      <c r="C344" s="12" t="s">
        <v>74</v>
      </c>
      <c r="D344" s="35">
        <v>159584</v>
      </c>
      <c r="E344" s="35">
        <v>0</v>
      </c>
      <c r="F344" s="35">
        <v>0</v>
      </c>
      <c r="G344" s="35">
        <v>159584</v>
      </c>
      <c r="H344" s="35">
        <v>0</v>
      </c>
      <c r="I344" s="35">
        <v>0</v>
      </c>
      <c r="J344" s="12" t="s">
        <v>89</v>
      </c>
      <c r="K344" s="18">
        <f>SUM(E344:J344)</f>
        <v>159584.0</v>
      </c>
      <c r="L344" s="18">
        <f>D344-K344</f>
        <v>0.0</v>
      </c>
      <c r="M344" s="12" t="s">
        <v>1779</v>
      </c>
      <c r="N344" s="12" t="str">
        <f>C344&amp;"|"&amp;A344</f>
        <v>001|2717187</v>
      </c>
    </row>
    <row r="345" spans="1:14">
      <c r="A345" s="12" t="s">
        <v>1306</v>
      </c>
      <c r="B345" s="12" t="s">
        <v>1308</v>
      </c>
      <c r="C345" s="12" t="s">
        <v>74</v>
      </c>
      <c r="D345" s="35">
        <v>159830</v>
      </c>
      <c r="E345" s="35">
        <v>0</v>
      </c>
      <c r="F345" s="35">
        <v>0</v>
      </c>
      <c r="G345" s="35">
        <v>159830</v>
      </c>
      <c r="H345" s="35">
        <v>0</v>
      </c>
      <c r="I345" s="35">
        <v>0</v>
      </c>
      <c r="J345" s="12" t="s">
        <v>89</v>
      </c>
      <c r="K345" s="18">
        <f>SUM(E345:J345)</f>
        <v>159830.0</v>
      </c>
      <c r="L345" s="18">
        <f>D345-K345</f>
        <v>0.0</v>
      </c>
      <c r="M345" s="12" t="s">
        <v>1779</v>
      </c>
      <c r="N345" s="12" t="str">
        <f>C345&amp;"|"&amp;A345</f>
        <v>001|2717190</v>
      </c>
    </row>
    <row r="346" spans="1:14">
      <c r="A346" s="12" t="s">
        <v>1309</v>
      </c>
      <c r="B346" s="12" t="s">
        <v>1311</v>
      </c>
      <c r="C346" s="12" t="s">
        <v>74</v>
      </c>
      <c r="D346" s="35">
        <v>159880</v>
      </c>
      <c r="E346" s="35">
        <v>0</v>
      </c>
      <c r="F346" s="35">
        <v>0</v>
      </c>
      <c r="G346" s="35">
        <v>159880</v>
      </c>
      <c r="H346" s="35">
        <v>0</v>
      </c>
      <c r="I346" s="35">
        <v>0</v>
      </c>
      <c r="J346" s="12" t="s">
        <v>89</v>
      </c>
      <c r="K346" s="18">
        <f>SUM(E346:J346)</f>
        <v>159880.0</v>
      </c>
      <c r="L346" s="18">
        <f>D346-K346</f>
        <v>0.0</v>
      </c>
      <c r="M346" s="12" t="s">
        <v>1779</v>
      </c>
      <c r="N346" s="12" t="str">
        <f>C346&amp;"|"&amp;A346</f>
        <v>001|2717191</v>
      </c>
    </row>
    <row r="347" spans="1:14">
      <c r="A347" s="12" t="s">
        <v>1312</v>
      </c>
      <c r="B347" s="12" t="s">
        <v>1314</v>
      </c>
      <c r="C347" s="12" t="s">
        <v>74</v>
      </c>
      <c r="D347" s="35">
        <v>159978</v>
      </c>
      <c r="E347" s="35">
        <v>0</v>
      </c>
      <c r="F347" s="35">
        <v>0</v>
      </c>
      <c r="G347" s="35">
        <v>159978</v>
      </c>
      <c r="H347" s="35">
        <v>0</v>
      </c>
      <c r="I347" s="35">
        <v>0</v>
      </c>
      <c r="J347" s="12" t="s">
        <v>89</v>
      </c>
      <c r="K347" s="18">
        <f>SUM(E347:J347)</f>
        <v>159978.0</v>
      </c>
      <c r="L347" s="18">
        <f>D347-K347</f>
        <v>0.0</v>
      </c>
      <c r="M347" s="12" t="s">
        <v>1779</v>
      </c>
      <c r="N347" s="12" t="str">
        <f>C347&amp;"|"&amp;A347</f>
        <v>001|2717181</v>
      </c>
    </row>
    <row r="348" spans="1:14">
      <c r="A348" s="12" t="s">
        <v>1315</v>
      </c>
      <c r="B348" s="12" t="s">
        <v>1317</v>
      </c>
      <c r="C348" s="12" t="s">
        <v>74</v>
      </c>
      <c r="D348" s="35">
        <v>44000</v>
      </c>
      <c r="E348" s="35">
        <v>0</v>
      </c>
      <c r="F348" s="35">
        <v>0</v>
      </c>
      <c r="G348" s="35">
        <v>44000</v>
      </c>
      <c r="H348" s="35">
        <v>0</v>
      </c>
      <c r="I348" s="35">
        <v>0</v>
      </c>
      <c r="J348" s="12" t="s">
        <v>89</v>
      </c>
      <c r="K348" s="18">
        <f>SUM(E348:J348)</f>
        <v>44000.0</v>
      </c>
      <c r="L348" s="18">
        <f>D348-K348</f>
        <v>0.0</v>
      </c>
      <c r="M348" s="12" t="s">
        <v>1779</v>
      </c>
      <c r="N348" s="12" t="str">
        <f>C348&amp;"|"&amp;A348</f>
        <v>001|2326588</v>
      </c>
    </row>
    <row r="349" spans="1:14">
      <c r="A349" s="12" t="s">
        <v>1318</v>
      </c>
      <c r="B349" s="12" t="s">
        <v>1320</v>
      </c>
      <c r="C349" s="12" t="s">
        <v>74</v>
      </c>
      <c r="D349" s="35">
        <v>2795</v>
      </c>
      <c r="E349" s="35">
        <v>0</v>
      </c>
      <c r="F349" s="35">
        <v>0</v>
      </c>
      <c r="G349" s="35">
        <v>2795</v>
      </c>
      <c r="H349" s="35">
        <v>0</v>
      </c>
      <c r="I349" s="35">
        <v>0</v>
      </c>
      <c r="J349" s="12" t="s">
        <v>89</v>
      </c>
      <c r="K349" s="18">
        <f>SUM(E349:J349)</f>
        <v>2795.0</v>
      </c>
      <c r="L349" s="18">
        <f>D349-K349</f>
        <v>0.0</v>
      </c>
      <c r="M349" s="12" t="s">
        <v>1779</v>
      </c>
      <c r="N349" s="12" t="str">
        <f>C349&amp;"|"&amp;A349</f>
        <v>001|2681133</v>
      </c>
    </row>
    <row r="350" spans="1:14">
      <c r="A350" s="12" t="s">
        <v>1322</v>
      </c>
      <c r="B350" s="12" t="s">
        <v>1324</v>
      </c>
      <c r="C350" s="12" t="s">
        <v>74</v>
      </c>
      <c r="D350" s="35">
        <v>179500</v>
      </c>
      <c r="E350" s="35">
        <v>0</v>
      </c>
      <c r="F350" s="35">
        <v>0</v>
      </c>
      <c r="G350" s="35">
        <v>179500</v>
      </c>
      <c r="H350" s="35">
        <v>0</v>
      </c>
      <c r="I350" s="35">
        <v>0</v>
      </c>
      <c r="J350" s="12" t="s">
        <v>89</v>
      </c>
      <c r="K350" s="18">
        <f>SUM(E350:J350)</f>
        <v>179500.0</v>
      </c>
      <c r="L350" s="18">
        <f>D350-K350</f>
        <v>0.0</v>
      </c>
      <c r="M350" s="12" t="s">
        <v>1779</v>
      </c>
      <c r="N350" s="12" t="str">
        <f>C350&amp;"|"&amp;A350</f>
        <v>001|2681278</v>
      </c>
    </row>
    <row r="351" spans="1:14">
      <c r="A351" s="12" t="s">
        <v>1325</v>
      </c>
      <c r="B351" s="12" t="s">
        <v>1327</v>
      </c>
      <c r="C351" s="12" t="s">
        <v>74</v>
      </c>
      <c r="D351" s="35">
        <v>175166</v>
      </c>
      <c r="E351" s="35">
        <v>0</v>
      </c>
      <c r="F351" s="35">
        <v>0</v>
      </c>
      <c r="G351" s="35">
        <v>175166</v>
      </c>
      <c r="H351" s="35">
        <v>0</v>
      </c>
      <c r="I351" s="35">
        <v>0</v>
      </c>
      <c r="J351" s="12" t="s">
        <v>89</v>
      </c>
      <c r="K351" s="18">
        <f>SUM(E351:J351)</f>
        <v>175166.0</v>
      </c>
      <c r="L351" s="18">
        <f>D351-K351</f>
        <v>0.0</v>
      </c>
      <c r="M351" s="12" t="s">
        <v>1779</v>
      </c>
      <c r="N351" s="12" t="str">
        <f>C351&amp;"|"&amp;A351</f>
        <v>001|2681123</v>
      </c>
    </row>
    <row r="352" spans="1:14">
      <c r="A352" s="12" t="s">
        <v>1328</v>
      </c>
      <c r="B352" s="12" t="s">
        <v>1330</v>
      </c>
      <c r="C352" s="12" t="s">
        <v>74</v>
      </c>
      <c r="D352" s="35">
        <v>349792</v>
      </c>
      <c r="E352" s="35">
        <v>0</v>
      </c>
      <c r="F352" s="35">
        <v>0</v>
      </c>
      <c r="G352" s="35">
        <v>349792</v>
      </c>
      <c r="H352" s="35">
        <v>0</v>
      </c>
      <c r="I352" s="35">
        <v>0</v>
      </c>
      <c r="J352" s="12" t="s">
        <v>89</v>
      </c>
      <c r="K352" s="18">
        <f>SUM(E352:J352)</f>
        <v>349792.0</v>
      </c>
      <c r="L352" s="18">
        <f>D352-K352</f>
        <v>0.0</v>
      </c>
      <c r="M352" s="12" t="s">
        <v>1779</v>
      </c>
      <c r="N352" s="12" t="str">
        <f>C352&amp;"|"&amp;A352</f>
        <v>001|2717185</v>
      </c>
    </row>
    <row r="353" spans="1:14">
      <c r="A353" s="12" t="s">
        <v>1331</v>
      </c>
      <c r="B353" s="12" t="s">
        <v>1333</v>
      </c>
      <c r="C353" s="12" t="s">
        <v>74</v>
      </c>
      <c r="D353" s="35">
        <v>349668</v>
      </c>
      <c r="E353" s="35">
        <v>0</v>
      </c>
      <c r="F353" s="35">
        <v>0</v>
      </c>
      <c r="G353" s="35">
        <v>349668</v>
      </c>
      <c r="H353" s="35">
        <v>0</v>
      </c>
      <c r="I353" s="35">
        <v>0</v>
      </c>
      <c r="J353" s="12" t="s">
        <v>89</v>
      </c>
      <c r="K353" s="18">
        <f>SUM(E353:J353)</f>
        <v>349668.0</v>
      </c>
      <c r="L353" s="18">
        <f>D353-K353</f>
        <v>0.0</v>
      </c>
      <c r="M353" s="12" t="s">
        <v>1779</v>
      </c>
      <c r="N353" s="12" t="str">
        <f>C353&amp;"|"&amp;A353</f>
        <v>001|2723300</v>
      </c>
    </row>
    <row r="354" spans="1:14">
      <c r="A354" s="12" t="s">
        <v>1335</v>
      </c>
      <c r="B354" s="12" t="s">
        <v>1337</v>
      </c>
      <c r="C354" s="12" t="s">
        <v>74</v>
      </c>
      <c r="D354" s="35">
        <v>5365</v>
      </c>
      <c r="E354" s="35">
        <v>0</v>
      </c>
      <c r="F354" s="35">
        <v>0</v>
      </c>
      <c r="G354" s="35">
        <v>5365</v>
      </c>
      <c r="H354" s="35">
        <v>0</v>
      </c>
      <c r="I354" s="35">
        <v>0</v>
      </c>
      <c r="J354" s="12" t="s">
        <v>89</v>
      </c>
      <c r="K354" s="18">
        <f>SUM(E354:J354)</f>
        <v>5365.0</v>
      </c>
      <c r="L354" s="18">
        <f>D354-K354</f>
        <v>0.0</v>
      </c>
      <c r="M354" s="12" t="s">
        <v>1779</v>
      </c>
      <c r="N354" s="12" t="str">
        <f>C354&amp;"|"&amp;A354</f>
        <v>001|2676422</v>
      </c>
    </row>
    <row r="355" spans="1:14">
      <c r="A355" s="12" t="s">
        <v>1338</v>
      </c>
      <c r="B355" s="12" t="s">
        <v>1340</v>
      </c>
      <c r="C355" s="12" t="s">
        <v>74</v>
      </c>
      <c r="D355" s="35">
        <v>335890</v>
      </c>
      <c r="E355" s="35">
        <v>0</v>
      </c>
      <c r="F355" s="35">
        <v>0</v>
      </c>
      <c r="G355" s="35">
        <v>335890</v>
      </c>
      <c r="H355" s="35">
        <v>0</v>
      </c>
      <c r="I355" s="35">
        <v>0</v>
      </c>
      <c r="J355" s="12" t="s">
        <v>89</v>
      </c>
      <c r="K355" s="18">
        <f>SUM(E355:J355)</f>
        <v>335890.0</v>
      </c>
      <c r="L355" s="18">
        <f>D355-K355</f>
        <v>0.0</v>
      </c>
      <c r="M355" s="12" t="s">
        <v>1779</v>
      </c>
      <c r="N355" s="12" t="str">
        <f>C355&amp;"|"&amp;A355</f>
        <v>001|2681274</v>
      </c>
    </row>
    <row r="356" spans="1:14">
      <c r="A356" s="12" t="s">
        <v>1341</v>
      </c>
      <c r="B356" s="12" t="s">
        <v>1343</v>
      </c>
      <c r="C356" s="12" t="s">
        <v>74</v>
      </c>
      <c r="D356" s="35">
        <v>157066</v>
      </c>
      <c r="E356" s="35">
        <v>0</v>
      </c>
      <c r="F356" s="35">
        <v>0</v>
      </c>
      <c r="G356" s="35">
        <v>157066</v>
      </c>
      <c r="H356" s="35">
        <v>0</v>
      </c>
      <c r="I356" s="35">
        <v>0</v>
      </c>
      <c r="J356" s="12" t="s">
        <v>89</v>
      </c>
      <c r="K356" s="18">
        <f>SUM(E356:J356)</f>
        <v>157066.0</v>
      </c>
      <c r="L356" s="18">
        <f>D356-K356</f>
        <v>0.0</v>
      </c>
      <c r="M356" s="12" t="s">
        <v>1779</v>
      </c>
      <c r="N356" s="12" t="str">
        <f>C356&amp;"|"&amp;A356</f>
        <v>001|2681130</v>
      </c>
    </row>
    <row r="357" spans="1:14">
      <c r="A357" s="12" t="s">
        <v>1344</v>
      </c>
      <c r="B357" s="12" t="s">
        <v>1346</v>
      </c>
      <c r="C357" s="12" t="s">
        <v>74</v>
      </c>
      <c r="D357" s="35">
        <v>159345</v>
      </c>
      <c r="E357" s="35">
        <v>0</v>
      </c>
      <c r="F357" s="35">
        <v>0</v>
      </c>
      <c r="G357" s="35">
        <v>159345</v>
      </c>
      <c r="H357" s="35">
        <v>0</v>
      </c>
      <c r="I357" s="35">
        <v>0</v>
      </c>
      <c r="J357" s="12" t="s">
        <v>89</v>
      </c>
      <c r="K357" s="18">
        <f>SUM(E357:J357)</f>
        <v>159345.0</v>
      </c>
      <c r="L357" s="18">
        <f>D357-K357</f>
        <v>0.0</v>
      </c>
      <c r="M357" s="12" t="s">
        <v>1779</v>
      </c>
      <c r="N357" s="12" t="str">
        <f>C357&amp;"|"&amp;A357</f>
        <v>001|2717150</v>
      </c>
    </row>
    <row r="358" spans="1:14">
      <c r="A358" s="12" t="s">
        <v>1347</v>
      </c>
      <c r="B358" s="12" t="s">
        <v>1349</v>
      </c>
      <c r="C358" s="12" t="s">
        <v>74</v>
      </c>
      <c r="D358" s="35">
        <v>160000</v>
      </c>
      <c r="E358" s="35">
        <v>0</v>
      </c>
      <c r="F358" s="35">
        <v>0</v>
      </c>
      <c r="G358" s="35">
        <v>160000</v>
      </c>
      <c r="H358" s="35">
        <v>0</v>
      </c>
      <c r="I358" s="35">
        <v>0</v>
      </c>
      <c r="J358" s="12" t="s">
        <v>89</v>
      </c>
      <c r="K358" s="18">
        <f>SUM(E358:J358)</f>
        <v>160000.0</v>
      </c>
      <c r="L358" s="18">
        <f>D358-K358</f>
        <v>0.0</v>
      </c>
      <c r="M358" s="12" t="s">
        <v>1779</v>
      </c>
      <c r="N358" s="12" t="str">
        <f>C358&amp;"|"&amp;A358</f>
        <v>001|2723295</v>
      </c>
    </row>
    <row r="359" spans="1:14">
      <c r="A359" s="12" t="s">
        <v>1350</v>
      </c>
      <c r="B359" s="12" t="s">
        <v>1352</v>
      </c>
      <c r="C359" s="12" t="s">
        <v>74</v>
      </c>
      <c r="D359" s="35">
        <v>141150</v>
      </c>
      <c r="E359" s="35">
        <v>0</v>
      </c>
      <c r="F359" s="35">
        <v>0</v>
      </c>
      <c r="G359" s="35">
        <v>141150</v>
      </c>
      <c r="H359" s="35">
        <v>0</v>
      </c>
      <c r="I359" s="35">
        <v>0</v>
      </c>
      <c r="J359" s="12" t="s">
        <v>89</v>
      </c>
      <c r="K359" s="18">
        <f>SUM(E359:J359)</f>
        <v>141150.0</v>
      </c>
      <c r="L359" s="18">
        <f>D359-K359</f>
        <v>0.0</v>
      </c>
      <c r="M359" s="12" t="s">
        <v>1779</v>
      </c>
      <c r="N359" s="12" t="str">
        <f>C359&amp;"|"&amp;A359</f>
        <v>001|2723301</v>
      </c>
    </row>
    <row r="360" spans="1:14">
      <c r="A360" s="12" t="s">
        <v>1353</v>
      </c>
      <c r="B360" s="12" t="s">
        <v>1355</v>
      </c>
      <c r="C360" s="12" t="s">
        <v>74</v>
      </c>
      <c r="D360" s="35">
        <v>350000</v>
      </c>
      <c r="E360" s="35">
        <v>0</v>
      </c>
      <c r="F360" s="35">
        <v>0</v>
      </c>
      <c r="G360" s="35">
        <v>350000</v>
      </c>
      <c r="H360" s="35">
        <v>0</v>
      </c>
      <c r="I360" s="35">
        <v>0</v>
      </c>
      <c r="J360" s="12" t="s">
        <v>89</v>
      </c>
      <c r="K360" s="18">
        <f>SUM(E360:J360)</f>
        <v>350000.0</v>
      </c>
      <c r="L360" s="18">
        <f>D360-K360</f>
        <v>0.0</v>
      </c>
      <c r="M360" s="12" t="s">
        <v>1779</v>
      </c>
      <c r="N360" s="12" t="str">
        <f>C360&amp;"|"&amp;A360</f>
        <v>001|2723299</v>
      </c>
    </row>
    <row r="361" spans="1:14">
      <c r="A361" s="12" t="s">
        <v>1358</v>
      </c>
      <c r="B361" s="12" t="s">
        <v>1360</v>
      </c>
      <c r="C361" s="12" t="s">
        <v>74</v>
      </c>
      <c r="D361" s="35">
        <v>10918999</v>
      </c>
      <c r="E361" s="35">
        <v>0</v>
      </c>
      <c r="F361" s="35">
        <v>0</v>
      </c>
      <c r="G361" s="35">
        <v>10918999</v>
      </c>
      <c r="H361" s="35">
        <v>0</v>
      </c>
      <c r="I361" s="35">
        <v>0</v>
      </c>
      <c r="J361" s="12" t="s">
        <v>89</v>
      </c>
      <c r="K361" s="18">
        <f>SUM(E361:J361)</f>
        <v>10918999.0</v>
      </c>
      <c r="L361" s="18">
        <f>D361-K361</f>
        <v>0.0</v>
      </c>
      <c r="M361" s="12" t="s">
        <v>1779</v>
      </c>
      <c r="N361" s="12" t="str">
        <f>C361&amp;"|"&amp;A361</f>
        <v>001|2183634</v>
      </c>
    </row>
    <row r="362" spans="1:14">
      <c r="A362" s="12" t="s">
        <v>1362</v>
      </c>
      <c r="B362" s="12" t="s">
        <v>1364</v>
      </c>
      <c r="C362" s="12" t="s">
        <v>74</v>
      </c>
      <c r="D362" s="35">
        <v>19658</v>
      </c>
      <c r="E362" s="35">
        <v>0</v>
      </c>
      <c r="F362" s="35">
        <v>0</v>
      </c>
      <c r="G362" s="35">
        <v>19658</v>
      </c>
      <c r="H362" s="35">
        <v>0</v>
      </c>
      <c r="I362" s="35">
        <v>0</v>
      </c>
      <c r="J362" s="12" t="s">
        <v>89</v>
      </c>
      <c r="K362" s="18">
        <f>SUM(E362:J362)</f>
        <v>19658.0</v>
      </c>
      <c r="L362" s="18">
        <f>D362-K362</f>
        <v>0.0</v>
      </c>
      <c r="M362" s="12" t="s">
        <v>1779</v>
      </c>
      <c r="N362" s="12" t="str">
        <f>C362&amp;"|"&amp;A362</f>
        <v>001|2532916</v>
      </c>
    </row>
    <row r="363" spans="1:14">
      <c r="A363" s="12" t="s">
        <v>1366</v>
      </c>
      <c r="B363" s="12" t="s">
        <v>1368</v>
      </c>
      <c r="C363" s="12" t="s">
        <v>74</v>
      </c>
      <c r="D363" s="35">
        <v>5182053</v>
      </c>
      <c r="E363" s="35">
        <v>0</v>
      </c>
      <c r="F363" s="35">
        <v>1464205</v>
      </c>
      <c r="G363" s="35">
        <v>3717848</v>
      </c>
      <c r="H363" s="35">
        <v>0</v>
      </c>
      <c r="I363" s="35">
        <v>0</v>
      </c>
      <c r="J363" s="12" t="s">
        <v>89</v>
      </c>
      <c r="K363" s="18">
        <f>SUM(E363:J363)</f>
        <v>5182053.0</v>
      </c>
      <c r="L363" s="18">
        <f>D363-K363</f>
        <v>0.0</v>
      </c>
      <c r="M363" s="12" t="s">
        <v>1779</v>
      </c>
      <c r="N363" s="12" t="str">
        <f>C363&amp;"|"&amp;A363</f>
        <v>001|2520451</v>
      </c>
    </row>
    <row r="364" spans="1:14">
      <c r="A364" s="12" t="s">
        <v>1369</v>
      </c>
      <c r="B364" s="12" t="s">
        <v>1371</v>
      </c>
      <c r="C364" s="12" t="s">
        <v>74</v>
      </c>
      <c r="D364" s="35">
        <v>1800000</v>
      </c>
      <c r="E364" s="35">
        <v>0</v>
      </c>
      <c r="F364" s="35">
        <v>0</v>
      </c>
      <c r="G364" s="35">
        <v>300000</v>
      </c>
      <c r="H364" s="35">
        <v>1500000</v>
      </c>
      <c r="I364" s="35">
        <v>0</v>
      </c>
      <c r="J364" s="12" t="s">
        <v>89</v>
      </c>
      <c r="K364" s="18">
        <f>SUM(E364:J364)</f>
        <v>1800000.0</v>
      </c>
      <c r="L364" s="18">
        <f>D364-K364</f>
        <v>0.0</v>
      </c>
      <c r="M364" s="12" t="s">
        <v>1779</v>
      </c>
      <c r="N364" s="12" t="str">
        <f>C364&amp;"|"&amp;A364</f>
        <v>001|2474102</v>
      </c>
    </row>
    <row r="365" spans="1:14">
      <c r="A365" s="12" t="s">
        <v>1373</v>
      </c>
      <c r="B365" s="12" t="s">
        <v>1375</v>
      </c>
      <c r="C365" s="12" t="s">
        <v>74</v>
      </c>
      <c r="D365" s="35">
        <v>32099</v>
      </c>
      <c r="E365" s="35">
        <v>0</v>
      </c>
      <c r="F365" s="35">
        <v>0</v>
      </c>
      <c r="G365" s="35">
        <v>32099</v>
      </c>
      <c r="H365" s="35">
        <v>0</v>
      </c>
      <c r="I365" s="35">
        <v>0</v>
      </c>
      <c r="J365" s="12" t="s">
        <v>89</v>
      </c>
      <c r="K365" s="18">
        <f>SUM(E365:J365)</f>
        <v>32099.0</v>
      </c>
      <c r="L365" s="18">
        <f>D365-K365</f>
        <v>0.0</v>
      </c>
      <c r="M365" s="12" t="s">
        <v>1779</v>
      </c>
      <c r="N365" s="12" t="str">
        <f>C365&amp;"|"&amp;A365</f>
        <v>001|2533866</v>
      </c>
    </row>
    <row r="366" spans="1:14">
      <c r="A366" s="12" t="s">
        <v>1376</v>
      </c>
      <c r="B366" s="12" t="s">
        <v>1378</v>
      </c>
      <c r="C366" s="12" t="s">
        <v>74</v>
      </c>
      <c r="D366" s="35">
        <v>30000</v>
      </c>
      <c r="E366" s="35">
        <v>0</v>
      </c>
      <c r="F366" s="35">
        <v>0</v>
      </c>
      <c r="G366" s="35">
        <v>30000</v>
      </c>
      <c r="H366" s="35">
        <v>0</v>
      </c>
      <c r="I366" s="35">
        <v>0</v>
      </c>
      <c r="J366" s="12" t="s">
        <v>89</v>
      </c>
      <c r="K366" s="18">
        <f>SUM(E366:J366)</f>
        <v>30000.0</v>
      </c>
      <c r="L366" s="18">
        <f>D366-K366</f>
        <v>0.0</v>
      </c>
      <c r="M366" s="12" t="s">
        <v>1779</v>
      </c>
      <c r="N366" s="12" t="str">
        <f>C366&amp;"|"&amp;A366</f>
        <v>001|2250970</v>
      </c>
    </row>
    <row r="367" spans="1:14">
      <c r="A367" s="12" t="s">
        <v>1379</v>
      </c>
      <c r="B367" s="12" t="s">
        <v>1381</v>
      </c>
      <c r="C367" s="12" t="s">
        <v>74</v>
      </c>
      <c r="D367" s="35">
        <v>90586</v>
      </c>
      <c r="E367" s="35">
        <v>0</v>
      </c>
      <c r="F367" s="35">
        <v>0</v>
      </c>
      <c r="G367" s="35">
        <v>90586</v>
      </c>
      <c r="H367" s="35">
        <v>0</v>
      </c>
      <c r="I367" s="35">
        <v>0</v>
      </c>
      <c r="J367" s="12" t="s">
        <v>89</v>
      </c>
      <c r="K367" s="18">
        <f>SUM(E367:J367)</f>
        <v>90586.0</v>
      </c>
      <c r="L367" s="18">
        <f>D367-K367</f>
        <v>0.0</v>
      </c>
      <c r="M367" s="12" t="s">
        <v>1779</v>
      </c>
      <c r="N367" s="12" t="str">
        <f>C367&amp;"|"&amp;A367</f>
        <v>001|2631070</v>
      </c>
    </row>
    <row r="368" spans="1:14">
      <c r="A368" s="12" t="s">
        <v>1382</v>
      </c>
      <c r="B368" s="12" t="s">
        <v>1384</v>
      </c>
      <c r="C368" s="12" t="s">
        <v>74</v>
      </c>
      <c r="D368" s="35">
        <v>0</v>
      </c>
      <c r="E368" s="35">
        <v>0</v>
      </c>
      <c r="F368" s="35">
        <v>0</v>
      </c>
      <c r="G368" s="35">
        <v>0</v>
      </c>
      <c r="H368" s="35">
        <v>0</v>
      </c>
      <c r="I368" s="35">
        <v>0</v>
      </c>
      <c r="J368" s="12" t="s">
        <v>89</v>
      </c>
      <c r="K368" s="18">
        <f>SUM(E368:J368)</f>
        <v>0.0</v>
      </c>
      <c r="L368" s="18">
        <f>D368-K368</f>
        <v>0.0</v>
      </c>
      <c r="M368" s="12" t="s">
        <v>1779</v>
      </c>
      <c r="N368" s="12" t="str">
        <f>C368&amp;"|"&amp;A368</f>
        <v>001|2549395</v>
      </c>
    </row>
    <row r="369" spans="1:14">
      <c r="A369" s="12" t="s">
        <v>1386</v>
      </c>
      <c r="B369" s="12" t="s">
        <v>1388</v>
      </c>
      <c r="C369" s="12" t="s">
        <v>74</v>
      </c>
      <c r="D369" s="35">
        <v>0</v>
      </c>
      <c r="E369" s="35">
        <v>0</v>
      </c>
      <c r="F369" s="35">
        <v>0</v>
      </c>
      <c r="G369" s="35">
        <v>0</v>
      </c>
      <c r="H369" s="35">
        <v>0</v>
      </c>
      <c r="I369" s="35">
        <v>0</v>
      </c>
      <c r="J369" s="12" t="s">
        <v>89</v>
      </c>
      <c r="K369" s="18">
        <f>SUM(E369:J369)</f>
        <v>0.0</v>
      </c>
      <c r="L369" s="18">
        <f>D369-K369</f>
        <v>0.0</v>
      </c>
      <c r="M369" s="12" t="s">
        <v>1779</v>
      </c>
      <c r="N369" s="12" t="str">
        <f>C369&amp;"|"&amp;A369</f>
        <v>001|2566295</v>
      </c>
    </row>
    <row r="370" spans="1:14">
      <c r="A370" s="12" t="s">
        <v>1389</v>
      </c>
      <c r="B370" s="12" t="s">
        <v>1391</v>
      </c>
      <c r="C370" s="12" t="s">
        <v>74</v>
      </c>
      <c r="D370" s="35">
        <v>70632</v>
      </c>
      <c r="E370" s="35">
        <v>0</v>
      </c>
      <c r="F370" s="35">
        <v>0</v>
      </c>
      <c r="G370" s="35">
        <v>70632</v>
      </c>
      <c r="H370" s="35">
        <v>0</v>
      </c>
      <c r="I370" s="35">
        <v>0</v>
      </c>
      <c r="J370" s="12" t="s">
        <v>89</v>
      </c>
      <c r="K370" s="18">
        <f>SUM(E370:J370)</f>
        <v>70632.0</v>
      </c>
      <c r="L370" s="18">
        <f>D370-K370</f>
        <v>0.0</v>
      </c>
      <c r="M370" s="12" t="s">
        <v>1779</v>
      </c>
      <c r="N370" s="12" t="str">
        <f>C370&amp;"|"&amp;A370</f>
        <v>001|2260735</v>
      </c>
    </row>
    <row r="371" spans="1:14">
      <c r="A371" s="12" t="s">
        <v>1393</v>
      </c>
      <c r="B371" s="12" t="s">
        <v>1395</v>
      </c>
      <c r="C371" s="12" t="s">
        <v>74</v>
      </c>
      <c r="D371" s="35">
        <v>11000</v>
      </c>
      <c r="E371" s="35">
        <v>0</v>
      </c>
      <c r="F371" s="35">
        <v>0</v>
      </c>
      <c r="G371" s="35">
        <v>11000</v>
      </c>
      <c r="H371" s="35">
        <v>0</v>
      </c>
      <c r="I371" s="35">
        <v>0</v>
      </c>
      <c r="J371" s="12" t="s">
        <v>89</v>
      </c>
      <c r="K371" s="18">
        <f>SUM(E371:J371)</f>
        <v>11000.0</v>
      </c>
      <c r="L371" s="18">
        <f>D371-K371</f>
        <v>0.0</v>
      </c>
      <c r="M371" s="12" t="s">
        <v>1779</v>
      </c>
      <c r="N371" s="12" t="str">
        <f>C371&amp;"|"&amp;A371</f>
        <v>001|2684838</v>
      </c>
    </row>
    <row r="372" spans="1:14">
      <c r="A372" s="12" t="s">
        <v>1397</v>
      </c>
      <c r="B372" s="12" t="s">
        <v>1399</v>
      </c>
      <c r="C372" s="12" t="s">
        <v>74</v>
      </c>
      <c r="D372" s="35">
        <v>550560</v>
      </c>
      <c r="E372" s="35">
        <v>0</v>
      </c>
      <c r="F372" s="35">
        <v>0</v>
      </c>
      <c r="G372" s="35">
        <v>550560</v>
      </c>
      <c r="H372" s="35">
        <v>0</v>
      </c>
      <c r="I372" s="35">
        <v>0</v>
      </c>
      <c r="J372" s="12" t="s">
        <v>89</v>
      </c>
      <c r="K372" s="18">
        <f>SUM(E372:J372)</f>
        <v>550560.0</v>
      </c>
      <c r="L372" s="18">
        <f>D372-K372</f>
        <v>0.0</v>
      </c>
      <c r="M372" s="12" t="s">
        <v>1779</v>
      </c>
      <c r="N372" s="12" t="str">
        <f>C372&amp;"|"&amp;A372</f>
        <v>001|2324613</v>
      </c>
    </row>
    <row r="373" spans="1:14">
      <c r="A373" s="12" t="s">
        <v>1402</v>
      </c>
      <c r="B373" s="12" t="s">
        <v>1404</v>
      </c>
      <c r="C373" s="12" t="s">
        <v>74</v>
      </c>
      <c r="D373" s="35">
        <v>12532522</v>
      </c>
      <c r="E373" s="35">
        <v>0</v>
      </c>
      <c r="F373" s="35">
        <v>0</v>
      </c>
      <c r="G373" s="35">
        <v>5000000</v>
      </c>
      <c r="H373" s="35">
        <v>7532522</v>
      </c>
      <c r="I373" s="35">
        <v>0</v>
      </c>
      <c r="J373" s="12" t="s">
        <v>89</v>
      </c>
      <c r="K373" s="18">
        <f>SUM(E373:J373)</f>
        <v>12532522.0</v>
      </c>
      <c r="L373" s="18">
        <f>D373-K373</f>
        <v>0.0</v>
      </c>
      <c r="M373" s="12" t="s">
        <v>1779</v>
      </c>
      <c r="N373" s="12" t="str">
        <f>C373&amp;"|"&amp;A373</f>
        <v>001|2603148</v>
      </c>
    </row>
    <row r="374" spans="1:14">
      <c r="A374" s="12" t="s">
        <v>1406</v>
      </c>
      <c r="B374" s="12" t="s">
        <v>1408</v>
      </c>
      <c r="C374" s="12" t="s">
        <v>74</v>
      </c>
      <c r="D374" s="35">
        <v>100000</v>
      </c>
      <c r="E374" s="35">
        <v>0</v>
      </c>
      <c r="F374" s="35">
        <v>0</v>
      </c>
      <c r="G374" s="35">
        <v>100000</v>
      </c>
      <c r="H374" s="35">
        <v>0</v>
      </c>
      <c r="I374" s="35">
        <v>0</v>
      </c>
      <c r="J374" s="12" t="s">
        <v>89</v>
      </c>
      <c r="K374" s="18">
        <f>SUM(E374:J374)</f>
        <v>100000.0</v>
      </c>
      <c r="L374" s="18">
        <f>D374-K374</f>
        <v>0.0</v>
      </c>
      <c r="M374" s="12" t="s">
        <v>1779</v>
      </c>
      <c r="N374" s="12" t="str">
        <f>C374&amp;"|"&amp;A374</f>
        <v>001|2603160</v>
      </c>
    </row>
    <row r="375" spans="1:14">
      <c r="A375" s="12" t="s">
        <v>1410</v>
      </c>
      <c r="B375" s="12" t="s">
        <v>1412</v>
      </c>
      <c r="C375" s="12" t="s">
        <v>74</v>
      </c>
      <c r="D375" s="35">
        <v>1332387</v>
      </c>
      <c r="E375" s="35">
        <v>0</v>
      </c>
      <c r="F375" s="35">
        <v>0</v>
      </c>
      <c r="G375" s="35">
        <v>1332387</v>
      </c>
      <c r="H375" s="35">
        <v>0</v>
      </c>
      <c r="I375" s="35">
        <v>0</v>
      </c>
      <c r="J375" s="12" t="s">
        <v>89</v>
      </c>
      <c r="K375" s="18">
        <f>SUM(E375:J375)</f>
        <v>1332387.0</v>
      </c>
      <c r="L375" s="18">
        <f>D375-K375</f>
        <v>0.0</v>
      </c>
      <c r="M375" s="12" t="s">
        <v>1779</v>
      </c>
      <c r="N375" s="12" t="str">
        <f>C375&amp;"|"&amp;A375</f>
        <v>001|2187217</v>
      </c>
    </row>
    <row r="376" spans="1:14">
      <c r="A376" s="12" t="s">
        <v>1414</v>
      </c>
      <c r="B376" s="12" t="s">
        <v>1416</v>
      </c>
      <c r="C376" s="12" t="s">
        <v>74</v>
      </c>
      <c r="D376" s="35">
        <v>4271598</v>
      </c>
      <c r="E376" s="35">
        <v>0</v>
      </c>
      <c r="F376" s="35">
        <v>0</v>
      </c>
      <c r="G376" s="35">
        <v>1500000</v>
      </c>
      <c r="H376" s="35">
        <v>2771598</v>
      </c>
      <c r="I376" s="35">
        <v>0</v>
      </c>
      <c r="J376" s="12" t="s">
        <v>89</v>
      </c>
      <c r="K376" s="18">
        <f>SUM(E376:J376)</f>
        <v>4271598.0</v>
      </c>
      <c r="L376" s="18">
        <f>D376-K376</f>
        <v>0.0</v>
      </c>
      <c r="M376" s="12" t="s">
        <v>1779</v>
      </c>
      <c r="N376" s="12" t="str">
        <f>C376&amp;"|"&amp;A376</f>
        <v>001|2603155</v>
      </c>
    </row>
    <row r="377" spans="1:14">
      <c r="A377" s="12" t="s">
        <v>1419</v>
      </c>
      <c r="B377" s="12" t="s">
        <v>1421</v>
      </c>
      <c r="C377" s="12" t="s">
        <v>74</v>
      </c>
      <c r="D377" s="35">
        <v>0</v>
      </c>
      <c r="E377" s="35">
        <v>0</v>
      </c>
      <c r="F377" s="35">
        <v>0</v>
      </c>
      <c r="G377" s="35">
        <v>0</v>
      </c>
      <c r="H377" s="35">
        <v>0</v>
      </c>
      <c r="I377" s="35">
        <v>0</v>
      </c>
      <c r="J377" s="12" t="s">
        <v>89</v>
      </c>
      <c r="K377" s="18">
        <f>SUM(E377:J377)</f>
        <v>0.0</v>
      </c>
      <c r="L377" s="18">
        <f>D377-K377</f>
        <v>0.0</v>
      </c>
      <c r="M377" s="12" t="s">
        <v>1779</v>
      </c>
      <c r="N377" s="12" t="str">
        <f>C377&amp;"|"&amp;A377</f>
        <v>001|2154443</v>
      </c>
    </row>
    <row r="378" spans="1:14">
      <c r="A378" s="12" t="s">
        <v>1423</v>
      </c>
      <c r="B378" s="12" t="s">
        <v>1425</v>
      </c>
      <c r="C378" s="12" t="s">
        <v>74</v>
      </c>
      <c r="D378" s="35">
        <v>0</v>
      </c>
      <c r="E378" s="35">
        <v>0</v>
      </c>
      <c r="F378" s="35">
        <v>0</v>
      </c>
      <c r="G378" s="35">
        <v>0</v>
      </c>
      <c r="H378" s="35">
        <v>0</v>
      </c>
      <c r="I378" s="35">
        <v>0</v>
      </c>
      <c r="J378" s="12" t="s">
        <v>89</v>
      </c>
      <c r="K378" s="18">
        <f>SUM(E378:J378)</f>
        <v>0.0</v>
      </c>
      <c r="L378" s="18">
        <f>D378-K378</f>
        <v>0.0</v>
      </c>
      <c r="M378" s="12" t="s">
        <v>1779</v>
      </c>
      <c r="N378" s="12" t="str">
        <f>C378&amp;"|"&amp;A378</f>
        <v>001|2159149</v>
      </c>
    </row>
    <row r="379" spans="1:14">
      <c r="A379" s="12" t="s">
        <v>1427</v>
      </c>
      <c r="B379" s="12" t="s">
        <v>1429</v>
      </c>
      <c r="C379" s="12" t="s">
        <v>74</v>
      </c>
      <c r="D379" s="35">
        <v>0</v>
      </c>
      <c r="E379" s="35">
        <v>0</v>
      </c>
      <c r="F379" s="35">
        <v>0</v>
      </c>
      <c r="G379" s="35">
        <v>0</v>
      </c>
      <c r="H379" s="35">
        <v>0</v>
      </c>
      <c r="I379" s="35">
        <v>0</v>
      </c>
      <c r="J379" s="12" t="s">
        <v>89</v>
      </c>
      <c r="K379" s="18">
        <f>SUM(E379:J379)</f>
        <v>0.0</v>
      </c>
      <c r="L379" s="18">
        <f>D379-K379</f>
        <v>0.0</v>
      </c>
      <c r="M379" s="12" t="s">
        <v>1779</v>
      </c>
      <c r="N379" s="12" t="str">
        <f>C379&amp;"|"&amp;A379</f>
        <v>001|2488048</v>
      </c>
    </row>
    <row r="380" spans="1:14">
      <c r="A380" s="12" t="s">
        <v>1431</v>
      </c>
      <c r="B380" s="12" t="s">
        <v>1433</v>
      </c>
      <c r="C380" s="12" t="s">
        <v>74</v>
      </c>
      <c r="D380" s="35">
        <v>0</v>
      </c>
      <c r="E380" s="35">
        <v>0</v>
      </c>
      <c r="F380" s="35">
        <v>0</v>
      </c>
      <c r="G380" s="35">
        <v>0</v>
      </c>
      <c r="H380" s="35">
        <v>0</v>
      </c>
      <c r="I380" s="35">
        <v>0</v>
      </c>
      <c r="J380" s="12" t="s">
        <v>89</v>
      </c>
      <c r="K380" s="18">
        <f>SUM(E380:J380)</f>
        <v>0.0</v>
      </c>
      <c r="L380" s="18">
        <f>D380-K380</f>
        <v>0.0</v>
      </c>
      <c r="M380" s="12" t="s">
        <v>1779</v>
      </c>
      <c r="N380" s="12" t="str">
        <f>C380&amp;"|"&amp;A380</f>
        <v>001|2544369</v>
      </c>
    </row>
    <row r="381" spans="1:14">
      <c r="A381" s="12" t="s">
        <v>1434</v>
      </c>
      <c r="B381" s="12" t="s">
        <v>1436</v>
      </c>
      <c r="C381" s="12" t="s">
        <v>74</v>
      </c>
      <c r="D381" s="35">
        <v>2390440</v>
      </c>
      <c r="E381" s="35">
        <v>0</v>
      </c>
      <c r="F381" s="35">
        <v>0</v>
      </c>
      <c r="G381" s="35">
        <v>2390440</v>
      </c>
      <c r="H381" s="35">
        <v>0</v>
      </c>
      <c r="I381" s="35">
        <v>0</v>
      </c>
      <c r="J381" s="12" t="s">
        <v>89</v>
      </c>
      <c r="K381" s="18">
        <f>SUM(E381:J381)</f>
        <v>2390440.0</v>
      </c>
      <c r="L381" s="18">
        <f>D381-K381</f>
        <v>0.0</v>
      </c>
      <c r="M381" s="12" t="s">
        <v>1779</v>
      </c>
      <c r="N381" s="12" t="str">
        <f>C381&amp;"|"&amp;A381</f>
        <v>001|2567368</v>
      </c>
    </row>
    <row r="382" spans="1:14">
      <c r="A382" s="12" t="s">
        <v>1437</v>
      </c>
      <c r="B382" s="12" t="s">
        <v>1439</v>
      </c>
      <c r="C382" s="12" t="s">
        <v>74</v>
      </c>
      <c r="D382" s="35">
        <v>20600</v>
      </c>
      <c r="E382" s="35">
        <v>0</v>
      </c>
      <c r="F382" s="35">
        <v>0</v>
      </c>
      <c r="G382" s="35">
        <v>20600</v>
      </c>
      <c r="H382" s="35">
        <v>0</v>
      </c>
      <c r="I382" s="35">
        <v>0</v>
      </c>
      <c r="J382" s="12" t="s">
        <v>89</v>
      </c>
      <c r="K382" s="18">
        <f>SUM(E382:J382)</f>
        <v>20600.0</v>
      </c>
      <c r="L382" s="18">
        <f>D382-K382</f>
        <v>0.0</v>
      </c>
      <c r="M382" s="12" t="s">
        <v>1779</v>
      </c>
      <c r="N382" s="12" t="str">
        <f>C382&amp;"|"&amp;A382</f>
        <v>001|2567375</v>
      </c>
    </row>
    <row r="383" spans="1:14">
      <c r="A383" s="12" t="s">
        <v>1441</v>
      </c>
      <c r="B383" s="12" t="s">
        <v>1443</v>
      </c>
      <c r="C383" s="12" t="s">
        <v>74</v>
      </c>
      <c r="D383" s="35">
        <v>3517960</v>
      </c>
      <c r="E383" s="35">
        <v>0</v>
      </c>
      <c r="F383" s="35">
        <v>1138241</v>
      </c>
      <c r="G383" s="35">
        <v>2379719</v>
      </c>
      <c r="H383" s="35">
        <v>0</v>
      </c>
      <c r="I383" s="35">
        <v>0</v>
      </c>
      <c r="J383" s="12" t="s">
        <v>89</v>
      </c>
      <c r="K383" s="18">
        <f>SUM(E383:J383)</f>
        <v>3517960.0</v>
      </c>
      <c r="L383" s="18">
        <f>D383-K383</f>
        <v>0.0</v>
      </c>
      <c r="M383" s="12" t="s">
        <v>1779</v>
      </c>
      <c r="N383" s="12" t="str">
        <f>C383&amp;"|"&amp;A383</f>
        <v>001|2600443</v>
      </c>
    </row>
    <row r="384" spans="1:14">
      <c r="A384" s="12" t="s">
        <v>1444</v>
      </c>
      <c r="B384" s="12" t="s">
        <v>1446</v>
      </c>
      <c r="C384" s="12" t="s">
        <v>74</v>
      </c>
      <c r="D384" s="35">
        <v>8043406</v>
      </c>
      <c r="E384" s="35">
        <v>0</v>
      </c>
      <c r="F384" s="35">
        <v>2800000</v>
      </c>
      <c r="G384" s="35">
        <v>5243406</v>
      </c>
      <c r="H384" s="35">
        <v>0</v>
      </c>
      <c r="I384" s="35">
        <v>0</v>
      </c>
      <c r="J384" s="12" t="s">
        <v>89</v>
      </c>
      <c r="K384" s="18">
        <f>SUM(E384:J384)</f>
        <v>8043406.0</v>
      </c>
      <c r="L384" s="18">
        <f>D384-K384</f>
        <v>0.0</v>
      </c>
      <c r="M384" s="12" t="s">
        <v>1779</v>
      </c>
      <c r="N384" s="12" t="str">
        <f>C384&amp;"|"&amp;A384</f>
        <v>001|2650340</v>
      </c>
    </row>
    <row r="385" spans="1:14">
      <c r="A385" s="12" t="s">
        <v>1447</v>
      </c>
      <c r="B385" s="12" t="s">
        <v>1449</v>
      </c>
      <c r="C385" s="12" t="s">
        <v>74</v>
      </c>
      <c r="D385" s="35">
        <v>31336</v>
      </c>
      <c r="E385" s="35">
        <v>0</v>
      </c>
      <c r="F385" s="35">
        <v>0</v>
      </c>
      <c r="G385" s="35">
        <v>31336</v>
      </c>
      <c r="H385" s="35">
        <v>0</v>
      </c>
      <c r="I385" s="35">
        <v>0</v>
      </c>
      <c r="J385" s="12" t="s">
        <v>89</v>
      </c>
      <c r="K385" s="18">
        <f>SUM(E385:J385)</f>
        <v>31336.0</v>
      </c>
      <c r="L385" s="18">
        <f>D385-K385</f>
        <v>0.0</v>
      </c>
      <c r="M385" s="12" t="s">
        <v>1779</v>
      </c>
      <c r="N385" s="12" t="str">
        <f>C385&amp;"|"&amp;A385</f>
        <v>001|2684028</v>
      </c>
    </row>
    <row r="386" spans="1:14">
      <c r="A386" s="12" t="s">
        <v>1451</v>
      </c>
      <c r="B386" s="12" t="s">
        <v>1453</v>
      </c>
      <c r="C386" s="12" t="s">
        <v>74</v>
      </c>
      <c r="D386" s="35">
        <v>1263865</v>
      </c>
      <c r="E386" s="35">
        <v>0</v>
      </c>
      <c r="F386" s="35">
        <v>1027163</v>
      </c>
      <c r="G386" s="35">
        <v>236702</v>
      </c>
      <c r="H386" s="35">
        <v>0</v>
      </c>
      <c r="I386" s="35">
        <v>0</v>
      </c>
      <c r="J386" s="12" t="s">
        <v>89</v>
      </c>
      <c r="K386" s="18">
        <f>SUM(E386:J386)</f>
        <v>1263865.0</v>
      </c>
      <c r="L386" s="18">
        <f>D386-K386</f>
        <v>0.0</v>
      </c>
      <c r="M386" s="12" t="s">
        <v>1779</v>
      </c>
      <c r="N386" s="12" t="str">
        <f>C386&amp;"|"&amp;A386</f>
        <v>001|2685776</v>
      </c>
    </row>
    <row r="387" spans="1:14">
      <c r="A387" s="12" t="s">
        <v>1454</v>
      </c>
      <c r="B387" s="12" t="s">
        <v>1456</v>
      </c>
      <c r="C387" s="12" t="s">
        <v>74</v>
      </c>
      <c r="D387" s="35">
        <v>8483998</v>
      </c>
      <c r="E387" s="35">
        <v>0</v>
      </c>
      <c r="F387" s="35">
        <v>0</v>
      </c>
      <c r="G387" s="35">
        <v>7233998</v>
      </c>
      <c r="H387" s="35">
        <v>1250000</v>
      </c>
      <c r="I387" s="35">
        <v>0</v>
      </c>
      <c r="J387" s="12" t="s">
        <v>89</v>
      </c>
      <c r="K387" s="18">
        <f>SUM(E387:J387)</f>
        <v>8483998.0</v>
      </c>
      <c r="L387" s="18">
        <f>D387-K387</f>
        <v>0.0</v>
      </c>
      <c r="M387" s="12" t="s">
        <v>1779</v>
      </c>
      <c r="N387" s="12" t="str">
        <f>C387&amp;"|"&amp;A387</f>
        <v>001|2694246</v>
      </c>
    </row>
    <row r="388" spans="1:14">
      <c r="A388" s="12" t="s">
        <v>1457</v>
      </c>
      <c r="B388" s="12" t="s">
        <v>1459</v>
      </c>
      <c r="C388" s="12" t="s">
        <v>74</v>
      </c>
      <c r="D388" s="35">
        <v>4219373</v>
      </c>
      <c r="E388" s="35">
        <v>0</v>
      </c>
      <c r="F388" s="35">
        <v>787495</v>
      </c>
      <c r="G388" s="35">
        <v>3431878</v>
      </c>
      <c r="H388" s="35">
        <v>0</v>
      </c>
      <c r="I388" s="35">
        <v>0</v>
      </c>
      <c r="J388" s="12" t="s">
        <v>89</v>
      </c>
      <c r="K388" s="18">
        <f>SUM(E388:J388)</f>
        <v>4219373.0</v>
      </c>
      <c r="L388" s="18">
        <f>D388-K388</f>
        <v>0.0</v>
      </c>
      <c r="M388" s="12" t="s">
        <v>1779</v>
      </c>
      <c r="N388" s="12" t="str">
        <f>C388&amp;"|"&amp;A388</f>
        <v>001|2611144</v>
      </c>
    </row>
    <row r="389" spans="1:14">
      <c r="A389" s="12" t="s">
        <v>1460</v>
      </c>
      <c r="B389" s="12" t="s">
        <v>1462</v>
      </c>
      <c r="C389" s="12" t="s">
        <v>74</v>
      </c>
      <c r="D389" s="35">
        <v>13926334</v>
      </c>
      <c r="E389" s="35">
        <v>0</v>
      </c>
      <c r="F389" s="35">
        <v>5457504</v>
      </c>
      <c r="G389" s="35">
        <v>4923830</v>
      </c>
      <c r="H389" s="35">
        <v>3545000</v>
      </c>
      <c r="I389" s="35">
        <v>0</v>
      </c>
      <c r="J389" s="12" t="s">
        <v>89</v>
      </c>
      <c r="K389" s="18">
        <f>SUM(E389:J389)</f>
        <v>13926334.0</v>
      </c>
      <c r="L389" s="18">
        <f>D389-K389</f>
        <v>0.0</v>
      </c>
      <c r="M389" s="12" t="s">
        <v>1779</v>
      </c>
      <c r="N389" s="12" t="str">
        <f>C389&amp;"|"&amp;A389</f>
        <v>001|2692290</v>
      </c>
    </row>
    <row r="390" spans="1:14">
      <c r="A390" s="12" t="s">
        <v>1463</v>
      </c>
      <c r="B390" s="12" t="s">
        <v>1465</v>
      </c>
      <c r="C390" s="12" t="s">
        <v>74</v>
      </c>
      <c r="D390" s="35">
        <v>1175365</v>
      </c>
      <c r="E390" s="35">
        <v>0</v>
      </c>
      <c r="F390" s="35">
        <v>0</v>
      </c>
      <c r="G390" s="35">
        <v>1044621</v>
      </c>
      <c r="H390" s="35">
        <v>130744</v>
      </c>
      <c r="I390" s="35">
        <v>0</v>
      </c>
      <c r="J390" s="12" t="s">
        <v>89</v>
      </c>
      <c r="K390" s="18">
        <f>SUM(E390:J390)</f>
        <v>1175365.0</v>
      </c>
      <c r="L390" s="18">
        <f>D390-K390</f>
        <v>0.0</v>
      </c>
      <c r="M390" s="12" t="s">
        <v>1779</v>
      </c>
      <c r="N390" s="12" t="str">
        <f>C390&amp;"|"&amp;A390</f>
        <v>001|2668521</v>
      </c>
    </row>
    <row r="391" spans="1:14">
      <c r="A391" s="12" t="s">
        <v>1466</v>
      </c>
      <c r="B391" s="12" t="s">
        <v>1468</v>
      </c>
      <c r="C391" s="12" t="s">
        <v>74</v>
      </c>
      <c r="D391" s="35">
        <v>392605</v>
      </c>
      <c r="E391" s="35">
        <v>0</v>
      </c>
      <c r="F391" s="35">
        <v>0</v>
      </c>
      <c r="G391" s="35">
        <v>392605</v>
      </c>
      <c r="H391" s="35">
        <v>0</v>
      </c>
      <c r="I391" s="35">
        <v>0</v>
      </c>
      <c r="J391" s="12" t="s">
        <v>89</v>
      </c>
      <c r="K391" s="18">
        <f>SUM(E391:J391)</f>
        <v>392605.0</v>
      </c>
      <c r="L391" s="18">
        <f>D391-K391</f>
        <v>0.0</v>
      </c>
      <c r="M391" s="12" t="s">
        <v>1779</v>
      </c>
      <c r="N391" s="12" t="str">
        <f>C391&amp;"|"&amp;A391</f>
        <v>001|2613817</v>
      </c>
    </row>
    <row r="392" spans="1:14">
      <c r="A392" s="12" t="s">
        <v>1470</v>
      </c>
      <c r="B392" s="12" t="s">
        <v>1472</v>
      </c>
      <c r="C392" s="12" t="s">
        <v>74</v>
      </c>
      <c r="D392" s="35">
        <v>167074</v>
      </c>
      <c r="E392" s="35">
        <v>0</v>
      </c>
      <c r="F392" s="35">
        <v>0</v>
      </c>
      <c r="G392" s="35">
        <v>167074</v>
      </c>
      <c r="H392" s="35">
        <v>0</v>
      </c>
      <c r="I392" s="35">
        <v>0</v>
      </c>
      <c r="J392" s="12" t="s">
        <v>89</v>
      </c>
      <c r="K392" s="18">
        <f>SUM(E392:J392)</f>
        <v>167074.0</v>
      </c>
      <c r="L392" s="18">
        <f>D392-K392</f>
        <v>0.0</v>
      </c>
      <c r="M392" s="12" t="s">
        <v>1779</v>
      </c>
      <c r="N392" s="12" t="str">
        <f>C392&amp;"|"&amp;A392</f>
        <v>001|2692846</v>
      </c>
    </row>
    <row r="393" spans="1:14">
      <c r="A393" s="12" t="s">
        <v>1473</v>
      </c>
      <c r="B393" s="12" t="s">
        <v>1475</v>
      </c>
      <c r="C393" s="12" t="s">
        <v>74</v>
      </c>
      <c r="D393" s="35">
        <v>2967206</v>
      </c>
      <c r="E393" s="35">
        <v>0</v>
      </c>
      <c r="F393" s="35">
        <v>0</v>
      </c>
      <c r="G393" s="35">
        <v>2967206</v>
      </c>
      <c r="H393" s="35">
        <v>0</v>
      </c>
      <c r="I393" s="35">
        <v>0</v>
      </c>
      <c r="J393" s="12" t="s">
        <v>89</v>
      </c>
      <c r="K393" s="18">
        <f>SUM(E393:J393)</f>
        <v>2967206.0</v>
      </c>
      <c r="L393" s="18">
        <f>D393-K393</f>
        <v>0.0</v>
      </c>
      <c r="M393" s="12" t="s">
        <v>1779</v>
      </c>
      <c r="N393" s="12" t="str">
        <f>C393&amp;"|"&amp;A393</f>
        <v>001|2691682</v>
      </c>
    </row>
    <row r="394" spans="1:14">
      <c r="A394" s="12" t="s">
        <v>1476</v>
      </c>
      <c r="B394" s="12" t="s">
        <v>1478</v>
      </c>
      <c r="C394" s="12" t="s">
        <v>74</v>
      </c>
      <c r="D394" s="35">
        <v>2040218</v>
      </c>
      <c r="E394" s="35">
        <v>0</v>
      </c>
      <c r="F394" s="35">
        <v>0</v>
      </c>
      <c r="G394" s="35">
        <v>2040218</v>
      </c>
      <c r="H394" s="35">
        <v>0</v>
      </c>
      <c r="I394" s="35">
        <v>0</v>
      </c>
      <c r="J394" s="12" t="s">
        <v>89</v>
      </c>
      <c r="K394" s="18">
        <f>SUM(E394:J394)</f>
        <v>2040218.0</v>
      </c>
      <c r="L394" s="18">
        <f>D394-K394</f>
        <v>0.0</v>
      </c>
      <c r="M394" s="12" t="s">
        <v>1779</v>
      </c>
      <c r="N394" s="12" t="str">
        <f>C394&amp;"|"&amp;A394</f>
        <v>001|2711034</v>
      </c>
    </row>
    <row r="395" spans="1:14">
      <c r="A395" s="12" t="s">
        <v>1481</v>
      </c>
      <c r="B395" s="12" t="s">
        <v>1483</v>
      </c>
      <c r="C395" s="12" t="s">
        <v>74</v>
      </c>
      <c r="D395" s="35">
        <v>3974680</v>
      </c>
      <c r="E395" s="35">
        <v>0</v>
      </c>
      <c r="F395" s="35">
        <v>0</v>
      </c>
      <c r="G395" s="35">
        <v>2900000</v>
      </c>
      <c r="H395" s="35">
        <v>1074680</v>
      </c>
      <c r="I395" s="35">
        <v>0</v>
      </c>
      <c r="J395" s="12" t="s">
        <v>89</v>
      </c>
      <c r="K395" s="18">
        <f>SUM(E395:J395)</f>
        <v>3974680.0</v>
      </c>
      <c r="L395" s="18">
        <f>D395-K395</f>
        <v>0.0</v>
      </c>
      <c r="M395" s="12" t="s">
        <v>1779</v>
      </c>
      <c r="N395" s="12" t="str">
        <f>C395&amp;"|"&amp;A395</f>
        <v>001|2693367</v>
      </c>
    </row>
    <row r="396" spans="1:14">
      <c r="A396" s="12" t="s">
        <v>1484</v>
      </c>
      <c r="B396" s="12" t="s">
        <v>1486</v>
      </c>
      <c r="C396" s="12" t="s">
        <v>74</v>
      </c>
      <c r="D396" s="35">
        <v>80738</v>
      </c>
      <c r="E396" s="35">
        <v>0</v>
      </c>
      <c r="F396" s="35">
        <v>0</v>
      </c>
      <c r="G396" s="35">
        <v>80738</v>
      </c>
      <c r="H396" s="35">
        <v>0</v>
      </c>
      <c r="I396" s="35">
        <v>0</v>
      </c>
      <c r="J396" s="12" t="s">
        <v>89</v>
      </c>
      <c r="K396" s="18">
        <f>SUM(E396:J396)</f>
        <v>80738.0</v>
      </c>
      <c r="L396" s="18">
        <f>D396-K396</f>
        <v>0.0</v>
      </c>
      <c r="M396" s="12" t="s">
        <v>1779</v>
      </c>
      <c r="N396" s="12" t="str">
        <f>C396&amp;"|"&amp;A396</f>
        <v>001|2707256</v>
      </c>
    </row>
    <row r="397" spans="1:14">
      <c r="A397" s="12" t="s">
        <v>1490</v>
      </c>
      <c r="B397" s="12" t="s">
        <v>1492</v>
      </c>
      <c r="C397" s="12" t="s">
        <v>74</v>
      </c>
      <c r="D397" s="35">
        <v>13758</v>
      </c>
      <c r="E397" s="35">
        <v>0</v>
      </c>
      <c r="F397" s="35">
        <v>0</v>
      </c>
      <c r="G397" s="35">
        <v>13758</v>
      </c>
      <c r="H397" s="35">
        <v>0</v>
      </c>
      <c r="I397" s="35">
        <v>0</v>
      </c>
      <c r="J397" s="12" t="s">
        <v>89</v>
      </c>
      <c r="K397" s="18">
        <f>SUM(E397:J397)</f>
        <v>13758.0</v>
      </c>
      <c r="L397" s="18">
        <f>D397-K397</f>
        <v>0.0</v>
      </c>
      <c r="M397" s="12" t="s">
        <v>1779</v>
      </c>
      <c r="N397" s="12" t="str">
        <f>C397&amp;"|"&amp;A397</f>
        <v>001|2531093</v>
      </c>
    </row>
    <row r="398" spans="1:14">
      <c r="A398" s="12" t="s">
        <v>1493</v>
      </c>
      <c r="B398" s="12" t="s">
        <v>1495</v>
      </c>
      <c r="C398" s="12" t="s">
        <v>74</v>
      </c>
      <c r="D398" s="35">
        <v>10277</v>
      </c>
      <c r="E398" s="35">
        <v>0</v>
      </c>
      <c r="F398" s="35">
        <v>0</v>
      </c>
      <c r="G398" s="35">
        <v>10277</v>
      </c>
      <c r="H398" s="35">
        <v>0</v>
      </c>
      <c r="I398" s="35">
        <v>0</v>
      </c>
      <c r="J398" s="12" t="s">
        <v>89</v>
      </c>
      <c r="K398" s="18">
        <f>SUM(E398:J398)</f>
        <v>10277.0</v>
      </c>
      <c r="L398" s="18">
        <f>D398-K398</f>
        <v>0.0</v>
      </c>
      <c r="M398" s="12" t="s">
        <v>1779</v>
      </c>
      <c r="N398" s="12" t="str">
        <f>C398&amp;"|"&amp;A398</f>
        <v>001|2639523</v>
      </c>
    </row>
    <row r="399" spans="1:14">
      <c r="A399" s="12" t="s">
        <v>1496</v>
      </c>
      <c r="B399" s="12" t="s">
        <v>1498</v>
      </c>
      <c r="C399" s="12" t="s">
        <v>74</v>
      </c>
      <c r="D399" s="35">
        <v>114255</v>
      </c>
      <c r="E399" s="35">
        <v>0</v>
      </c>
      <c r="F399" s="35">
        <v>0</v>
      </c>
      <c r="G399" s="35">
        <v>114255</v>
      </c>
      <c r="H399" s="35">
        <v>0</v>
      </c>
      <c r="I399" s="35">
        <v>0</v>
      </c>
      <c r="J399" s="12" t="s">
        <v>89</v>
      </c>
      <c r="K399" s="18">
        <f>SUM(E399:J399)</f>
        <v>114255.0</v>
      </c>
      <c r="L399" s="18">
        <f>D399-K399</f>
        <v>0.0</v>
      </c>
      <c r="M399" s="12" t="s">
        <v>1779</v>
      </c>
      <c r="N399" s="12" t="str">
        <f>C399&amp;"|"&amp;A399</f>
        <v>001|2695768</v>
      </c>
    </row>
    <row r="400" spans="1:14">
      <c r="A400" s="12" t="s">
        <v>1500</v>
      </c>
      <c r="B400" s="12" t="s">
        <v>1502</v>
      </c>
      <c r="C400" s="12" t="s">
        <v>74</v>
      </c>
      <c r="D400" s="35">
        <v>36445</v>
      </c>
      <c r="E400" s="35">
        <v>0</v>
      </c>
      <c r="F400" s="35">
        <v>0</v>
      </c>
      <c r="G400" s="35">
        <v>36445</v>
      </c>
      <c r="H400" s="35">
        <v>0</v>
      </c>
      <c r="I400" s="35">
        <v>0</v>
      </c>
      <c r="J400" s="12" t="s">
        <v>89</v>
      </c>
      <c r="K400" s="18">
        <f>SUM(E400:J400)</f>
        <v>36445.0</v>
      </c>
      <c r="L400" s="18">
        <f>D400-K400</f>
        <v>0.0</v>
      </c>
      <c r="M400" s="12" t="s">
        <v>1779</v>
      </c>
      <c r="N400" s="12" t="str">
        <f>C400&amp;"|"&amp;A400</f>
        <v>001|2694640</v>
      </c>
    </row>
    <row r="401" spans="1:14">
      <c r="A401" s="12" t="s">
        <v>1505</v>
      </c>
      <c r="B401" s="12" t="s">
        <v>1507</v>
      </c>
      <c r="C401" s="12" t="s">
        <v>74</v>
      </c>
      <c r="D401" s="35">
        <v>39485</v>
      </c>
      <c r="E401" s="35">
        <v>0</v>
      </c>
      <c r="F401" s="35">
        <v>0</v>
      </c>
      <c r="G401" s="35">
        <v>39485</v>
      </c>
      <c r="H401" s="35">
        <v>0</v>
      </c>
      <c r="I401" s="35">
        <v>0</v>
      </c>
      <c r="J401" s="12" t="s">
        <v>89</v>
      </c>
      <c r="K401" s="18">
        <f>SUM(E401:J401)</f>
        <v>39485.0</v>
      </c>
      <c r="L401" s="18">
        <f>D401-K401</f>
        <v>0.0</v>
      </c>
      <c r="M401" s="12" t="s">
        <v>1779</v>
      </c>
      <c r="N401" s="12" t="str">
        <f>C401&amp;"|"&amp;A401</f>
        <v>001|2694772</v>
      </c>
    </row>
    <row r="402" spans="1:14">
      <c r="A402" s="12" t="s">
        <v>1510</v>
      </c>
      <c r="B402" s="12" t="s">
        <v>1512</v>
      </c>
      <c r="C402" s="12" t="s">
        <v>74</v>
      </c>
      <c r="D402" s="35">
        <v>25610</v>
      </c>
      <c r="E402" s="35">
        <v>0</v>
      </c>
      <c r="F402" s="35">
        <v>0</v>
      </c>
      <c r="G402" s="35">
        <v>25610</v>
      </c>
      <c r="H402" s="35">
        <v>0</v>
      </c>
      <c r="I402" s="35">
        <v>0</v>
      </c>
      <c r="J402" s="12" t="s">
        <v>89</v>
      </c>
      <c r="K402" s="18">
        <f>SUM(E402:J402)</f>
        <v>25610.0</v>
      </c>
      <c r="L402" s="18">
        <f>D402-K402</f>
        <v>0.0</v>
      </c>
      <c r="M402" s="12" t="s">
        <v>1779</v>
      </c>
      <c r="N402" s="12" t="str">
        <f>C402&amp;"|"&amp;A402</f>
        <v>001|2733644</v>
      </c>
    </row>
    <row r="403" spans="1:14">
      <c r="A403" s="12" t="s">
        <v>1513</v>
      </c>
      <c r="B403" s="12" t="s">
        <v>1515</v>
      </c>
      <c r="C403" s="12" t="s">
        <v>74</v>
      </c>
      <c r="D403" s="35">
        <v>3254770</v>
      </c>
      <c r="E403" s="35">
        <v>0</v>
      </c>
      <c r="F403" s="35">
        <v>3254770</v>
      </c>
      <c r="G403" s="35">
        <v>0</v>
      </c>
      <c r="H403" s="35">
        <v>0</v>
      </c>
      <c r="I403" s="35">
        <v>0</v>
      </c>
      <c r="J403" s="12" t="s">
        <v>89</v>
      </c>
      <c r="K403" s="18">
        <f>SUM(E403:J403)</f>
        <v>3254770.0</v>
      </c>
      <c r="L403" s="18">
        <f>D403-K403</f>
        <v>0.0</v>
      </c>
      <c r="M403" s="12" t="s">
        <v>1779</v>
      </c>
      <c r="N403" s="12" t="str">
        <f>C403&amp;"|"&amp;A403</f>
        <v>001|2721991</v>
      </c>
    </row>
    <row r="404" spans="1:14">
      <c r="A404" s="12" t="s">
        <v>1519</v>
      </c>
      <c r="B404" s="12" t="s">
        <v>1521</v>
      </c>
      <c r="C404" s="12" t="s">
        <v>74</v>
      </c>
      <c r="D404" s="35">
        <v>1007572</v>
      </c>
      <c r="E404" s="35">
        <v>0</v>
      </c>
      <c r="F404" s="35">
        <v>1007572</v>
      </c>
      <c r="G404" s="35">
        <v>0</v>
      </c>
      <c r="H404" s="35">
        <v>0</v>
      </c>
      <c r="I404" s="35">
        <v>0</v>
      </c>
      <c r="J404" s="12" t="s">
        <v>89</v>
      </c>
      <c r="K404" s="18">
        <f>SUM(E404:J404)</f>
        <v>1007572.0</v>
      </c>
      <c r="L404" s="18">
        <f>D404-K404</f>
        <v>0.0</v>
      </c>
      <c r="M404" s="12" t="s">
        <v>1779</v>
      </c>
      <c r="N404" s="12" t="str">
        <f>C404&amp;"|"&amp;A404</f>
        <v>001|2721892</v>
      </c>
    </row>
    <row r="405" spans="1:14">
      <c r="A405" s="12" t="s">
        <v>1523</v>
      </c>
      <c r="B405" s="12" t="s">
        <v>1525</v>
      </c>
      <c r="C405" s="12" t="s">
        <v>74</v>
      </c>
      <c r="D405" s="35">
        <v>1688098</v>
      </c>
      <c r="E405" s="35">
        <v>0</v>
      </c>
      <c r="F405" s="35">
        <v>1688098</v>
      </c>
      <c r="G405" s="35">
        <v>0</v>
      </c>
      <c r="H405" s="35">
        <v>0</v>
      </c>
      <c r="I405" s="35">
        <v>0</v>
      </c>
      <c r="J405" s="12" t="s">
        <v>89</v>
      </c>
      <c r="K405" s="18">
        <f>SUM(E405:J405)</f>
        <v>1688098.0</v>
      </c>
      <c r="L405" s="18">
        <f>D405-K405</f>
        <v>0.0</v>
      </c>
      <c r="M405" s="12" t="s">
        <v>1779</v>
      </c>
      <c r="N405" s="12" t="str">
        <f>C405&amp;"|"&amp;A405</f>
        <v>001|2719529</v>
      </c>
    </row>
    <row r="406" spans="1:14">
      <c r="A406" s="12" t="s">
        <v>1527</v>
      </c>
      <c r="B406" s="12" t="s">
        <v>1529</v>
      </c>
      <c r="C406" s="12" t="s">
        <v>74</v>
      </c>
      <c r="D406" s="35">
        <v>680748</v>
      </c>
      <c r="E406" s="35">
        <v>0</v>
      </c>
      <c r="F406" s="35">
        <v>680748</v>
      </c>
      <c r="G406" s="35">
        <v>0</v>
      </c>
      <c r="H406" s="35">
        <v>0</v>
      </c>
      <c r="I406" s="35">
        <v>0</v>
      </c>
      <c r="J406" s="12" t="s">
        <v>89</v>
      </c>
      <c r="K406" s="18">
        <f>SUM(E406:J406)</f>
        <v>680748.0</v>
      </c>
      <c r="L406" s="18">
        <f>D406-K406</f>
        <v>0.0</v>
      </c>
      <c r="M406" s="12" t="s">
        <v>1779</v>
      </c>
      <c r="N406" s="12" t="str">
        <f>C406&amp;"|"&amp;A406</f>
        <v>001|2723359</v>
      </c>
    </row>
    <row r="407" spans="1:14">
      <c r="A407" s="12" t="s">
        <v>1531</v>
      </c>
      <c r="B407" s="12" t="s">
        <v>1533</v>
      </c>
      <c r="C407" s="12" t="s">
        <v>74</v>
      </c>
      <c r="D407" s="35">
        <v>670100</v>
      </c>
      <c r="E407" s="35">
        <v>0</v>
      </c>
      <c r="F407" s="35">
        <v>670100</v>
      </c>
      <c r="G407" s="35">
        <v>0</v>
      </c>
      <c r="H407" s="35">
        <v>0</v>
      </c>
      <c r="I407" s="35">
        <v>0</v>
      </c>
      <c r="J407" s="12" t="s">
        <v>89</v>
      </c>
      <c r="K407" s="18">
        <f>SUM(E407:J407)</f>
        <v>670100.0</v>
      </c>
      <c r="L407" s="18">
        <f>D407-K407</f>
        <v>0.0</v>
      </c>
      <c r="M407" s="12" t="s">
        <v>1779</v>
      </c>
      <c r="N407" s="12" t="str">
        <f>C407&amp;"|"&amp;A407</f>
        <v>001|2721888</v>
      </c>
    </row>
    <row r="408" spans="1:14">
      <c r="A408" s="12" t="s">
        <v>1535</v>
      </c>
      <c r="B408" s="12" t="s">
        <v>1537</v>
      </c>
      <c r="C408" s="12" t="s">
        <v>74</v>
      </c>
      <c r="D408" s="35">
        <v>388514</v>
      </c>
      <c r="E408" s="35">
        <v>0</v>
      </c>
      <c r="F408" s="35">
        <v>388514</v>
      </c>
      <c r="G408" s="35">
        <v>0</v>
      </c>
      <c r="H408" s="35">
        <v>0</v>
      </c>
      <c r="I408" s="35">
        <v>0</v>
      </c>
      <c r="J408" s="12" t="s">
        <v>89</v>
      </c>
      <c r="K408" s="18">
        <f>SUM(E408:J408)</f>
        <v>388514.0</v>
      </c>
      <c r="L408" s="18">
        <f>D408-K408</f>
        <v>0.0</v>
      </c>
      <c r="M408" s="12" t="s">
        <v>1779</v>
      </c>
      <c r="N408" s="12" t="str">
        <f>C408&amp;"|"&amp;A408</f>
        <v>001|2721886</v>
      </c>
    </row>
    <row r="409" spans="1:14">
      <c r="A409" s="12" t="s">
        <v>1539</v>
      </c>
      <c r="B409" s="12" t="s">
        <v>1541</v>
      </c>
      <c r="C409" s="12" t="s">
        <v>74</v>
      </c>
      <c r="D409" s="35">
        <v>542416</v>
      </c>
      <c r="E409" s="35">
        <v>0</v>
      </c>
      <c r="F409" s="35">
        <v>542416</v>
      </c>
      <c r="G409" s="35">
        <v>0</v>
      </c>
      <c r="H409" s="35">
        <v>0</v>
      </c>
      <c r="I409" s="35">
        <v>0</v>
      </c>
      <c r="J409" s="12" t="s">
        <v>89</v>
      </c>
      <c r="K409" s="18">
        <f>SUM(E409:J409)</f>
        <v>542416.0</v>
      </c>
      <c r="L409" s="18">
        <f>D409-K409</f>
        <v>0.0</v>
      </c>
      <c r="M409" s="12" t="s">
        <v>1779</v>
      </c>
      <c r="N409" s="12" t="str">
        <f>C409&amp;"|"&amp;A409</f>
        <v>001|2721889</v>
      </c>
    </row>
    <row r="410" spans="1:14">
      <c r="A410" s="12" t="s">
        <v>1543</v>
      </c>
      <c r="B410" s="12" t="s">
        <v>1545</v>
      </c>
      <c r="C410" s="12" t="s">
        <v>74</v>
      </c>
      <c r="D410" s="35">
        <v>928545</v>
      </c>
      <c r="E410" s="35">
        <v>0</v>
      </c>
      <c r="F410" s="35">
        <v>928545</v>
      </c>
      <c r="G410" s="35">
        <v>0</v>
      </c>
      <c r="H410" s="35">
        <v>0</v>
      </c>
      <c r="I410" s="35">
        <v>0</v>
      </c>
      <c r="J410" s="12" t="s">
        <v>89</v>
      </c>
      <c r="K410" s="18">
        <f>SUM(E410:J410)</f>
        <v>928545.0</v>
      </c>
      <c r="L410" s="18">
        <f>D410-K410</f>
        <v>0.0</v>
      </c>
      <c r="M410" s="12" t="s">
        <v>1779</v>
      </c>
      <c r="N410" s="12" t="str">
        <f>C410&amp;"|"&amp;A410</f>
        <v>001|2729834</v>
      </c>
    </row>
    <row r="411" spans="1:14">
      <c r="A411" s="12" t="s">
        <v>1547</v>
      </c>
      <c r="B411" s="12" t="s">
        <v>1549</v>
      </c>
      <c r="C411" s="12" t="s">
        <v>74</v>
      </c>
      <c r="D411" s="35">
        <v>70059</v>
      </c>
      <c r="E411" s="35">
        <v>0</v>
      </c>
      <c r="F411" s="35">
        <v>0</v>
      </c>
      <c r="G411" s="35">
        <v>70059</v>
      </c>
      <c r="H411" s="35">
        <v>0</v>
      </c>
      <c r="I411" s="35">
        <v>0</v>
      </c>
      <c r="J411" s="12" t="s">
        <v>89</v>
      </c>
      <c r="K411" s="18">
        <f>SUM(E411:J411)</f>
        <v>70059.0</v>
      </c>
      <c r="L411" s="18">
        <f>D411-K411</f>
        <v>0.0</v>
      </c>
      <c r="M411" s="12" t="s">
        <v>1779</v>
      </c>
      <c r="N411" s="12" t="str">
        <f>C411&amp;"|"&amp;A411</f>
        <v>001|2693441</v>
      </c>
    </row>
    <row r="412" spans="1:14">
      <c r="A412" s="12" t="s">
        <v>1551</v>
      </c>
      <c r="B412" s="12" t="s">
        <v>1553</v>
      </c>
      <c r="C412" s="12" t="s">
        <v>74</v>
      </c>
      <c r="D412" s="35">
        <v>100785</v>
      </c>
      <c r="E412" s="35">
        <v>0</v>
      </c>
      <c r="F412" s="35">
        <v>0</v>
      </c>
      <c r="G412" s="35">
        <v>100785</v>
      </c>
      <c r="H412" s="35">
        <v>0</v>
      </c>
      <c r="I412" s="35">
        <v>0</v>
      </c>
      <c r="J412" s="12" t="s">
        <v>89</v>
      </c>
      <c r="K412" s="18">
        <f>SUM(E412:J412)</f>
        <v>100785.0</v>
      </c>
      <c r="L412" s="18">
        <f>D412-K412</f>
        <v>0.0</v>
      </c>
      <c r="M412" s="12" t="s">
        <v>1779</v>
      </c>
      <c r="N412" s="12" t="str">
        <f>C412&amp;"|"&amp;A412</f>
        <v>001|2692840</v>
      </c>
    </row>
    <row r="413" spans="1:14">
      <c r="A413" s="12" t="s">
        <v>1555</v>
      </c>
      <c r="B413" s="12" t="s">
        <v>1557</v>
      </c>
      <c r="C413" s="12" t="s">
        <v>74</v>
      </c>
      <c r="D413" s="35">
        <v>195079</v>
      </c>
      <c r="E413" s="35">
        <v>0</v>
      </c>
      <c r="F413" s="35">
        <v>0</v>
      </c>
      <c r="G413" s="35">
        <v>195079</v>
      </c>
      <c r="H413" s="35">
        <v>0</v>
      </c>
      <c r="I413" s="35">
        <v>0</v>
      </c>
      <c r="J413" s="12" t="s">
        <v>89</v>
      </c>
      <c r="K413" s="18">
        <f>SUM(E413:J413)</f>
        <v>195079.0</v>
      </c>
      <c r="L413" s="18">
        <f>D413-K413</f>
        <v>0.0</v>
      </c>
      <c r="M413" s="12" t="s">
        <v>1779</v>
      </c>
      <c r="N413" s="12" t="str">
        <f>C413&amp;"|"&amp;A413</f>
        <v>001|2699544</v>
      </c>
    </row>
    <row r="414" spans="1:14">
      <c r="A414" s="12" t="s">
        <v>1558</v>
      </c>
      <c r="B414" s="12" t="s">
        <v>1560</v>
      </c>
      <c r="C414" s="12" t="s">
        <v>74</v>
      </c>
      <c r="D414" s="35">
        <v>6654893</v>
      </c>
      <c r="E414" s="35">
        <v>0</v>
      </c>
      <c r="F414" s="35">
        <v>0</v>
      </c>
      <c r="G414" s="35">
        <v>2593837</v>
      </c>
      <c r="H414" s="35">
        <v>4061056</v>
      </c>
      <c r="I414" s="35">
        <v>0</v>
      </c>
      <c r="J414" s="12" t="s">
        <v>89</v>
      </c>
      <c r="K414" s="18">
        <f>SUM(E414:J414)</f>
        <v>6654893.0</v>
      </c>
      <c r="L414" s="18">
        <f>D414-K414</f>
        <v>0.0</v>
      </c>
      <c r="M414" s="12" t="s">
        <v>1779</v>
      </c>
      <c r="N414" s="12" t="str">
        <f>C414&amp;"|"&amp;A414</f>
        <v>001|2683535</v>
      </c>
    </row>
    <row r="415" spans="1:14">
      <c r="A415" s="12" t="s">
        <v>1561</v>
      </c>
      <c r="B415" s="12" t="s">
        <v>1563</v>
      </c>
      <c r="C415" s="12" t="s">
        <v>74</v>
      </c>
      <c r="D415" s="35">
        <v>5281360</v>
      </c>
      <c r="E415" s="35">
        <v>0</v>
      </c>
      <c r="F415" s="35">
        <v>180000</v>
      </c>
      <c r="G415" s="35">
        <v>5101360</v>
      </c>
      <c r="H415" s="35">
        <v>0</v>
      </c>
      <c r="I415" s="35">
        <v>0</v>
      </c>
      <c r="J415" s="12" t="s">
        <v>89</v>
      </c>
      <c r="K415" s="18">
        <f>SUM(E415:J415)</f>
        <v>5281360.0</v>
      </c>
      <c r="L415" s="18">
        <f>D415-K415</f>
        <v>0.0</v>
      </c>
      <c r="M415" s="12" t="s">
        <v>1779</v>
      </c>
      <c r="N415" s="12" t="str">
        <f>C415&amp;"|"&amp;A415</f>
        <v>001|2685431</v>
      </c>
    </row>
    <row r="416" spans="1:14">
      <c r="A416" s="12" t="s">
        <v>1564</v>
      </c>
      <c r="B416" s="12" t="s">
        <v>1566</v>
      </c>
      <c r="C416" s="12" t="s">
        <v>74</v>
      </c>
      <c r="D416" s="35">
        <v>0</v>
      </c>
      <c r="E416" s="35">
        <v>0</v>
      </c>
      <c r="F416" s="35">
        <v>0</v>
      </c>
      <c r="G416" s="35">
        <v>0</v>
      </c>
      <c r="H416" s="35">
        <v>0</v>
      </c>
      <c r="I416" s="35">
        <v>0</v>
      </c>
      <c r="J416" s="12" t="s">
        <v>89</v>
      </c>
      <c r="K416" s="18">
        <f>SUM(E416:J416)</f>
        <v>0.0</v>
      </c>
      <c r="L416" s="18">
        <f>D416-K416</f>
        <v>0.0</v>
      </c>
      <c r="M416" s="12" t="s">
        <v>1779</v>
      </c>
      <c r="N416" s="12" t="str">
        <f>C416&amp;"|"&amp;A416</f>
        <v>001|2608728</v>
      </c>
    </row>
    <row r="417" spans="1:14">
      <c r="A417" s="12" t="s">
        <v>1569</v>
      </c>
      <c r="B417" s="12" t="s">
        <v>1571</v>
      </c>
      <c r="C417" s="12" t="s">
        <v>74</v>
      </c>
      <c r="D417" s="35">
        <v>7151039</v>
      </c>
      <c r="E417" s="35">
        <v>0</v>
      </c>
      <c r="F417" s="35">
        <v>0</v>
      </c>
      <c r="G417" s="35">
        <v>6717555</v>
      </c>
      <c r="H417" s="35">
        <v>433484</v>
      </c>
      <c r="I417" s="35">
        <v>0</v>
      </c>
      <c r="J417" s="12" t="s">
        <v>89</v>
      </c>
      <c r="K417" s="18">
        <f>SUM(E417:J417)</f>
        <v>7151039.0</v>
      </c>
      <c r="L417" s="18">
        <f>D417-K417</f>
        <v>0.0</v>
      </c>
      <c r="M417" s="12" t="s">
        <v>1779</v>
      </c>
      <c r="N417" s="12" t="str">
        <f>C417&amp;"|"&amp;A417</f>
        <v>001|2001621</v>
      </c>
    </row>
    <row r="418" spans="1:14">
      <c r="A418" s="12" t="s">
        <v>1584</v>
      </c>
      <c r="B418" s="12" t="s">
        <v>1586</v>
      </c>
      <c r="C418" s="12" t="s">
        <v>74</v>
      </c>
      <c r="D418" s="35">
        <v>282553</v>
      </c>
      <c r="E418" s="35">
        <v>0</v>
      </c>
      <c r="F418" s="35">
        <v>0</v>
      </c>
      <c r="G418" s="35">
        <v>282553</v>
      </c>
      <c r="H418" s="35">
        <v>0</v>
      </c>
      <c r="I418" s="35">
        <v>0</v>
      </c>
      <c r="J418" s="12" t="s">
        <v>89</v>
      </c>
      <c r="K418" s="18">
        <f>SUM(E418:J418)</f>
        <v>282553.0</v>
      </c>
      <c r="L418" s="18">
        <f>D418-K418</f>
        <v>0.0</v>
      </c>
      <c r="M418" s="12" t="s">
        <v>1779</v>
      </c>
      <c r="N418" s="12" t="str">
        <f>C418&amp;"|"&amp;A418</f>
        <v>001|2662519</v>
      </c>
    </row>
    <row r="419" spans="1:14">
      <c r="A419" s="12" t="s">
        <v>1588</v>
      </c>
      <c r="B419" s="12" t="s">
        <v>1590</v>
      </c>
      <c r="C419" s="12" t="s">
        <v>74</v>
      </c>
      <c r="D419" s="35">
        <v>271707</v>
      </c>
      <c r="E419" s="35">
        <v>0</v>
      </c>
      <c r="F419" s="35">
        <v>0</v>
      </c>
      <c r="G419" s="35">
        <v>271707</v>
      </c>
      <c r="H419" s="35">
        <v>0</v>
      </c>
      <c r="I419" s="35">
        <v>0</v>
      </c>
      <c r="J419" s="12" t="s">
        <v>89</v>
      </c>
      <c r="K419" s="18">
        <f>SUM(E419:J419)</f>
        <v>271707.0</v>
      </c>
      <c r="L419" s="18">
        <f>D419-K419</f>
        <v>0.0</v>
      </c>
      <c r="M419" s="12" t="s">
        <v>1779</v>
      </c>
      <c r="N419" s="12" t="str">
        <f>C419&amp;"|"&amp;A419</f>
        <v>001|2699546</v>
      </c>
    </row>
    <row r="420" spans="1:14">
      <c r="A420" s="12" t="s">
        <v>1593</v>
      </c>
      <c r="B420" s="12" t="s">
        <v>1595</v>
      </c>
      <c r="C420" s="12" t="s">
        <v>74</v>
      </c>
      <c r="D420" s="35">
        <v>218556</v>
      </c>
      <c r="E420" s="35">
        <v>0</v>
      </c>
      <c r="F420" s="35">
        <v>0</v>
      </c>
      <c r="G420" s="35">
        <v>218556</v>
      </c>
      <c r="H420" s="35">
        <v>0</v>
      </c>
      <c r="I420" s="35">
        <v>0</v>
      </c>
      <c r="J420" s="12" t="s">
        <v>89</v>
      </c>
      <c r="K420" s="18">
        <f>SUM(E420:J420)</f>
        <v>218556.0</v>
      </c>
      <c r="L420" s="18">
        <f>D420-K420</f>
        <v>0.0</v>
      </c>
      <c r="M420" s="12" t="s">
        <v>1779</v>
      </c>
      <c r="N420" s="12" t="str">
        <f>C420&amp;"|"&amp;A420</f>
        <v>001|2617364</v>
      </c>
    </row>
    <row r="421" spans="1:14">
      <c r="A421" s="12" t="s">
        <v>1600</v>
      </c>
      <c r="B421" s="12" t="s">
        <v>1602</v>
      </c>
      <c r="C421" s="12" t="s">
        <v>74</v>
      </c>
      <c r="D421" s="35">
        <v>100000</v>
      </c>
      <c r="E421" s="35">
        <v>0</v>
      </c>
      <c r="F421" s="35">
        <v>0</v>
      </c>
      <c r="G421" s="35">
        <v>0</v>
      </c>
      <c r="H421" s="35">
        <v>100000</v>
      </c>
      <c r="I421" s="35">
        <v>0</v>
      </c>
      <c r="J421" s="12" t="s">
        <v>89</v>
      </c>
      <c r="K421" s="18">
        <f>SUM(E421:J421)</f>
        <v>100000.0</v>
      </c>
      <c r="L421" s="18">
        <f>D421-K421</f>
        <v>0.0</v>
      </c>
      <c r="M421" s="12" t="s">
        <v>1779</v>
      </c>
      <c r="N421" s="12" t="str">
        <f>C421&amp;"|"&amp;A421</f>
        <v>001|2681141</v>
      </c>
    </row>
    <row r="422" spans="1:14">
      <c r="A422" s="12" t="s">
        <v>1603</v>
      </c>
      <c r="B422" s="12" t="s">
        <v>1605</v>
      </c>
      <c r="C422" s="12" t="s">
        <v>74</v>
      </c>
      <c r="D422" s="35">
        <v>20166</v>
      </c>
      <c r="E422" s="35">
        <v>0</v>
      </c>
      <c r="F422" s="35">
        <v>0</v>
      </c>
      <c r="G422" s="35">
        <v>20166</v>
      </c>
      <c r="H422" s="35">
        <v>0</v>
      </c>
      <c r="I422" s="35">
        <v>0</v>
      </c>
      <c r="J422" s="12" t="s">
        <v>89</v>
      </c>
      <c r="K422" s="18">
        <f>SUM(E422:J422)</f>
        <v>20166.0</v>
      </c>
      <c r="L422" s="18">
        <f>D422-K422</f>
        <v>0.0</v>
      </c>
      <c r="M422" s="12" t="s">
        <v>1779</v>
      </c>
      <c r="N422" s="12" t="str">
        <f>C422&amp;"|"&amp;A422</f>
        <v>001|2231037</v>
      </c>
    </row>
    <row r="423" spans="1:14">
      <c r="A423" s="12" t="s">
        <v>1610</v>
      </c>
      <c r="B423" s="12" t="s">
        <v>1611</v>
      </c>
      <c r="C423" s="12" t="s">
        <v>1607</v>
      </c>
      <c r="D423" s="35">
        <v>2417454</v>
      </c>
      <c r="E423" s="35">
        <v>0</v>
      </c>
      <c r="F423" s="35">
        <v>0</v>
      </c>
      <c r="G423" s="35">
        <v>2417454</v>
      </c>
      <c r="H423" s="35">
        <v>0</v>
      </c>
      <c r="I423" s="35">
        <v>0</v>
      </c>
      <c r="J423" s="12" t="s">
        <v>89</v>
      </c>
      <c r="K423" s="18">
        <f>SUM(E423:J423)</f>
        <v>2417454.0</v>
      </c>
      <c r="L423" s="18">
        <f>D423-K423</f>
        <v>0.0</v>
      </c>
      <c r="M423" s="12" t="s">
        <v>1779</v>
      </c>
      <c r="N423" s="12" t="str">
        <f>C423&amp;"|"&amp;A423</f>
        <v>002|2336682</v>
      </c>
    </row>
    <row r="424" spans="1:14">
      <c r="A424" s="12" t="s">
        <v>1612</v>
      </c>
      <c r="B424" s="12" t="s">
        <v>1614</v>
      </c>
      <c r="C424" s="12" t="s">
        <v>1607</v>
      </c>
      <c r="D424" s="35">
        <v>119950</v>
      </c>
      <c r="E424" s="35">
        <v>0</v>
      </c>
      <c r="F424" s="35">
        <v>0</v>
      </c>
      <c r="G424" s="35">
        <v>119950</v>
      </c>
      <c r="H424" s="35">
        <v>0</v>
      </c>
      <c r="I424" s="35">
        <v>0</v>
      </c>
      <c r="J424" s="12" t="s">
        <v>89</v>
      </c>
      <c r="K424" s="18">
        <f>SUM(E424:J424)</f>
        <v>119950.0</v>
      </c>
      <c r="L424" s="18">
        <f>D424-K424</f>
        <v>0.0</v>
      </c>
      <c r="M424" s="12" t="s">
        <v>1779</v>
      </c>
      <c r="N424" s="12" t="str">
        <f>C424&amp;"|"&amp;A424</f>
        <v>002|2230619</v>
      </c>
    </row>
    <row r="425" spans="1:14">
      <c r="A425" s="12" t="s">
        <v>1615</v>
      </c>
      <c r="B425" s="12" t="s">
        <v>1616</v>
      </c>
      <c r="C425" s="12" t="s">
        <v>1607</v>
      </c>
      <c r="D425" s="35">
        <v>45000</v>
      </c>
      <c r="E425" s="35">
        <v>0</v>
      </c>
      <c r="F425" s="35">
        <v>0</v>
      </c>
      <c r="G425" s="35">
        <v>45000</v>
      </c>
      <c r="H425" s="35">
        <v>0</v>
      </c>
      <c r="I425" s="35">
        <v>0</v>
      </c>
      <c r="J425" s="12" t="s">
        <v>89</v>
      </c>
      <c r="K425" s="18">
        <f>SUM(E425:J425)</f>
        <v>45000.0</v>
      </c>
      <c r="L425" s="18">
        <f>D425-K425</f>
        <v>0.0</v>
      </c>
      <c r="M425" s="12" t="s">
        <v>1779</v>
      </c>
      <c r="N425" s="12" t="str">
        <f>C425&amp;"|"&amp;A425</f>
        <v>002|2714101</v>
      </c>
    </row>
    <row r="426" spans="1:14">
      <c r="A426" s="12" t="s">
        <v>1621</v>
      </c>
      <c r="B426" s="12" t="s">
        <v>1622</v>
      </c>
      <c r="C426" s="12" t="s">
        <v>1619</v>
      </c>
      <c r="D426" s="35">
        <v>18887232</v>
      </c>
      <c r="E426" s="35">
        <v>0</v>
      </c>
      <c r="F426" s="35">
        <v>0</v>
      </c>
      <c r="G426" s="35">
        <v>18887232</v>
      </c>
      <c r="H426" s="35">
        <v>0</v>
      </c>
      <c r="I426" s="35">
        <v>0</v>
      </c>
      <c r="J426" s="12" t="s">
        <v>89</v>
      </c>
      <c r="K426" s="18">
        <f>SUM(E426:J426)</f>
        <v>18887232.0</v>
      </c>
      <c r="L426" s="18">
        <f>D426-K426</f>
        <v>0.0</v>
      </c>
      <c r="M426" s="12" t="s">
        <v>1779</v>
      </c>
      <c r="N426" s="12" t="str">
        <f>C426&amp;"|"&amp;A426</f>
        <v>003|2651742</v>
      </c>
    </row>
    <row r="427" spans="1:14">
      <c r="A427" s="12" t="s">
        <v>1624</v>
      </c>
      <c r="B427" s="12" t="s">
        <v>1625</v>
      </c>
      <c r="C427" s="12" t="s">
        <v>1619</v>
      </c>
      <c r="D427" s="35">
        <v>7891675</v>
      </c>
      <c r="E427" s="35">
        <v>0</v>
      </c>
      <c r="F427" s="35">
        <v>0</v>
      </c>
      <c r="G427" s="35">
        <v>7891675</v>
      </c>
      <c r="H427" s="35">
        <v>0</v>
      </c>
      <c r="I427" s="35">
        <v>0</v>
      </c>
      <c r="J427" s="12" t="s">
        <v>89</v>
      </c>
      <c r="K427" s="18">
        <f>SUM(E427:J427)</f>
        <v>7891675.0</v>
      </c>
      <c r="L427" s="18">
        <f>D427-K427</f>
        <v>0.0</v>
      </c>
      <c r="M427" s="12" t="s">
        <v>1779</v>
      </c>
      <c r="N427" s="12" t="str">
        <f>C427&amp;"|"&amp;A427</f>
        <v>003|2454391</v>
      </c>
    </row>
    <row r="428" spans="1:14">
      <c r="A428" s="12" t="s">
        <v>1627</v>
      </c>
      <c r="B428" s="12" t="s">
        <v>1629</v>
      </c>
      <c r="C428" s="12" t="s">
        <v>1619</v>
      </c>
      <c r="D428" s="35">
        <v>8205055</v>
      </c>
      <c r="E428" s="35">
        <v>0</v>
      </c>
      <c r="F428" s="35">
        <v>0</v>
      </c>
      <c r="G428" s="35">
        <v>8205055</v>
      </c>
      <c r="H428" s="35">
        <v>0</v>
      </c>
      <c r="I428" s="35">
        <v>0</v>
      </c>
      <c r="J428" s="12" t="s">
        <v>89</v>
      </c>
      <c r="K428" s="18">
        <f>SUM(E428:J428)</f>
        <v>8205055.0</v>
      </c>
      <c r="L428" s="18">
        <f>D428-K428</f>
        <v>0.0</v>
      </c>
      <c r="M428" s="12" t="s">
        <v>1779</v>
      </c>
      <c r="N428" s="12" t="str">
        <f>C428&amp;"|"&amp;A428</f>
        <v>003|2566500</v>
      </c>
    </row>
    <row r="429" spans="1:14">
      <c r="A429" s="12" t="s">
        <v>1631</v>
      </c>
      <c r="B429" s="12" t="s">
        <v>1632</v>
      </c>
      <c r="C429" s="12" t="s">
        <v>1619</v>
      </c>
      <c r="D429" s="35">
        <v>7233387</v>
      </c>
      <c r="E429" s="35">
        <v>0</v>
      </c>
      <c r="F429" s="35">
        <v>0</v>
      </c>
      <c r="G429" s="35">
        <v>7233387</v>
      </c>
      <c r="H429" s="35">
        <v>0</v>
      </c>
      <c r="I429" s="35">
        <v>0</v>
      </c>
      <c r="J429" s="12" t="s">
        <v>89</v>
      </c>
      <c r="K429" s="18">
        <f>SUM(E429:J429)</f>
        <v>7233387.0</v>
      </c>
      <c r="L429" s="18">
        <f>D429-K429</f>
        <v>0.0</v>
      </c>
      <c r="M429" s="12" t="s">
        <v>1779</v>
      </c>
      <c r="N429" s="12" t="str">
        <f>C429&amp;"|"&amp;A429</f>
        <v>003|2477014</v>
      </c>
    </row>
    <row r="430" spans="1:14">
      <c r="A430" s="12" t="s">
        <v>1633</v>
      </c>
      <c r="B430" s="12" t="s">
        <v>1635</v>
      </c>
      <c r="C430" s="12" t="s">
        <v>1619</v>
      </c>
      <c r="D430" s="35">
        <v>8979929</v>
      </c>
      <c r="E430" s="35">
        <v>0</v>
      </c>
      <c r="F430" s="35">
        <v>0</v>
      </c>
      <c r="G430" s="35">
        <v>8979929</v>
      </c>
      <c r="H430" s="35">
        <v>0</v>
      </c>
      <c r="I430" s="35">
        <v>0</v>
      </c>
      <c r="J430" s="12" t="s">
        <v>89</v>
      </c>
      <c r="K430" s="18">
        <f>SUM(E430:J430)</f>
        <v>8979929.0</v>
      </c>
      <c r="L430" s="18">
        <f>D430-K430</f>
        <v>0.0</v>
      </c>
      <c r="M430" s="12" t="s">
        <v>1779</v>
      </c>
      <c r="N430" s="12" t="str">
        <f>C430&amp;"|"&amp;A430</f>
        <v>003|2540745</v>
      </c>
    </row>
    <row r="431" spans="1:14">
      <c r="A431" s="12" t="s">
        <v>1637</v>
      </c>
      <c r="B431" s="12" t="s">
        <v>1638</v>
      </c>
      <c r="C431" s="12" t="s">
        <v>1619</v>
      </c>
      <c r="D431" s="35">
        <v>2302588</v>
      </c>
      <c r="E431" s="35">
        <v>0</v>
      </c>
      <c r="F431" s="35">
        <v>0</v>
      </c>
      <c r="G431" s="35">
        <v>2302588</v>
      </c>
      <c r="H431" s="35">
        <v>0</v>
      </c>
      <c r="I431" s="35">
        <v>0</v>
      </c>
      <c r="J431" s="12" t="s">
        <v>89</v>
      </c>
      <c r="K431" s="18">
        <f>SUM(E431:J431)</f>
        <v>2302588.0</v>
      </c>
      <c r="L431" s="18">
        <f>D431-K431</f>
        <v>0.0</v>
      </c>
      <c r="M431" s="12" t="s">
        <v>1779</v>
      </c>
      <c r="N431" s="12" t="str">
        <f>C431&amp;"|"&amp;A431</f>
        <v>003|2470845</v>
      </c>
    </row>
    <row r="432" spans="1:14">
      <c r="A432" s="12" t="s">
        <v>1569</v>
      </c>
      <c r="B432" s="12" t="s">
        <v>1640</v>
      </c>
      <c r="C432" s="12" t="s">
        <v>1619</v>
      </c>
      <c r="D432" s="35">
        <v>678214</v>
      </c>
      <c r="E432" s="35">
        <v>0</v>
      </c>
      <c r="F432" s="35">
        <v>57914</v>
      </c>
      <c r="G432" s="35">
        <v>620300</v>
      </c>
      <c r="H432" s="35">
        <v>0</v>
      </c>
      <c r="I432" s="35">
        <v>0</v>
      </c>
      <c r="J432" s="12" t="s">
        <v>89</v>
      </c>
      <c r="K432" s="18">
        <f>SUM(E432:J432)</f>
        <v>678214.0</v>
      </c>
      <c r="L432" s="18">
        <f>D432-K432</f>
        <v>0.0</v>
      </c>
      <c r="M432" s="12" t="s">
        <v>1779</v>
      </c>
      <c r="N432" s="12" t="str">
        <f>C432&amp;"|"&amp;A432</f>
        <v>003|2001621</v>
      </c>
    </row>
    <row r="433" spans="1:14">
      <c r="A433" s="12" t="s">
        <v>1642</v>
      </c>
      <c r="B433" s="12" t="s">
        <v>1643</v>
      </c>
      <c r="C433" s="12" t="s">
        <v>1619</v>
      </c>
      <c r="D433" s="35">
        <v>855253</v>
      </c>
      <c r="E433" s="35">
        <v>0</v>
      </c>
      <c r="F433" s="35">
        <v>0</v>
      </c>
      <c r="G433" s="35">
        <v>270883</v>
      </c>
      <c r="H433" s="35">
        <v>584370</v>
      </c>
      <c r="I433" s="35">
        <v>0</v>
      </c>
      <c r="J433" s="12" t="s">
        <v>89</v>
      </c>
      <c r="K433" s="18">
        <f>SUM(E433:J433)</f>
        <v>855253.0</v>
      </c>
      <c r="L433" s="18">
        <f>D433-K433</f>
        <v>0.0</v>
      </c>
      <c r="M433" s="12" t="s">
        <v>1779</v>
      </c>
      <c r="N433" s="12" t="str">
        <f>C433&amp;"|"&amp;A433</f>
        <v>003|2651727</v>
      </c>
    </row>
    <row r="434" spans="1:14">
      <c r="A434" s="12" t="s">
        <v>1644</v>
      </c>
      <c r="B434" s="12" t="s">
        <v>1645</v>
      </c>
      <c r="C434" s="12" t="s">
        <v>1619</v>
      </c>
      <c r="D434" s="35">
        <v>267289</v>
      </c>
      <c r="E434" s="35">
        <v>0</v>
      </c>
      <c r="F434" s="35">
        <v>0</v>
      </c>
      <c r="G434" s="35">
        <v>267289</v>
      </c>
      <c r="H434" s="35">
        <v>0</v>
      </c>
      <c r="I434" s="35">
        <v>0</v>
      </c>
      <c r="J434" s="12" t="s">
        <v>89</v>
      </c>
      <c r="K434" s="18">
        <f>SUM(E434:J434)</f>
        <v>267289.0</v>
      </c>
      <c r="L434" s="18">
        <f>D434-K434</f>
        <v>0.0</v>
      </c>
      <c r="M434" s="12" t="s">
        <v>1779</v>
      </c>
      <c r="N434" s="12" t="str">
        <f>C434&amp;"|"&amp;A434</f>
        <v>003|2634779</v>
      </c>
    </row>
    <row r="435" spans="1:14">
      <c r="A435" s="12" t="s">
        <v>1647</v>
      </c>
      <c r="B435" s="12" t="s">
        <v>1648</v>
      </c>
      <c r="C435" s="12" t="s">
        <v>1619</v>
      </c>
      <c r="D435" s="35">
        <v>152639</v>
      </c>
      <c r="E435" s="35">
        <v>0</v>
      </c>
      <c r="F435" s="35">
        <v>0</v>
      </c>
      <c r="G435" s="35">
        <v>152639</v>
      </c>
      <c r="H435" s="35">
        <v>0</v>
      </c>
      <c r="I435" s="35">
        <v>0</v>
      </c>
      <c r="J435" s="12" t="s">
        <v>89</v>
      </c>
      <c r="K435" s="18">
        <f>SUM(E435:J435)</f>
        <v>152639.0</v>
      </c>
      <c r="L435" s="18">
        <f>D435-K435</f>
        <v>0.0</v>
      </c>
      <c r="M435" s="12" t="s">
        <v>1779</v>
      </c>
      <c r="N435" s="12" t="str">
        <f>C435&amp;"|"&amp;A435</f>
        <v>003|2668257</v>
      </c>
    </row>
    <row r="436" spans="1:14">
      <c r="A436" s="12" t="s">
        <v>1650</v>
      </c>
      <c r="B436" s="12" t="s">
        <v>1651</v>
      </c>
      <c r="C436" s="12" t="s">
        <v>1619</v>
      </c>
      <c r="D436" s="35">
        <v>150000</v>
      </c>
      <c r="E436" s="35">
        <v>0</v>
      </c>
      <c r="F436" s="35">
        <v>0</v>
      </c>
      <c r="G436" s="35">
        <v>150000</v>
      </c>
      <c r="H436" s="35">
        <v>0</v>
      </c>
      <c r="I436" s="35">
        <v>0</v>
      </c>
      <c r="J436" s="12" t="s">
        <v>89</v>
      </c>
      <c r="K436" s="18">
        <f>SUM(E436:J436)</f>
        <v>150000.0</v>
      </c>
      <c r="L436" s="18">
        <f>D436-K436</f>
        <v>0.0</v>
      </c>
      <c r="M436" s="12" t="s">
        <v>1779</v>
      </c>
      <c r="N436" s="12" t="str">
        <f>C436&amp;"|"&amp;A436</f>
        <v>003|2681358</v>
      </c>
    </row>
    <row r="437" spans="1:14">
      <c r="A437" s="12" t="s">
        <v>1652</v>
      </c>
      <c r="B437" s="12" t="s">
        <v>1653</v>
      </c>
      <c r="C437" s="12" t="s">
        <v>1619</v>
      </c>
      <c r="D437" s="35">
        <v>34081</v>
      </c>
      <c r="E437" s="35">
        <v>0</v>
      </c>
      <c r="F437" s="35">
        <v>0</v>
      </c>
      <c r="G437" s="35">
        <v>34081</v>
      </c>
      <c r="H437" s="35">
        <v>0</v>
      </c>
      <c r="I437" s="35">
        <v>0</v>
      </c>
      <c r="J437" s="12" t="s">
        <v>89</v>
      </c>
      <c r="K437" s="18">
        <f>SUM(E437:J437)</f>
        <v>34081.0</v>
      </c>
      <c r="L437" s="18">
        <f>D437-K437</f>
        <v>0.0</v>
      </c>
      <c r="M437" s="12" t="s">
        <v>1779</v>
      </c>
      <c r="N437" s="12" t="str">
        <f>C437&amp;"|"&amp;A437</f>
        <v>003|2429723</v>
      </c>
    </row>
    <row r="438" spans="1:14">
      <c r="A438" s="12" t="s">
        <v>1655</v>
      </c>
      <c r="B438" s="12" t="s">
        <v>1657</v>
      </c>
      <c r="C438" s="12" t="s">
        <v>1619</v>
      </c>
      <c r="D438" s="35">
        <v>0</v>
      </c>
      <c r="E438" s="35">
        <v>0</v>
      </c>
      <c r="F438" s="35">
        <v>0</v>
      </c>
      <c r="G438" s="35">
        <v>0</v>
      </c>
      <c r="H438" s="35">
        <v>0</v>
      </c>
      <c r="I438" s="35">
        <v>0</v>
      </c>
      <c r="J438" s="12" t="s">
        <v>89</v>
      </c>
      <c r="K438" s="18">
        <f>SUM(E438:J438)</f>
        <v>0.0</v>
      </c>
      <c r="L438" s="18">
        <f>D438-K438</f>
        <v>0.0</v>
      </c>
      <c r="M438" s="12" t="s">
        <v>1779</v>
      </c>
      <c r="N438" s="12" t="str">
        <f>C438&amp;"|"&amp;A438</f>
        <v>003|2541758</v>
      </c>
    </row>
    <row r="439" spans="1:14">
      <c r="A439" s="12" t="s">
        <v>1659</v>
      </c>
      <c r="B439" s="12" t="s">
        <v>1661</v>
      </c>
      <c r="C439" s="12" t="s">
        <v>1619</v>
      </c>
      <c r="D439" s="35">
        <v>0</v>
      </c>
      <c r="E439" s="35">
        <v>0</v>
      </c>
      <c r="F439" s="35">
        <v>0</v>
      </c>
      <c r="G439" s="35">
        <v>0</v>
      </c>
      <c r="H439" s="35">
        <v>0</v>
      </c>
      <c r="I439" s="35">
        <v>0</v>
      </c>
      <c r="J439" s="12" t="s">
        <v>89</v>
      </c>
      <c r="K439" s="18">
        <f>SUM(E439:J439)</f>
        <v>0.0</v>
      </c>
      <c r="L439" s="18">
        <f>D439-K439</f>
        <v>0.0</v>
      </c>
      <c r="M439" s="12" t="s">
        <v>1779</v>
      </c>
      <c r="N439" s="12" t="str">
        <f>C439&amp;"|"&amp;A439</f>
        <v>003|2616977</v>
      </c>
    </row>
    <row r="440" spans="1:14">
      <c r="A440" s="12" t="s">
        <v>1665</v>
      </c>
      <c r="B440" s="12" t="s">
        <v>1666</v>
      </c>
      <c r="C440" s="12" t="s">
        <v>1663</v>
      </c>
      <c r="D440" s="35">
        <v>10473026</v>
      </c>
      <c r="E440" s="35">
        <v>0</v>
      </c>
      <c r="F440" s="35">
        <v>0</v>
      </c>
      <c r="G440" s="35">
        <v>9372234</v>
      </c>
      <c r="H440" s="35">
        <v>1100792</v>
      </c>
      <c r="I440" s="35">
        <v>0</v>
      </c>
      <c r="J440" s="12" t="s">
        <v>89</v>
      </c>
      <c r="K440" s="18">
        <f>SUM(E440:J440)</f>
        <v>10473026.0</v>
      </c>
      <c r="L440" s="18">
        <f>D440-K440</f>
        <v>0.0</v>
      </c>
      <c r="M440" s="12" t="s">
        <v>1779</v>
      </c>
      <c r="N440" s="12" t="str">
        <f>C440&amp;"|"&amp;A440</f>
        <v>005|2559663</v>
      </c>
    </row>
    <row r="441" spans="1:14">
      <c r="A441" s="12" t="s">
        <v>1667</v>
      </c>
      <c r="B441" s="12" t="s">
        <v>1668</v>
      </c>
      <c r="C441" s="12" t="s">
        <v>1663</v>
      </c>
      <c r="D441" s="35">
        <v>5701948</v>
      </c>
      <c r="E441" s="35">
        <v>0</v>
      </c>
      <c r="F441" s="35">
        <v>0</v>
      </c>
      <c r="G441" s="35">
        <v>5141948</v>
      </c>
      <c r="H441" s="35">
        <v>560000</v>
      </c>
      <c r="I441" s="35">
        <v>0</v>
      </c>
      <c r="J441" s="12" t="s">
        <v>89</v>
      </c>
      <c r="K441" s="18">
        <f>SUM(E441:J441)</f>
        <v>5701948.0</v>
      </c>
      <c r="L441" s="18">
        <f>D441-K441</f>
        <v>0.0</v>
      </c>
      <c r="M441" s="12" t="s">
        <v>1779</v>
      </c>
      <c r="N441" s="12" t="str">
        <f>C441&amp;"|"&amp;A441</f>
        <v>005|2631496</v>
      </c>
    </row>
    <row r="442" spans="1:14">
      <c r="A442" s="12" t="s">
        <v>1670</v>
      </c>
      <c r="B442" s="12" t="s">
        <v>1671</v>
      </c>
      <c r="C442" s="12" t="s">
        <v>1663</v>
      </c>
      <c r="D442" s="35">
        <v>3882438</v>
      </c>
      <c r="E442" s="35">
        <v>0</v>
      </c>
      <c r="F442" s="35">
        <v>0</v>
      </c>
      <c r="G442" s="35">
        <v>3595787</v>
      </c>
      <c r="H442" s="35">
        <v>286651</v>
      </c>
      <c r="I442" s="35">
        <v>0</v>
      </c>
      <c r="J442" s="12" t="s">
        <v>89</v>
      </c>
      <c r="K442" s="18">
        <f>SUM(E442:J442)</f>
        <v>3882438.0</v>
      </c>
      <c r="L442" s="18">
        <f>D442-K442</f>
        <v>0.0</v>
      </c>
      <c r="M442" s="12" t="s">
        <v>1779</v>
      </c>
      <c r="N442" s="12" t="str">
        <f>C442&amp;"|"&amp;A442</f>
        <v>005|2479852</v>
      </c>
    </row>
    <row r="443" spans="1:14">
      <c r="A443" s="12" t="s">
        <v>1673</v>
      </c>
      <c r="B443" s="12" t="s">
        <v>1674</v>
      </c>
      <c r="C443" s="12" t="s">
        <v>1663</v>
      </c>
      <c r="D443" s="35">
        <v>30000</v>
      </c>
      <c r="E443" s="35">
        <v>0</v>
      </c>
      <c r="F443" s="35">
        <v>0</v>
      </c>
      <c r="G443" s="35">
        <v>30000</v>
      </c>
      <c r="H443" s="35">
        <v>0</v>
      </c>
      <c r="I443" s="35">
        <v>0</v>
      </c>
      <c r="J443" s="12" t="s">
        <v>89</v>
      </c>
      <c r="K443" s="18">
        <f>SUM(E443:J443)</f>
        <v>30000.0</v>
      </c>
      <c r="L443" s="18">
        <f>D443-K443</f>
        <v>0.0</v>
      </c>
      <c r="M443" s="12" t="s">
        <v>1779</v>
      </c>
      <c r="N443" s="12" t="str">
        <f>C443&amp;"|"&amp;A443</f>
        <v>005|2325694</v>
      </c>
    </row>
    <row r="444" spans="1:14">
      <c r="A444" s="12" t="s">
        <v>1675</v>
      </c>
      <c r="B444" s="12" t="s">
        <v>1676</v>
      </c>
      <c r="C444" s="12" t="s">
        <v>1663</v>
      </c>
      <c r="D444" s="35">
        <v>0</v>
      </c>
      <c r="E444" s="35">
        <v>0</v>
      </c>
      <c r="F444" s="35">
        <v>0</v>
      </c>
      <c r="G444" s="35">
        <v>0</v>
      </c>
      <c r="H444" s="35">
        <v>0</v>
      </c>
      <c r="I444" s="35">
        <v>0</v>
      </c>
      <c r="J444" s="12" t="s">
        <v>89</v>
      </c>
      <c r="K444" s="18">
        <f>SUM(E444:J444)</f>
        <v>0.0</v>
      </c>
      <c r="L444" s="18">
        <f>D444-K444</f>
        <v>0.0</v>
      </c>
      <c r="M444" s="12" t="s">
        <v>1779</v>
      </c>
      <c r="N444" s="12" t="str">
        <f>C444&amp;"|"&amp;A444</f>
        <v>005|2538654</v>
      </c>
    </row>
    <row r="445" spans="1:14">
      <c r="A445" s="12" t="s">
        <v>1680</v>
      </c>
      <c r="B445" s="12" t="s">
        <v>1681</v>
      </c>
      <c r="C445" s="12" t="s">
        <v>1678</v>
      </c>
      <c r="D445" s="35">
        <v>7439155</v>
      </c>
      <c r="E445" s="35">
        <v>0</v>
      </c>
      <c r="F445" s="35">
        <v>1905155</v>
      </c>
      <c r="G445" s="35">
        <v>5534000</v>
      </c>
      <c r="H445" s="35">
        <v>0</v>
      </c>
      <c r="I445" s="35">
        <v>0</v>
      </c>
      <c r="J445" s="12" t="s">
        <v>89</v>
      </c>
      <c r="K445" s="18">
        <f>SUM(E445:J445)</f>
        <v>7439155.0</v>
      </c>
      <c r="L445" s="18">
        <f>D445-K445</f>
        <v>0.0</v>
      </c>
      <c r="M445" s="12" t="s">
        <v>1779</v>
      </c>
      <c r="N445" s="12" t="str">
        <f>C445&amp;"|"&amp;A445</f>
        <v>100|2557255</v>
      </c>
    </row>
    <row r="446" spans="1:14">
      <c r="A446" s="12" t="s">
        <v>1682</v>
      </c>
      <c r="B446" s="12" t="s">
        <v>1683</v>
      </c>
      <c r="C446" s="12" t="s">
        <v>1678</v>
      </c>
      <c r="D446" s="35">
        <v>4417847</v>
      </c>
      <c r="E446" s="35">
        <v>0</v>
      </c>
      <c r="F446" s="35">
        <v>0</v>
      </c>
      <c r="G446" s="35">
        <v>4417847</v>
      </c>
      <c r="H446" s="35">
        <v>0</v>
      </c>
      <c r="I446" s="35">
        <v>0</v>
      </c>
      <c r="J446" s="12" t="s">
        <v>89</v>
      </c>
      <c r="K446" s="18">
        <f>SUM(E446:J446)</f>
        <v>4417847.0</v>
      </c>
      <c r="L446" s="18">
        <f>D446-K446</f>
        <v>0.0</v>
      </c>
      <c r="M446" s="12" t="s">
        <v>1779</v>
      </c>
      <c r="N446" s="12" t="str">
        <f>C446&amp;"|"&amp;A446</f>
        <v>100|2470873</v>
      </c>
    </row>
    <row r="447" spans="1:14">
      <c r="A447" s="12" t="s">
        <v>1684</v>
      </c>
      <c r="B447" s="12" t="s">
        <v>1685</v>
      </c>
      <c r="C447" s="12" t="s">
        <v>1678</v>
      </c>
      <c r="D447" s="35">
        <v>2000000</v>
      </c>
      <c r="E447" s="35">
        <v>0</v>
      </c>
      <c r="F447" s="35">
        <v>0</v>
      </c>
      <c r="G447" s="35">
        <v>2000000</v>
      </c>
      <c r="H447" s="35">
        <v>0</v>
      </c>
      <c r="I447" s="35">
        <v>0</v>
      </c>
      <c r="J447" s="12" t="s">
        <v>89</v>
      </c>
      <c r="K447" s="18">
        <f>SUM(E447:J447)</f>
        <v>2000000.0</v>
      </c>
      <c r="L447" s="18">
        <f>D447-K447</f>
        <v>0.0</v>
      </c>
      <c r="M447" s="12" t="s">
        <v>1779</v>
      </c>
      <c r="N447" s="12" t="str">
        <f>C447&amp;"|"&amp;A447</f>
        <v>100|2511053</v>
      </c>
    </row>
    <row r="448" spans="1:14">
      <c r="A448" s="12" t="s">
        <v>1687</v>
      </c>
      <c r="B448" s="12" t="s">
        <v>1688</v>
      </c>
      <c r="C448" s="12" t="s">
        <v>1678</v>
      </c>
      <c r="D448" s="35">
        <v>500000</v>
      </c>
      <c r="E448" s="35">
        <v>0</v>
      </c>
      <c r="F448" s="35">
        <v>0</v>
      </c>
      <c r="G448" s="35">
        <v>500000</v>
      </c>
      <c r="H448" s="35">
        <v>0</v>
      </c>
      <c r="I448" s="35">
        <v>0</v>
      </c>
      <c r="J448" s="12" t="s">
        <v>89</v>
      </c>
      <c r="K448" s="18">
        <f>SUM(E448:J448)</f>
        <v>500000.0</v>
      </c>
      <c r="L448" s="18">
        <f>D448-K448</f>
        <v>0.0</v>
      </c>
      <c r="M448" s="12" t="s">
        <v>1779</v>
      </c>
      <c r="N448" s="12" t="str">
        <f>C448&amp;"|"&amp;A448</f>
        <v>100|2629018</v>
      </c>
    </row>
    <row r="449" spans="1:14">
      <c r="A449" s="12" t="s">
        <v>1569</v>
      </c>
      <c r="B449" s="12" t="s">
        <v>1640</v>
      </c>
      <c r="C449" s="12" t="s">
        <v>1678</v>
      </c>
      <c r="D449" s="35">
        <v>133500</v>
      </c>
      <c r="E449" s="35">
        <v>0</v>
      </c>
      <c r="F449" s="35">
        <v>0</v>
      </c>
      <c r="G449" s="35">
        <v>90000</v>
      </c>
      <c r="H449" s="35">
        <v>43500</v>
      </c>
      <c r="I449" s="35">
        <v>0</v>
      </c>
      <c r="J449" s="12" t="s">
        <v>89</v>
      </c>
      <c r="K449" s="18">
        <f>SUM(E449:J449)</f>
        <v>133500.0</v>
      </c>
      <c r="L449" s="18">
        <f>D449-K449</f>
        <v>0.0</v>
      </c>
      <c r="M449" s="12" t="s">
        <v>1779</v>
      </c>
      <c r="N449" s="12" t="str">
        <f>C449&amp;"|"&amp;A449</f>
        <v>100|2001621</v>
      </c>
    </row>
    <row r="450" spans="1:14">
      <c r="A450" s="12" t="s">
        <v>1690</v>
      </c>
      <c r="B450" s="12" t="s">
        <v>1691</v>
      </c>
      <c r="C450" s="12" t="s">
        <v>1678</v>
      </c>
      <c r="D450" s="35">
        <v>40000</v>
      </c>
      <c r="E450" s="35">
        <v>0</v>
      </c>
      <c r="F450" s="35">
        <v>0</v>
      </c>
      <c r="G450" s="35">
        <v>0</v>
      </c>
      <c r="H450" s="35">
        <v>40000</v>
      </c>
      <c r="I450" s="35">
        <v>0</v>
      </c>
      <c r="J450" s="12" t="s">
        <v>89</v>
      </c>
      <c r="K450" s="18">
        <f>SUM(E450:J450)</f>
        <v>40000.0</v>
      </c>
      <c r="L450" s="18">
        <f>D450-K450</f>
        <v>0.0</v>
      </c>
      <c r="M450" s="12" t="s">
        <v>1779</v>
      </c>
      <c r="N450" s="12" t="str">
        <f>C450&amp;"|"&amp;A450</f>
        <v>100|2313145</v>
      </c>
    </row>
    <row r="451" spans="1:14">
      <c r="A451" s="12" t="s">
        <v>1692</v>
      </c>
      <c r="B451" s="12" t="s">
        <v>1693</v>
      </c>
      <c r="C451" s="12" t="s">
        <v>1678</v>
      </c>
      <c r="D451" s="35">
        <v>30892</v>
      </c>
      <c r="E451" s="35">
        <v>0</v>
      </c>
      <c r="F451" s="35">
        <v>0</v>
      </c>
      <c r="G451" s="35">
        <v>0</v>
      </c>
      <c r="H451" s="35">
        <v>30892</v>
      </c>
      <c r="I451" s="35">
        <v>0</v>
      </c>
      <c r="J451" s="12" t="s">
        <v>89</v>
      </c>
      <c r="K451" s="18">
        <f>SUM(E451:J451)</f>
        <v>30892.0</v>
      </c>
      <c r="L451" s="18">
        <f>D451-K451</f>
        <v>0.0</v>
      </c>
      <c r="M451" s="12" t="s">
        <v>1779</v>
      </c>
      <c r="N451" s="12" t="str">
        <f>C451&amp;"|"&amp;A451</f>
        <v>100|2318520</v>
      </c>
    </row>
    <row r="452" spans="1:14">
      <c r="A452" s="12" t="s">
        <v>1694</v>
      </c>
      <c r="B452" s="12" t="s">
        <v>1695</v>
      </c>
      <c r="C452" s="12" t="s">
        <v>1678</v>
      </c>
      <c r="D452" s="35">
        <v>20000</v>
      </c>
      <c r="E452" s="35">
        <v>0</v>
      </c>
      <c r="F452" s="35">
        <v>0</v>
      </c>
      <c r="G452" s="35">
        <v>0</v>
      </c>
      <c r="H452" s="35">
        <v>20000</v>
      </c>
      <c r="I452" s="35">
        <v>0</v>
      </c>
      <c r="J452" s="12" t="s">
        <v>89</v>
      </c>
      <c r="K452" s="18">
        <f>SUM(E452:J452)</f>
        <v>20000.0</v>
      </c>
      <c r="L452" s="18">
        <f>D452-K452</f>
        <v>0.0</v>
      </c>
      <c r="M452" s="12" t="s">
        <v>1779</v>
      </c>
      <c r="N452" s="12" t="str">
        <f>C452&amp;"|"&amp;A452</f>
        <v>100|2615902</v>
      </c>
    </row>
    <row r="453" spans="1:14">
      <c r="A453" s="12" t="s">
        <v>1067</v>
      </c>
      <c r="B453" s="12" t="s">
        <v>1069</v>
      </c>
      <c r="C453" s="12" t="s">
        <v>1696</v>
      </c>
      <c r="D453" s="35">
        <v>32592</v>
      </c>
      <c r="E453" s="35">
        <v>0</v>
      </c>
      <c r="F453" s="35">
        <v>0</v>
      </c>
      <c r="G453" s="35">
        <v>0</v>
      </c>
      <c r="H453" s="35">
        <v>32592</v>
      </c>
      <c r="I453" s="35">
        <v>0</v>
      </c>
      <c r="J453" s="12" t="s">
        <v>89</v>
      </c>
      <c r="K453" s="18">
        <f>SUM(E453:J453)</f>
        <v>32592.0</v>
      </c>
      <c r="L453" s="18">
        <f>D453-K453</f>
        <v>0.0</v>
      </c>
      <c r="M453" s="12" t="s">
        <v>1779</v>
      </c>
      <c r="N453" s="12" t="str">
        <f>C453&amp;"|"&amp;A453</f>
        <v>302|2393101</v>
      </c>
    </row>
    <row r="454" spans="1:14">
      <c r="A454" s="12" t="s">
        <v>1700</v>
      </c>
      <c r="B454" s="12" t="s">
        <v>1701</v>
      </c>
      <c r="C454" s="12" t="s">
        <v>1698</v>
      </c>
      <c r="D454" s="35">
        <v>41800</v>
      </c>
      <c r="E454" s="35">
        <v>41800</v>
      </c>
      <c r="F454" s="35">
        <v>0</v>
      </c>
      <c r="G454" s="35">
        <v>0</v>
      </c>
      <c r="H454" s="35">
        <v>0</v>
      </c>
      <c r="I454" s="35">
        <v>0</v>
      </c>
      <c r="J454" s="12" t="s">
        <v>89</v>
      </c>
      <c r="K454" s="18">
        <f>SUM(E454:J454)</f>
        <v>41800.0</v>
      </c>
      <c r="L454" s="18">
        <f>D454-K454</f>
        <v>0.0</v>
      </c>
      <c r="M454" s="12" t="s">
        <v>1779</v>
      </c>
      <c r="N454" s="12" t="str">
        <f>C454&amp;"|"&amp;A454</f>
        <v>413|2730957</v>
      </c>
    </row>
  </sheetData>
  <autoFilter ref="A4:N454"/>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333"/>
  <sheetViews>
    <sheetView workbookViewId="0"/>
  </sheetViews>
  <sheetFormatPr defaultRowHeight="15"/>
  <cols>
    <col min="1" max="1" width="80.7109375" customWidth="1"/>
    <col min="2" max="2" width="14.7109375" customWidth="1"/>
    <col min="3" max="3" width="18.7109375" customWidth="1"/>
    <col min="4" max="4" width="90.7109375" customWidth="1"/>
    <col min="5" max="5" width="16.7109375" customWidth="1"/>
  </cols>
  <sheetData>
    <row r="1" spans="1:5">
      <c r="A1" s="19" t="s">
        <v>2271</v>
      </c>
    </row>
    <row r="2" spans="1:5">
      <c r="A2" s="2" t="s">
        <v>2272</v>
      </c>
    </row>
    <row r="4" spans="1:5">
      <c r="A4" s="6" t="s">
        <v>2273</v>
      </c>
      <c r="B4" s="6" t="s">
        <v>2274</v>
      </c>
      <c r="C4" s="6" t="s">
        <v>2275</v>
      </c>
      <c r="D4" s="6" t="s">
        <v>2276</v>
      </c>
    </row>
    <row r="5" spans="1:5">
      <c r="A5" s="7" t="s">
        <v>2277</v>
      </c>
      <c r="B5" s="8">
        <v>0</v>
      </c>
      <c r="C5" s="8">
        <v>0</v>
      </c>
      <c r="D5" s="7" t="s">
        <v>2278</v>
      </c>
    </row>
    <row r="6" spans="1:5">
      <c r="A6" s="7" t="s">
        <v>2279</v>
      </c>
      <c r="B6" s="8">
        <v>83</v>
      </c>
      <c r="C6" s="8">
        <v>13213919</v>
      </c>
      <c r="D6" s="7" t="s">
        <v>2280</v>
      </c>
    </row>
    <row r="7" spans="1:5">
      <c r="A7" s="7" t="s">
        <v>2281</v>
      </c>
      <c r="B7" s="8">
        <v>4</v>
      </c>
      <c r="C7" s="8">
        <v>831010</v>
      </c>
      <c r="D7" s="7" t="s">
        <v>2282</v>
      </c>
    </row>
    <row r="8" spans="1:5">
      <c r="A8" s="7" t="s">
        <v>2283</v>
      </c>
      <c r="B8" s="8">
        <v>136</v>
      </c>
      <c r="C8" s="8">
        <v>263086337</v>
      </c>
      <c r="D8" s="7" t="s">
        <v>2284</v>
      </c>
    </row>
    <row r="9" spans="1:5">
      <c r="A9" s="7" t="s">
        <v>2285</v>
      </c>
      <c r="B9" s="8">
        <v>80</v>
      </c>
      <c r="C9" s="8">
        <v>13013018</v>
      </c>
      <c r="D9" s="7" t="s">
        <v>2286</v>
      </c>
    </row>
    <row r="10" spans="1:5">
      <c r="A10" s="7" t="s">
        <v>2287</v>
      </c>
      <c r="B10" s="8">
        <v>14</v>
      </c>
      <c r="C10" s="8">
        <v>1918114</v>
      </c>
      <c r="D10" s="7" t="s">
        <v>2288</v>
      </c>
    </row>
    <row r="11" spans="1:5">
      <c r="A11" s="7" t="s">
        <v>2289</v>
      </c>
      <c r="B11" s="8">
        <v>2</v>
      </c>
      <c r="C11" s="8">
        <v>120166</v>
      </c>
      <c r="D11" s="7" t="s">
        <v>2290</v>
      </c>
    </row>
    <row r="13" spans="1:5">
      <c r="A13" s="5" t="s">
        <v>2291</v>
      </c>
    </row>
    <row r="14" spans="1:5">
      <c r="A14" s="6" t="s">
        <v>2273</v>
      </c>
      <c r="B14" s="6" t="s">
        <v>34</v>
      </c>
      <c r="C14" s="6" t="s">
        <v>39</v>
      </c>
      <c r="D14" s="6" t="s">
        <v>41</v>
      </c>
      <c r="E14" s="6" t="s">
        <v>47</v>
      </c>
    </row>
    <row r="15" spans="1:5">
      <c r="A15" s="12" t="s">
        <v>2292</v>
      </c>
      <c r="B15" s="12" t="s">
        <v>74</v>
      </c>
      <c r="C15" s="12" t="s">
        <v>706</v>
      </c>
      <c r="D15" s="12" t="s">
        <v>708</v>
      </c>
      <c r="E15" s="18">
        <v>75291</v>
      </c>
    </row>
    <row r="16" spans="1:5">
      <c r="A16" s="12" t="s">
        <v>2292</v>
      </c>
      <c r="B16" s="12" t="s">
        <v>74</v>
      </c>
      <c r="C16" s="12" t="s">
        <v>1073</v>
      </c>
      <c r="D16" s="12" t="s">
        <v>1075</v>
      </c>
      <c r="E16" s="18">
        <v>1376515</v>
      </c>
    </row>
    <row r="17" spans="1:5">
      <c r="A17" s="12" t="s">
        <v>2292</v>
      </c>
      <c r="B17" s="12" t="s">
        <v>74</v>
      </c>
      <c r="C17" s="12" t="s">
        <v>1088</v>
      </c>
      <c r="D17" s="12" t="s">
        <v>1090</v>
      </c>
      <c r="E17" s="18">
        <v>100000</v>
      </c>
    </row>
    <row r="18" spans="1:5">
      <c r="A18" s="12" t="s">
        <v>2292</v>
      </c>
      <c r="B18" s="12" t="s">
        <v>74</v>
      </c>
      <c r="C18" s="12" t="s">
        <v>1100</v>
      </c>
      <c r="D18" s="12" t="s">
        <v>1102</v>
      </c>
      <c r="E18" s="18">
        <v>159946</v>
      </c>
    </row>
    <row r="19" spans="1:5">
      <c r="A19" s="12" t="s">
        <v>2292</v>
      </c>
      <c r="B19" s="12" t="s">
        <v>74</v>
      </c>
      <c r="C19" s="12" t="s">
        <v>1107</v>
      </c>
      <c r="D19" s="12" t="s">
        <v>1109</v>
      </c>
      <c r="E19" s="18">
        <v>159560</v>
      </c>
    </row>
    <row r="20" spans="1:5">
      <c r="A20" s="12" t="s">
        <v>2292</v>
      </c>
      <c r="B20" s="12" t="s">
        <v>74</v>
      </c>
      <c r="C20" s="12" t="s">
        <v>1110</v>
      </c>
      <c r="D20" s="12" t="s">
        <v>1112</v>
      </c>
      <c r="E20" s="18">
        <v>158892</v>
      </c>
    </row>
    <row r="21" spans="1:5">
      <c r="A21" s="12" t="s">
        <v>2292</v>
      </c>
      <c r="B21" s="12" t="s">
        <v>74</v>
      </c>
      <c r="C21" s="12" t="s">
        <v>1113</v>
      </c>
      <c r="D21" s="12" t="s">
        <v>1115</v>
      </c>
      <c r="E21" s="18">
        <v>160000</v>
      </c>
    </row>
    <row r="22" spans="1:5">
      <c r="A22" s="12" t="s">
        <v>2292</v>
      </c>
      <c r="B22" s="12" t="s">
        <v>74</v>
      </c>
      <c r="C22" s="12" t="s">
        <v>1116</v>
      </c>
      <c r="D22" s="12" t="s">
        <v>1118</v>
      </c>
      <c r="E22" s="18">
        <v>83160</v>
      </c>
    </row>
    <row r="23" spans="1:5">
      <c r="A23" s="12" t="s">
        <v>2292</v>
      </c>
      <c r="B23" s="12" t="s">
        <v>74</v>
      </c>
      <c r="C23" s="12" t="s">
        <v>1129</v>
      </c>
      <c r="D23" s="12" t="s">
        <v>1131</v>
      </c>
      <c r="E23" s="18">
        <v>350000</v>
      </c>
    </row>
    <row r="24" spans="1:5">
      <c r="A24" s="12" t="s">
        <v>2292</v>
      </c>
      <c r="B24" s="12" t="s">
        <v>74</v>
      </c>
      <c r="C24" s="12" t="s">
        <v>1132</v>
      </c>
      <c r="D24" s="12" t="s">
        <v>1134</v>
      </c>
      <c r="E24" s="18">
        <v>349950</v>
      </c>
    </row>
    <row r="25" spans="1:5">
      <c r="A25" s="12" t="s">
        <v>2292</v>
      </c>
      <c r="B25" s="12" t="s">
        <v>74</v>
      </c>
      <c r="C25" s="12" t="s">
        <v>1135</v>
      </c>
      <c r="D25" s="12" t="s">
        <v>1137</v>
      </c>
      <c r="E25" s="18">
        <v>349899</v>
      </c>
    </row>
    <row r="26" spans="1:5">
      <c r="A26" s="12" t="s">
        <v>2292</v>
      </c>
      <c r="B26" s="12" t="s">
        <v>74</v>
      </c>
      <c r="C26" s="12" t="s">
        <v>1138</v>
      </c>
      <c r="D26" s="12" t="s">
        <v>1140</v>
      </c>
      <c r="E26" s="18">
        <v>349792</v>
      </c>
    </row>
    <row r="27" spans="1:5">
      <c r="A27" s="12" t="s">
        <v>2292</v>
      </c>
      <c r="B27" s="12" t="s">
        <v>74</v>
      </c>
      <c r="C27" s="12" t="s">
        <v>1141</v>
      </c>
      <c r="D27" s="12" t="s">
        <v>1143</v>
      </c>
      <c r="E27" s="18">
        <v>349792</v>
      </c>
    </row>
    <row r="28" spans="1:5">
      <c r="A28" s="12" t="s">
        <v>2292</v>
      </c>
      <c r="B28" s="12" t="s">
        <v>74</v>
      </c>
      <c r="C28" s="12" t="s">
        <v>1144</v>
      </c>
      <c r="D28" s="12" t="s">
        <v>1146</v>
      </c>
      <c r="E28" s="18">
        <v>346711</v>
      </c>
    </row>
    <row r="29" spans="1:5">
      <c r="A29" s="12" t="s">
        <v>2292</v>
      </c>
      <c r="B29" s="12" t="s">
        <v>74</v>
      </c>
      <c r="C29" s="12" t="s">
        <v>1147</v>
      </c>
      <c r="D29" s="12" t="s">
        <v>1149</v>
      </c>
      <c r="E29" s="18">
        <v>269980</v>
      </c>
    </row>
    <row r="30" spans="1:5">
      <c r="A30" s="12" t="s">
        <v>2292</v>
      </c>
      <c r="B30" s="12" t="s">
        <v>74</v>
      </c>
      <c r="C30" s="12" t="s">
        <v>1150</v>
      </c>
      <c r="D30" s="12" t="s">
        <v>1152</v>
      </c>
      <c r="E30" s="18">
        <v>209400</v>
      </c>
    </row>
    <row r="31" spans="1:5">
      <c r="A31" s="12" t="s">
        <v>2292</v>
      </c>
      <c r="B31" s="12" t="s">
        <v>74</v>
      </c>
      <c r="C31" s="12" t="s">
        <v>1153</v>
      </c>
      <c r="D31" s="12" t="s">
        <v>1155</v>
      </c>
      <c r="E31" s="18">
        <v>160000</v>
      </c>
    </row>
    <row r="32" spans="1:5">
      <c r="A32" s="12" t="s">
        <v>2292</v>
      </c>
      <c r="B32" s="12" t="s">
        <v>74</v>
      </c>
      <c r="C32" s="12" t="s">
        <v>1156</v>
      </c>
      <c r="D32" s="12" t="s">
        <v>1158</v>
      </c>
      <c r="E32" s="18">
        <v>160000</v>
      </c>
    </row>
    <row r="33" spans="1:5">
      <c r="A33" s="12" t="s">
        <v>2292</v>
      </c>
      <c r="B33" s="12" t="s">
        <v>74</v>
      </c>
      <c r="C33" s="12" t="s">
        <v>1159</v>
      </c>
      <c r="D33" s="12" t="s">
        <v>1161</v>
      </c>
      <c r="E33" s="18">
        <v>160000</v>
      </c>
    </row>
    <row r="34" spans="1:5">
      <c r="A34" s="12" t="s">
        <v>2292</v>
      </c>
      <c r="B34" s="12" t="s">
        <v>74</v>
      </c>
      <c r="C34" s="12" t="s">
        <v>1162</v>
      </c>
      <c r="D34" s="12" t="s">
        <v>1164</v>
      </c>
      <c r="E34" s="18">
        <v>160000</v>
      </c>
    </row>
    <row r="35" spans="1:5">
      <c r="A35" s="12" t="s">
        <v>2292</v>
      </c>
      <c r="B35" s="12" t="s">
        <v>74</v>
      </c>
      <c r="C35" s="12" t="s">
        <v>1165</v>
      </c>
      <c r="D35" s="12" t="s">
        <v>1167</v>
      </c>
      <c r="E35" s="18">
        <v>160000</v>
      </c>
    </row>
    <row r="36" spans="1:5">
      <c r="A36" s="12" t="s">
        <v>2292</v>
      </c>
      <c r="B36" s="12" t="s">
        <v>74</v>
      </c>
      <c r="C36" s="12" t="s">
        <v>1168</v>
      </c>
      <c r="D36" s="12" t="s">
        <v>1170</v>
      </c>
      <c r="E36" s="18">
        <v>160000</v>
      </c>
    </row>
    <row r="37" spans="1:5">
      <c r="A37" s="12" t="s">
        <v>2292</v>
      </c>
      <c r="B37" s="12" t="s">
        <v>74</v>
      </c>
      <c r="C37" s="12" t="s">
        <v>1171</v>
      </c>
      <c r="D37" s="12" t="s">
        <v>1173</v>
      </c>
      <c r="E37" s="18">
        <v>160000</v>
      </c>
    </row>
    <row r="38" spans="1:5">
      <c r="A38" s="12" t="s">
        <v>2292</v>
      </c>
      <c r="B38" s="12" t="s">
        <v>74</v>
      </c>
      <c r="C38" s="12" t="s">
        <v>1174</v>
      </c>
      <c r="D38" s="12" t="s">
        <v>1176</v>
      </c>
      <c r="E38" s="18">
        <v>160000</v>
      </c>
    </row>
    <row r="39" spans="1:5">
      <c r="A39" s="12" t="s">
        <v>2292</v>
      </c>
      <c r="B39" s="12" t="s">
        <v>74</v>
      </c>
      <c r="C39" s="12" t="s">
        <v>1177</v>
      </c>
      <c r="D39" s="12" t="s">
        <v>1179</v>
      </c>
      <c r="E39" s="18">
        <v>160000</v>
      </c>
    </row>
    <row r="40" spans="1:5">
      <c r="A40" s="12" t="s">
        <v>2292</v>
      </c>
      <c r="B40" s="12" t="s">
        <v>74</v>
      </c>
      <c r="C40" s="12" t="s">
        <v>1180</v>
      </c>
      <c r="D40" s="12" t="s">
        <v>1182</v>
      </c>
      <c r="E40" s="18">
        <v>61500</v>
      </c>
    </row>
    <row r="41" spans="1:5">
      <c r="A41" s="12" t="s">
        <v>2292</v>
      </c>
      <c r="B41" s="12" t="s">
        <v>74</v>
      </c>
      <c r="C41" s="12" t="s">
        <v>1183</v>
      </c>
      <c r="D41" s="12" t="s">
        <v>1185</v>
      </c>
      <c r="E41" s="18">
        <v>62000</v>
      </c>
    </row>
    <row r="42" spans="1:5">
      <c r="A42" s="12" t="s">
        <v>2292</v>
      </c>
      <c r="B42" s="12" t="s">
        <v>74</v>
      </c>
      <c r="C42" s="12" t="s">
        <v>1186</v>
      </c>
      <c r="D42" s="12" t="s">
        <v>1188</v>
      </c>
      <c r="E42" s="18">
        <v>63755</v>
      </c>
    </row>
    <row r="43" spans="1:5">
      <c r="A43" s="12" t="s">
        <v>2292</v>
      </c>
      <c r="B43" s="12" t="s">
        <v>74</v>
      </c>
      <c r="C43" s="12" t="s">
        <v>1189</v>
      </c>
      <c r="D43" s="12" t="s">
        <v>1191</v>
      </c>
      <c r="E43" s="18">
        <v>65438</v>
      </c>
    </row>
    <row r="44" spans="1:5">
      <c r="A44" s="12" t="s">
        <v>2292</v>
      </c>
      <c r="B44" s="12" t="s">
        <v>74</v>
      </c>
      <c r="C44" s="12" t="s">
        <v>1192</v>
      </c>
      <c r="D44" s="12" t="s">
        <v>1194</v>
      </c>
      <c r="E44" s="18">
        <v>61200</v>
      </c>
    </row>
    <row r="45" spans="1:5">
      <c r="A45" s="12" t="s">
        <v>2292</v>
      </c>
      <c r="B45" s="12" t="s">
        <v>74</v>
      </c>
      <c r="C45" s="12" t="s">
        <v>1195</v>
      </c>
      <c r="D45" s="12" t="s">
        <v>1197</v>
      </c>
      <c r="E45" s="18">
        <v>2936</v>
      </c>
    </row>
    <row r="46" spans="1:5">
      <c r="A46" s="12" t="s">
        <v>2292</v>
      </c>
      <c r="B46" s="12" t="s">
        <v>74</v>
      </c>
      <c r="C46" s="12" t="s">
        <v>1198</v>
      </c>
      <c r="D46" s="12" t="s">
        <v>1200</v>
      </c>
      <c r="E46" s="18">
        <v>10692</v>
      </c>
    </row>
    <row r="47" spans="1:5">
      <c r="A47" s="12" t="s">
        <v>2292</v>
      </c>
      <c r="B47" s="12" t="s">
        <v>74</v>
      </c>
      <c r="C47" s="12" t="s">
        <v>1201</v>
      </c>
      <c r="D47" s="12" t="s">
        <v>1203</v>
      </c>
      <c r="E47" s="18">
        <v>7816</v>
      </c>
    </row>
    <row r="48" spans="1:5">
      <c r="A48" s="12" t="s">
        <v>2292</v>
      </c>
      <c r="B48" s="12" t="s">
        <v>74</v>
      </c>
      <c r="C48" s="12" t="s">
        <v>1204</v>
      </c>
      <c r="D48" s="12" t="s">
        <v>1206</v>
      </c>
      <c r="E48" s="18">
        <v>3546</v>
      </c>
    </row>
    <row r="49" spans="1:5">
      <c r="A49" s="12" t="s">
        <v>2292</v>
      </c>
      <c r="B49" s="12" t="s">
        <v>74</v>
      </c>
      <c r="C49" s="12" t="s">
        <v>1207</v>
      </c>
      <c r="D49" s="12" t="s">
        <v>1209</v>
      </c>
      <c r="E49" s="18">
        <v>2555</v>
      </c>
    </row>
    <row r="50" spans="1:5">
      <c r="A50" s="12" t="s">
        <v>2292</v>
      </c>
      <c r="B50" s="12" t="s">
        <v>74</v>
      </c>
      <c r="C50" s="12" t="s">
        <v>1210</v>
      </c>
      <c r="D50" s="12" t="s">
        <v>1212</v>
      </c>
      <c r="E50" s="18">
        <v>73376</v>
      </c>
    </row>
    <row r="51" spans="1:5">
      <c r="A51" s="12" t="s">
        <v>2292</v>
      </c>
      <c r="B51" s="12" t="s">
        <v>74</v>
      </c>
      <c r="C51" s="12" t="s">
        <v>1213</v>
      </c>
      <c r="D51" s="12" t="s">
        <v>1215</v>
      </c>
      <c r="E51" s="18">
        <v>54964</v>
      </c>
    </row>
    <row r="52" spans="1:5">
      <c r="A52" s="12" t="s">
        <v>2292</v>
      </c>
      <c r="B52" s="12" t="s">
        <v>74</v>
      </c>
      <c r="C52" s="12" t="s">
        <v>1216</v>
      </c>
      <c r="D52" s="12" t="s">
        <v>1218</v>
      </c>
      <c r="E52" s="18">
        <v>73915</v>
      </c>
    </row>
    <row r="53" spans="1:5">
      <c r="A53" s="12" t="s">
        <v>2292</v>
      </c>
      <c r="B53" s="12" t="s">
        <v>74</v>
      </c>
      <c r="C53" s="12" t="s">
        <v>1219</v>
      </c>
      <c r="D53" s="12" t="s">
        <v>1221</v>
      </c>
      <c r="E53" s="18">
        <v>5098</v>
      </c>
    </row>
    <row r="54" spans="1:5">
      <c r="A54" s="12" t="s">
        <v>2292</v>
      </c>
      <c r="B54" s="12" t="s">
        <v>74</v>
      </c>
      <c r="C54" s="12" t="s">
        <v>1222</v>
      </c>
      <c r="D54" s="12" t="s">
        <v>1224</v>
      </c>
      <c r="E54" s="18">
        <v>4800</v>
      </c>
    </row>
    <row r="55" spans="1:5">
      <c r="A55" s="12" t="s">
        <v>2292</v>
      </c>
      <c r="B55" s="12" t="s">
        <v>74</v>
      </c>
      <c r="C55" s="12" t="s">
        <v>1225</v>
      </c>
      <c r="D55" s="12" t="s">
        <v>1227</v>
      </c>
      <c r="E55" s="18">
        <v>12800</v>
      </c>
    </row>
    <row r="56" spans="1:5">
      <c r="A56" s="12" t="s">
        <v>2292</v>
      </c>
      <c r="B56" s="12" t="s">
        <v>74</v>
      </c>
      <c r="C56" s="12" t="s">
        <v>1228</v>
      </c>
      <c r="D56" s="12" t="s">
        <v>1230</v>
      </c>
      <c r="E56" s="18">
        <v>57400</v>
      </c>
    </row>
    <row r="57" spans="1:5">
      <c r="A57" s="12" t="s">
        <v>2292</v>
      </c>
      <c r="B57" s="12" t="s">
        <v>74</v>
      </c>
      <c r="C57" s="12" t="s">
        <v>1231</v>
      </c>
      <c r="D57" s="12" t="s">
        <v>1233</v>
      </c>
      <c r="E57" s="18">
        <v>5898</v>
      </c>
    </row>
    <row r="58" spans="1:5">
      <c r="A58" s="12" t="s">
        <v>2292</v>
      </c>
      <c r="B58" s="12" t="s">
        <v>74</v>
      </c>
      <c r="C58" s="12" t="s">
        <v>1234</v>
      </c>
      <c r="D58" s="12" t="s">
        <v>1236</v>
      </c>
      <c r="E58" s="18">
        <v>3000</v>
      </c>
    </row>
    <row r="59" spans="1:5">
      <c r="A59" s="12" t="s">
        <v>2292</v>
      </c>
      <c r="B59" s="12" t="s">
        <v>74</v>
      </c>
      <c r="C59" s="12" t="s">
        <v>1237</v>
      </c>
      <c r="D59" s="12" t="s">
        <v>1239</v>
      </c>
      <c r="E59" s="18">
        <v>87790</v>
      </c>
    </row>
    <row r="60" spans="1:5">
      <c r="A60" s="12" t="s">
        <v>2292</v>
      </c>
      <c r="B60" s="12" t="s">
        <v>74</v>
      </c>
      <c r="C60" s="12" t="s">
        <v>1240</v>
      </c>
      <c r="D60" s="12" t="s">
        <v>1242</v>
      </c>
      <c r="E60" s="18">
        <v>14715</v>
      </c>
    </row>
    <row r="61" spans="1:5">
      <c r="A61" s="12" t="s">
        <v>2292</v>
      </c>
      <c r="B61" s="12" t="s">
        <v>74</v>
      </c>
      <c r="C61" s="12" t="s">
        <v>1243</v>
      </c>
      <c r="D61" s="12" t="s">
        <v>1245</v>
      </c>
      <c r="E61" s="18">
        <v>159547</v>
      </c>
    </row>
    <row r="62" spans="1:5">
      <c r="A62" s="12" t="s">
        <v>2292</v>
      </c>
      <c r="B62" s="12" t="s">
        <v>74</v>
      </c>
      <c r="C62" s="12" t="s">
        <v>1246</v>
      </c>
      <c r="D62" s="12" t="s">
        <v>1248</v>
      </c>
      <c r="E62" s="18">
        <v>158642</v>
      </c>
    </row>
    <row r="63" spans="1:5">
      <c r="A63" s="12" t="s">
        <v>2292</v>
      </c>
      <c r="B63" s="12" t="s">
        <v>74</v>
      </c>
      <c r="C63" s="12" t="s">
        <v>1249</v>
      </c>
      <c r="D63" s="12" t="s">
        <v>1251</v>
      </c>
      <c r="E63" s="18">
        <v>159352</v>
      </c>
    </row>
    <row r="64" spans="1:5">
      <c r="A64" s="12" t="s">
        <v>2292</v>
      </c>
      <c r="B64" s="12" t="s">
        <v>74</v>
      </c>
      <c r="C64" s="12" t="s">
        <v>1252</v>
      </c>
      <c r="D64" s="12" t="s">
        <v>1254</v>
      </c>
      <c r="E64" s="18">
        <v>159613</v>
      </c>
    </row>
    <row r="65" spans="1:5">
      <c r="A65" s="12" t="s">
        <v>2292</v>
      </c>
      <c r="B65" s="12" t="s">
        <v>74</v>
      </c>
      <c r="C65" s="12" t="s">
        <v>1255</v>
      </c>
      <c r="D65" s="12" t="s">
        <v>1257</v>
      </c>
      <c r="E65" s="18">
        <v>159555</v>
      </c>
    </row>
    <row r="66" spans="1:5">
      <c r="A66" s="12" t="s">
        <v>2292</v>
      </c>
      <c r="B66" s="12" t="s">
        <v>74</v>
      </c>
      <c r="C66" s="12" t="s">
        <v>1258</v>
      </c>
      <c r="D66" s="12" t="s">
        <v>1260</v>
      </c>
      <c r="E66" s="18">
        <v>154799</v>
      </c>
    </row>
    <row r="67" spans="1:5">
      <c r="A67" s="12" t="s">
        <v>2292</v>
      </c>
      <c r="B67" s="12" t="s">
        <v>74</v>
      </c>
      <c r="C67" s="12" t="s">
        <v>1261</v>
      </c>
      <c r="D67" s="12" t="s">
        <v>1263</v>
      </c>
      <c r="E67" s="18">
        <v>155278</v>
      </c>
    </row>
    <row r="68" spans="1:5">
      <c r="A68" s="12" t="s">
        <v>2292</v>
      </c>
      <c r="B68" s="12" t="s">
        <v>74</v>
      </c>
      <c r="C68" s="12" t="s">
        <v>1264</v>
      </c>
      <c r="D68" s="12" t="s">
        <v>1266</v>
      </c>
      <c r="E68" s="18">
        <v>159890</v>
      </c>
    </row>
    <row r="69" spans="1:5">
      <c r="A69" s="12" t="s">
        <v>2292</v>
      </c>
      <c r="B69" s="12" t="s">
        <v>74</v>
      </c>
      <c r="C69" s="12" t="s">
        <v>1267</v>
      </c>
      <c r="D69" s="12" t="s">
        <v>1269</v>
      </c>
      <c r="E69" s="18">
        <v>159321</v>
      </c>
    </row>
    <row r="70" spans="1:5">
      <c r="A70" s="12" t="s">
        <v>2292</v>
      </c>
      <c r="B70" s="12" t="s">
        <v>74</v>
      </c>
      <c r="C70" s="12" t="s">
        <v>1270</v>
      </c>
      <c r="D70" s="12" t="s">
        <v>1272</v>
      </c>
      <c r="E70" s="18">
        <v>146532</v>
      </c>
    </row>
    <row r="71" spans="1:5">
      <c r="A71" s="12" t="s">
        <v>2292</v>
      </c>
      <c r="B71" s="12" t="s">
        <v>74</v>
      </c>
      <c r="C71" s="12" t="s">
        <v>1273</v>
      </c>
      <c r="D71" s="12" t="s">
        <v>1275</v>
      </c>
      <c r="E71" s="18">
        <v>155656</v>
      </c>
    </row>
    <row r="72" spans="1:5">
      <c r="A72" s="12" t="s">
        <v>2292</v>
      </c>
      <c r="B72" s="12" t="s">
        <v>74</v>
      </c>
      <c r="C72" s="12" t="s">
        <v>1276</v>
      </c>
      <c r="D72" s="12" t="s">
        <v>1278</v>
      </c>
      <c r="E72" s="18">
        <v>159060</v>
      </c>
    </row>
    <row r="73" spans="1:5">
      <c r="A73" s="12" t="s">
        <v>2292</v>
      </c>
      <c r="B73" s="12" t="s">
        <v>74</v>
      </c>
      <c r="C73" s="12" t="s">
        <v>1279</v>
      </c>
      <c r="D73" s="12" t="s">
        <v>1281</v>
      </c>
      <c r="E73" s="18">
        <v>159862</v>
      </c>
    </row>
    <row r="74" spans="1:5">
      <c r="A74" s="12" t="s">
        <v>2292</v>
      </c>
      <c r="B74" s="12" t="s">
        <v>74</v>
      </c>
      <c r="C74" s="12" t="s">
        <v>1282</v>
      </c>
      <c r="D74" s="12" t="s">
        <v>1284</v>
      </c>
      <c r="E74" s="18">
        <v>157300</v>
      </c>
    </row>
    <row r="75" spans="1:5">
      <c r="A75" s="12" t="s">
        <v>2292</v>
      </c>
      <c r="B75" s="12" t="s">
        <v>74</v>
      </c>
      <c r="C75" s="12" t="s">
        <v>1285</v>
      </c>
      <c r="D75" s="12" t="s">
        <v>1287</v>
      </c>
      <c r="E75" s="18">
        <v>159720</v>
      </c>
    </row>
    <row r="76" spans="1:5">
      <c r="A76" s="12" t="s">
        <v>2292</v>
      </c>
      <c r="B76" s="12" t="s">
        <v>74</v>
      </c>
      <c r="C76" s="12" t="s">
        <v>1288</v>
      </c>
      <c r="D76" s="12" t="s">
        <v>1290</v>
      </c>
      <c r="E76" s="18">
        <v>159007</v>
      </c>
    </row>
    <row r="77" spans="1:5">
      <c r="A77" s="12" t="s">
        <v>2292</v>
      </c>
      <c r="B77" s="12" t="s">
        <v>74</v>
      </c>
      <c r="C77" s="12" t="s">
        <v>1291</v>
      </c>
      <c r="D77" s="12" t="s">
        <v>1293</v>
      </c>
      <c r="E77" s="18">
        <v>159876</v>
      </c>
    </row>
    <row r="78" spans="1:5">
      <c r="A78" s="12" t="s">
        <v>2292</v>
      </c>
      <c r="B78" s="12" t="s">
        <v>74</v>
      </c>
      <c r="C78" s="12" t="s">
        <v>1294</v>
      </c>
      <c r="D78" s="12" t="s">
        <v>1296</v>
      </c>
      <c r="E78" s="18">
        <v>158527</v>
      </c>
    </row>
    <row r="79" spans="1:5">
      <c r="A79" s="12" t="s">
        <v>2292</v>
      </c>
      <c r="B79" s="12" t="s">
        <v>74</v>
      </c>
      <c r="C79" s="12" t="s">
        <v>1297</v>
      </c>
      <c r="D79" s="12" t="s">
        <v>1299</v>
      </c>
      <c r="E79" s="18">
        <v>158640</v>
      </c>
    </row>
    <row r="80" spans="1:5">
      <c r="A80" s="12" t="s">
        <v>2292</v>
      </c>
      <c r="B80" s="12" t="s">
        <v>74</v>
      </c>
      <c r="C80" s="12" t="s">
        <v>1300</v>
      </c>
      <c r="D80" s="12" t="s">
        <v>1302</v>
      </c>
      <c r="E80" s="18">
        <v>159041</v>
      </c>
    </row>
    <row r="81" spans="1:5">
      <c r="A81" s="12" t="s">
        <v>2292</v>
      </c>
      <c r="B81" s="12" t="s">
        <v>74</v>
      </c>
      <c r="C81" s="12" t="s">
        <v>1303</v>
      </c>
      <c r="D81" s="12" t="s">
        <v>1305</v>
      </c>
      <c r="E81" s="18">
        <v>159584</v>
      </c>
    </row>
    <row r="82" spans="1:5">
      <c r="A82" s="12" t="s">
        <v>2292</v>
      </c>
      <c r="B82" s="12" t="s">
        <v>74</v>
      </c>
      <c r="C82" s="12" t="s">
        <v>1306</v>
      </c>
      <c r="D82" s="12" t="s">
        <v>1308</v>
      </c>
      <c r="E82" s="18">
        <v>159830</v>
      </c>
    </row>
    <row r="83" spans="1:5">
      <c r="A83" s="12" t="s">
        <v>2292</v>
      </c>
      <c r="B83" s="12" t="s">
        <v>74</v>
      </c>
      <c r="C83" s="12" t="s">
        <v>1309</v>
      </c>
      <c r="D83" s="12" t="s">
        <v>1311</v>
      </c>
      <c r="E83" s="18">
        <v>159880</v>
      </c>
    </row>
    <row r="84" spans="1:5">
      <c r="A84" s="12" t="s">
        <v>2292</v>
      </c>
      <c r="B84" s="12" t="s">
        <v>74</v>
      </c>
      <c r="C84" s="12" t="s">
        <v>1312</v>
      </c>
      <c r="D84" s="12" t="s">
        <v>1314</v>
      </c>
      <c r="E84" s="18">
        <v>159978</v>
      </c>
    </row>
    <row r="85" spans="1:5">
      <c r="A85" s="12" t="s">
        <v>2292</v>
      </c>
      <c r="B85" s="12" t="s">
        <v>74</v>
      </c>
      <c r="C85" s="12" t="s">
        <v>1318</v>
      </c>
      <c r="D85" s="12" t="s">
        <v>1320</v>
      </c>
      <c r="E85" s="18">
        <v>2795</v>
      </c>
    </row>
    <row r="86" spans="1:5">
      <c r="A86" s="12" t="s">
        <v>2292</v>
      </c>
      <c r="B86" s="12" t="s">
        <v>74</v>
      </c>
      <c r="C86" s="12" t="s">
        <v>1322</v>
      </c>
      <c r="D86" s="12" t="s">
        <v>1324</v>
      </c>
      <c r="E86" s="18">
        <v>179500</v>
      </c>
    </row>
    <row r="87" spans="1:5">
      <c r="A87" s="12" t="s">
        <v>2292</v>
      </c>
      <c r="B87" s="12" t="s">
        <v>74</v>
      </c>
      <c r="C87" s="12" t="s">
        <v>1325</v>
      </c>
      <c r="D87" s="12" t="s">
        <v>1327</v>
      </c>
      <c r="E87" s="18">
        <v>175166</v>
      </c>
    </row>
    <row r="88" spans="1:5">
      <c r="A88" s="12" t="s">
        <v>2292</v>
      </c>
      <c r="B88" s="12" t="s">
        <v>74</v>
      </c>
      <c r="C88" s="12" t="s">
        <v>1328</v>
      </c>
      <c r="D88" s="12" t="s">
        <v>1330</v>
      </c>
      <c r="E88" s="18">
        <v>349792</v>
      </c>
    </row>
    <row r="89" spans="1:5">
      <c r="A89" s="12" t="s">
        <v>2292</v>
      </c>
      <c r="B89" s="12" t="s">
        <v>74</v>
      </c>
      <c r="C89" s="12" t="s">
        <v>1331</v>
      </c>
      <c r="D89" s="12" t="s">
        <v>1333</v>
      </c>
      <c r="E89" s="18">
        <v>349668</v>
      </c>
    </row>
    <row r="90" spans="1:5">
      <c r="A90" s="12" t="s">
        <v>2292</v>
      </c>
      <c r="B90" s="12" t="s">
        <v>74</v>
      </c>
      <c r="C90" s="12" t="s">
        <v>1335</v>
      </c>
      <c r="D90" s="12" t="s">
        <v>1337</v>
      </c>
      <c r="E90" s="18">
        <v>5365</v>
      </c>
    </row>
    <row r="91" spans="1:5">
      <c r="A91" s="12" t="s">
        <v>2292</v>
      </c>
      <c r="B91" s="12" t="s">
        <v>74</v>
      </c>
      <c r="C91" s="12" t="s">
        <v>1338</v>
      </c>
      <c r="D91" s="12" t="s">
        <v>1340</v>
      </c>
      <c r="E91" s="18">
        <v>335890</v>
      </c>
    </row>
    <row r="92" spans="1:5">
      <c r="A92" s="12" t="s">
        <v>2292</v>
      </c>
      <c r="B92" s="12" t="s">
        <v>74</v>
      </c>
      <c r="C92" s="12" t="s">
        <v>1341</v>
      </c>
      <c r="D92" s="12" t="s">
        <v>1343</v>
      </c>
      <c r="E92" s="18">
        <v>157066</v>
      </c>
    </row>
    <row r="93" spans="1:5">
      <c r="A93" s="12" t="s">
        <v>2292</v>
      </c>
      <c r="B93" s="12" t="s">
        <v>74</v>
      </c>
      <c r="C93" s="12" t="s">
        <v>1344</v>
      </c>
      <c r="D93" s="12" t="s">
        <v>1346</v>
      </c>
      <c r="E93" s="18">
        <v>159345</v>
      </c>
    </row>
    <row r="94" spans="1:5">
      <c r="A94" s="12" t="s">
        <v>2292</v>
      </c>
      <c r="B94" s="12" t="s">
        <v>74</v>
      </c>
      <c r="C94" s="12" t="s">
        <v>1347</v>
      </c>
      <c r="D94" s="12" t="s">
        <v>1349</v>
      </c>
      <c r="E94" s="18">
        <v>160000</v>
      </c>
    </row>
    <row r="95" spans="1:5">
      <c r="A95" s="12" t="s">
        <v>2292</v>
      </c>
      <c r="B95" s="12" t="s">
        <v>74</v>
      </c>
      <c r="C95" s="12" t="s">
        <v>1350</v>
      </c>
      <c r="D95" s="12" t="s">
        <v>1352</v>
      </c>
      <c r="E95" s="18">
        <v>141150</v>
      </c>
    </row>
    <row r="96" spans="1:5">
      <c r="A96" s="12" t="s">
        <v>2292</v>
      </c>
      <c r="B96" s="12" t="s">
        <v>74</v>
      </c>
      <c r="C96" s="12" t="s">
        <v>1353</v>
      </c>
      <c r="D96" s="12" t="s">
        <v>1355</v>
      </c>
      <c r="E96" s="18">
        <v>350000</v>
      </c>
    </row>
    <row r="97" spans="1:5">
      <c r="A97" s="12" t="s">
        <v>2292</v>
      </c>
      <c r="B97" s="12" t="s">
        <v>74</v>
      </c>
      <c r="C97" s="12" t="s">
        <v>1510</v>
      </c>
      <c r="D97" s="12" t="s">
        <v>1512</v>
      </c>
      <c r="E97" s="18">
        <v>25610</v>
      </c>
    </row>
    <row r="98" spans="1:5">
      <c r="A98" s="12" t="s">
        <v>2293</v>
      </c>
      <c r="B98" s="12" t="s">
        <v>74</v>
      </c>
      <c r="C98" s="12" t="s">
        <v>363</v>
      </c>
      <c r="D98" s="12" t="s">
        <v>365</v>
      </c>
      <c r="E98" s="18">
        <v>133512</v>
      </c>
    </row>
    <row r="99" spans="1:5">
      <c r="A99" s="12" t="s">
        <v>2293</v>
      </c>
      <c r="B99" s="12" t="s">
        <v>74</v>
      </c>
      <c r="C99" s="12" t="s">
        <v>652</v>
      </c>
      <c r="D99" s="12" t="s">
        <v>654</v>
      </c>
      <c r="E99" s="18">
        <v>287709</v>
      </c>
    </row>
    <row r="100" spans="1:5">
      <c r="A100" s="12" t="s">
        <v>2293</v>
      </c>
      <c r="B100" s="12" t="s">
        <v>74</v>
      </c>
      <c r="C100" s="12" t="s">
        <v>702</v>
      </c>
      <c r="D100" s="12" t="s">
        <v>704</v>
      </c>
      <c r="E100" s="18">
        <v>40572</v>
      </c>
    </row>
    <row r="101" spans="1:5">
      <c r="A101" s="12" t="s">
        <v>2293</v>
      </c>
      <c r="B101" s="12" t="s">
        <v>74</v>
      </c>
      <c r="C101" s="12" t="s">
        <v>1063</v>
      </c>
      <c r="D101" s="12" t="s">
        <v>1065</v>
      </c>
      <c r="E101" s="18">
        <v>369217</v>
      </c>
    </row>
    <row r="102" spans="1:5">
      <c r="A102" s="12" t="s">
        <v>2294</v>
      </c>
      <c r="B102" s="12" t="s">
        <v>74</v>
      </c>
      <c r="C102" s="12" t="s">
        <v>93</v>
      </c>
      <c r="D102" s="12" t="s">
        <v>95</v>
      </c>
      <c r="E102" s="18">
        <v>53759397</v>
      </c>
    </row>
    <row r="103" spans="1:5">
      <c r="A103" s="12" t="s">
        <v>2294</v>
      </c>
      <c r="B103" s="12" t="s">
        <v>74</v>
      </c>
      <c r="C103" s="12" t="s">
        <v>159</v>
      </c>
      <c r="D103" s="12" t="s">
        <v>161</v>
      </c>
      <c r="E103" s="18">
        <v>677644</v>
      </c>
    </row>
    <row r="104" spans="1:5">
      <c r="A104" s="12" t="s">
        <v>2294</v>
      </c>
      <c r="B104" s="12" t="s">
        <v>74</v>
      </c>
      <c r="C104" s="12" t="s">
        <v>165</v>
      </c>
      <c r="D104" s="12" t="s">
        <v>167</v>
      </c>
      <c r="E104" s="18">
        <v>492669</v>
      </c>
    </row>
    <row r="105" spans="1:5">
      <c r="A105" s="12" t="s">
        <v>2294</v>
      </c>
      <c r="B105" s="12" t="s">
        <v>74</v>
      </c>
      <c r="C105" s="12" t="s">
        <v>269</v>
      </c>
      <c r="D105" s="12" t="s">
        <v>271</v>
      </c>
      <c r="E105" s="18">
        <v>22224878</v>
      </c>
    </row>
    <row r="106" spans="1:5">
      <c r="A106" s="12" t="s">
        <v>2294</v>
      </c>
      <c r="B106" s="12" t="s">
        <v>74</v>
      </c>
      <c r="C106" s="12" t="s">
        <v>363</v>
      </c>
      <c r="D106" s="12" t="s">
        <v>365</v>
      </c>
      <c r="E106" s="18">
        <v>133512</v>
      </c>
    </row>
    <row r="107" spans="1:5">
      <c r="A107" s="12" t="s">
        <v>2294</v>
      </c>
      <c r="B107" s="12" t="s">
        <v>74</v>
      </c>
      <c r="C107" s="12" t="s">
        <v>416</v>
      </c>
      <c r="D107" s="12" t="s">
        <v>418</v>
      </c>
      <c r="E107" s="18">
        <v>6765264</v>
      </c>
    </row>
    <row r="108" spans="1:5">
      <c r="A108" s="12" t="s">
        <v>2294</v>
      </c>
      <c r="B108" s="12" t="s">
        <v>74</v>
      </c>
      <c r="C108" s="12" t="s">
        <v>420</v>
      </c>
      <c r="D108" s="12" t="s">
        <v>422</v>
      </c>
      <c r="E108" s="18">
        <v>4291327</v>
      </c>
    </row>
    <row r="109" spans="1:5">
      <c r="A109" s="12" t="s">
        <v>2294</v>
      </c>
      <c r="B109" s="12" t="s">
        <v>74</v>
      </c>
      <c r="C109" s="12" t="s">
        <v>424</v>
      </c>
      <c r="D109" s="12" t="s">
        <v>426</v>
      </c>
      <c r="E109" s="18">
        <v>5799805</v>
      </c>
    </row>
    <row r="110" spans="1:5">
      <c r="A110" s="12" t="s">
        <v>2294</v>
      </c>
      <c r="B110" s="12" t="s">
        <v>74</v>
      </c>
      <c r="C110" s="12" t="s">
        <v>434</v>
      </c>
      <c r="D110" s="12" t="s">
        <v>436</v>
      </c>
      <c r="E110" s="18">
        <v>3853164</v>
      </c>
    </row>
    <row r="111" spans="1:5">
      <c r="A111" s="12" t="s">
        <v>2294</v>
      </c>
      <c r="B111" s="12" t="s">
        <v>74</v>
      </c>
      <c r="C111" s="12" t="s">
        <v>468</v>
      </c>
      <c r="D111" s="12" t="s">
        <v>470</v>
      </c>
      <c r="E111" s="18">
        <v>5270087</v>
      </c>
    </row>
    <row r="112" spans="1:5">
      <c r="A112" s="12" t="s">
        <v>2294</v>
      </c>
      <c r="B112" s="12" t="s">
        <v>74</v>
      </c>
      <c r="C112" s="12" t="s">
        <v>472</v>
      </c>
      <c r="D112" s="12" t="s">
        <v>474</v>
      </c>
      <c r="E112" s="18">
        <v>6770858</v>
      </c>
    </row>
    <row r="113" spans="1:5">
      <c r="A113" s="12" t="s">
        <v>2294</v>
      </c>
      <c r="B113" s="12" t="s">
        <v>74</v>
      </c>
      <c r="C113" s="12" t="s">
        <v>479</v>
      </c>
      <c r="D113" s="12" t="s">
        <v>481</v>
      </c>
      <c r="E113" s="18">
        <v>1827737</v>
      </c>
    </row>
    <row r="114" spans="1:5">
      <c r="A114" s="12" t="s">
        <v>2294</v>
      </c>
      <c r="B114" s="12" t="s">
        <v>74</v>
      </c>
      <c r="C114" s="12" t="s">
        <v>483</v>
      </c>
      <c r="D114" s="12" t="s">
        <v>485</v>
      </c>
      <c r="E114" s="18">
        <v>4106961</v>
      </c>
    </row>
    <row r="115" spans="1:5">
      <c r="A115" s="12" t="s">
        <v>2294</v>
      </c>
      <c r="B115" s="12" t="s">
        <v>74</v>
      </c>
      <c r="C115" s="12" t="s">
        <v>487</v>
      </c>
      <c r="D115" s="12" t="s">
        <v>489</v>
      </c>
      <c r="E115" s="18">
        <v>7751873</v>
      </c>
    </row>
    <row r="116" spans="1:5">
      <c r="A116" s="12" t="s">
        <v>2294</v>
      </c>
      <c r="B116" s="12" t="s">
        <v>74</v>
      </c>
      <c r="C116" s="12" t="s">
        <v>490</v>
      </c>
      <c r="D116" s="12" t="s">
        <v>492</v>
      </c>
      <c r="E116" s="18">
        <v>936343</v>
      </c>
    </row>
    <row r="117" spans="1:5">
      <c r="A117" s="12" t="s">
        <v>2294</v>
      </c>
      <c r="B117" s="12" t="s">
        <v>74</v>
      </c>
      <c r="C117" s="12" t="s">
        <v>493</v>
      </c>
      <c r="D117" s="12" t="s">
        <v>495</v>
      </c>
      <c r="E117" s="18">
        <v>565870</v>
      </c>
    </row>
    <row r="118" spans="1:5">
      <c r="A118" s="12" t="s">
        <v>2294</v>
      </c>
      <c r="B118" s="12" t="s">
        <v>74</v>
      </c>
      <c r="C118" s="12" t="s">
        <v>506</v>
      </c>
      <c r="D118" s="12" t="s">
        <v>508</v>
      </c>
      <c r="E118" s="18">
        <v>900000</v>
      </c>
    </row>
    <row r="119" spans="1:5">
      <c r="A119" s="12" t="s">
        <v>2294</v>
      </c>
      <c r="B119" s="12" t="s">
        <v>74</v>
      </c>
      <c r="C119" s="12" t="s">
        <v>515</v>
      </c>
      <c r="D119" s="12" t="s">
        <v>517</v>
      </c>
      <c r="E119" s="18">
        <v>4437995</v>
      </c>
    </row>
    <row r="120" spans="1:5">
      <c r="A120" s="12" t="s">
        <v>2294</v>
      </c>
      <c r="B120" s="12" t="s">
        <v>74</v>
      </c>
      <c r="C120" s="12" t="s">
        <v>518</v>
      </c>
      <c r="D120" s="12" t="s">
        <v>520</v>
      </c>
      <c r="E120" s="18">
        <v>4265759</v>
      </c>
    </row>
    <row r="121" spans="1:5">
      <c r="A121" s="12" t="s">
        <v>2294</v>
      </c>
      <c r="B121" s="12" t="s">
        <v>74</v>
      </c>
      <c r="C121" s="12" t="s">
        <v>535</v>
      </c>
      <c r="D121" s="12" t="s">
        <v>537</v>
      </c>
      <c r="E121" s="18">
        <v>1038097</v>
      </c>
    </row>
    <row r="122" spans="1:5">
      <c r="A122" s="12" t="s">
        <v>2294</v>
      </c>
      <c r="B122" s="12" t="s">
        <v>74</v>
      </c>
      <c r="C122" s="12" t="s">
        <v>542</v>
      </c>
      <c r="D122" s="12" t="s">
        <v>544</v>
      </c>
      <c r="E122" s="18">
        <v>56150305</v>
      </c>
    </row>
    <row r="123" spans="1:5">
      <c r="A123" s="12" t="s">
        <v>2294</v>
      </c>
      <c r="B123" s="12" t="s">
        <v>74</v>
      </c>
      <c r="C123" s="12" t="s">
        <v>554</v>
      </c>
      <c r="D123" s="12" t="s">
        <v>556</v>
      </c>
      <c r="E123" s="18">
        <v>41519761</v>
      </c>
    </row>
    <row r="124" spans="1:5">
      <c r="A124" s="12" t="s">
        <v>2294</v>
      </c>
      <c r="B124" s="12" t="s">
        <v>74</v>
      </c>
      <c r="C124" s="12" t="s">
        <v>557</v>
      </c>
      <c r="D124" s="12" t="s">
        <v>559</v>
      </c>
      <c r="E124" s="18">
        <v>966193</v>
      </c>
    </row>
    <row r="125" spans="1:5">
      <c r="A125" s="12" t="s">
        <v>2294</v>
      </c>
      <c r="B125" s="12" t="s">
        <v>74</v>
      </c>
      <c r="C125" s="12" t="s">
        <v>590</v>
      </c>
      <c r="D125" s="12" t="s">
        <v>592</v>
      </c>
      <c r="E125" s="18">
        <v>11000</v>
      </c>
    </row>
    <row r="126" spans="1:5">
      <c r="A126" s="12" t="s">
        <v>2294</v>
      </c>
      <c r="B126" s="12" t="s">
        <v>74</v>
      </c>
      <c r="C126" s="12" t="s">
        <v>613</v>
      </c>
      <c r="D126" s="12" t="s">
        <v>615</v>
      </c>
      <c r="E126" s="18">
        <v>81646</v>
      </c>
    </row>
    <row r="127" spans="1:5">
      <c r="A127" s="12" t="s">
        <v>2294</v>
      </c>
      <c r="B127" s="12" t="s">
        <v>74</v>
      </c>
      <c r="C127" s="12" t="s">
        <v>617</v>
      </c>
      <c r="D127" s="12" t="s">
        <v>619</v>
      </c>
      <c r="E127" s="18">
        <v>292573</v>
      </c>
    </row>
    <row r="128" spans="1:5">
      <c r="A128" s="12" t="s">
        <v>2294</v>
      </c>
      <c r="B128" s="12" t="s">
        <v>74</v>
      </c>
      <c r="C128" s="12" t="s">
        <v>627</v>
      </c>
      <c r="D128" s="12" t="s">
        <v>629</v>
      </c>
      <c r="E128" s="18">
        <v>58627</v>
      </c>
    </row>
    <row r="129" spans="1:5">
      <c r="A129" s="12" t="s">
        <v>2294</v>
      </c>
      <c r="B129" s="12" t="s">
        <v>74</v>
      </c>
      <c r="C129" s="12" t="s">
        <v>631</v>
      </c>
      <c r="D129" s="12" t="s">
        <v>633</v>
      </c>
      <c r="E129" s="18">
        <v>220496</v>
      </c>
    </row>
    <row r="130" spans="1:5">
      <c r="A130" s="12" t="s">
        <v>2294</v>
      </c>
      <c r="B130" s="12" t="s">
        <v>74</v>
      </c>
      <c r="C130" s="12" t="s">
        <v>658</v>
      </c>
      <c r="D130" s="12" t="s">
        <v>660</v>
      </c>
      <c r="E130" s="18">
        <v>200000</v>
      </c>
    </row>
    <row r="131" spans="1:5">
      <c r="A131" s="12" t="s">
        <v>2294</v>
      </c>
      <c r="B131" s="12" t="s">
        <v>74</v>
      </c>
      <c r="C131" s="12" t="s">
        <v>666</v>
      </c>
      <c r="D131" s="12" t="s">
        <v>668</v>
      </c>
      <c r="E131" s="18">
        <v>412686</v>
      </c>
    </row>
    <row r="132" spans="1:5">
      <c r="A132" s="12" t="s">
        <v>2294</v>
      </c>
      <c r="B132" s="12" t="s">
        <v>74</v>
      </c>
      <c r="C132" s="12" t="s">
        <v>680</v>
      </c>
      <c r="D132" s="12" t="s">
        <v>682</v>
      </c>
      <c r="E132" s="18">
        <v>18371</v>
      </c>
    </row>
    <row r="133" spans="1:5">
      <c r="A133" s="12" t="s">
        <v>2294</v>
      </c>
      <c r="B133" s="12" t="s">
        <v>74</v>
      </c>
      <c r="C133" s="12" t="s">
        <v>685</v>
      </c>
      <c r="D133" s="12" t="s">
        <v>687</v>
      </c>
      <c r="E133" s="18">
        <v>225183</v>
      </c>
    </row>
    <row r="134" spans="1:5">
      <c r="A134" s="12" t="s">
        <v>2294</v>
      </c>
      <c r="B134" s="12" t="s">
        <v>74</v>
      </c>
      <c r="C134" s="12" t="s">
        <v>702</v>
      </c>
      <c r="D134" s="12" t="s">
        <v>704</v>
      </c>
      <c r="E134" s="18">
        <v>40572</v>
      </c>
    </row>
    <row r="135" spans="1:5">
      <c r="A135" s="12" t="s">
        <v>2294</v>
      </c>
      <c r="B135" s="12" t="s">
        <v>74</v>
      </c>
      <c r="C135" s="12" t="s">
        <v>706</v>
      </c>
      <c r="D135" s="12" t="s">
        <v>708</v>
      </c>
      <c r="E135" s="18">
        <v>75291</v>
      </c>
    </row>
    <row r="136" spans="1:5">
      <c r="A136" s="12" t="s">
        <v>2294</v>
      </c>
      <c r="B136" s="12" t="s">
        <v>74</v>
      </c>
      <c r="C136" s="12" t="s">
        <v>716</v>
      </c>
      <c r="D136" s="12" t="s">
        <v>718</v>
      </c>
      <c r="E136" s="18">
        <v>500000</v>
      </c>
    </row>
    <row r="137" spans="1:5">
      <c r="A137" s="12" t="s">
        <v>2294</v>
      </c>
      <c r="B137" s="12" t="s">
        <v>74</v>
      </c>
      <c r="C137" s="12" t="s">
        <v>735</v>
      </c>
      <c r="D137" s="12" t="s">
        <v>737</v>
      </c>
      <c r="E137" s="18">
        <v>654662</v>
      </c>
    </row>
    <row r="138" spans="1:5">
      <c r="A138" s="12" t="s">
        <v>2294</v>
      </c>
      <c r="B138" s="12" t="s">
        <v>74</v>
      </c>
      <c r="C138" s="12" t="s">
        <v>936</v>
      </c>
      <c r="D138" s="12" t="s">
        <v>938</v>
      </c>
      <c r="E138" s="18">
        <v>2394005</v>
      </c>
    </row>
    <row r="139" spans="1:5">
      <c r="A139" s="12" t="s">
        <v>2294</v>
      </c>
      <c r="B139" s="12" t="s">
        <v>74</v>
      </c>
      <c r="C139" s="12" t="s">
        <v>1063</v>
      </c>
      <c r="D139" s="12" t="s">
        <v>1065</v>
      </c>
      <c r="E139" s="18">
        <v>369217</v>
      </c>
    </row>
    <row r="140" spans="1:5">
      <c r="A140" s="12" t="s">
        <v>2294</v>
      </c>
      <c r="B140" s="12" t="s">
        <v>74</v>
      </c>
      <c r="C140" s="12" t="s">
        <v>1073</v>
      </c>
      <c r="D140" s="12" t="s">
        <v>1075</v>
      </c>
      <c r="E140" s="18">
        <v>1376515</v>
      </c>
    </row>
    <row r="141" spans="1:5">
      <c r="A141" s="12" t="s">
        <v>2294</v>
      </c>
      <c r="B141" s="12" t="s">
        <v>74</v>
      </c>
      <c r="C141" s="12" t="s">
        <v>1088</v>
      </c>
      <c r="D141" s="12" t="s">
        <v>1090</v>
      </c>
      <c r="E141" s="18">
        <v>100000</v>
      </c>
    </row>
    <row r="142" spans="1:5">
      <c r="A142" s="12" t="s">
        <v>2294</v>
      </c>
      <c r="B142" s="12" t="s">
        <v>74</v>
      </c>
      <c r="C142" s="12" t="s">
        <v>1100</v>
      </c>
      <c r="D142" s="12" t="s">
        <v>1102</v>
      </c>
      <c r="E142" s="18">
        <v>159946</v>
      </c>
    </row>
    <row r="143" spans="1:5">
      <c r="A143" s="12" t="s">
        <v>2294</v>
      </c>
      <c r="B143" s="12" t="s">
        <v>74</v>
      </c>
      <c r="C143" s="12" t="s">
        <v>1107</v>
      </c>
      <c r="D143" s="12" t="s">
        <v>1109</v>
      </c>
      <c r="E143" s="18">
        <v>159560</v>
      </c>
    </row>
    <row r="144" spans="1:5">
      <c r="A144" s="12" t="s">
        <v>2294</v>
      </c>
      <c r="B144" s="12" t="s">
        <v>74</v>
      </c>
      <c r="C144" s="12" t="s">
        <v>1110</v>
      </c>
      <c r="D144" s="12" t="s">
        <v>1112</v>
      </c>
      <c r="E144" s="18">
        <v>158892</v>
      </c>
    </row>
    <row r="145" spans="1:5">
      <c r="A145" s="12" t="s">
        <v>2294</v>
      </c>
      <c r="B145" s="12" t="s">
        <v>74</v>
      </c>
      <c r="C145" s="12" t="s">
        <v>1113</v>
      </c>
      <c r="D145" s="12" t="s">
        <v>1115</v>
      </c>
      <c r="E145" s="18">
        <v>160000</v>
      </c>
    </row>
    <row r="146" spans="1:5">
      <c r="A146" s="12" t="s">
        <v>2294</v>
      </c>
      <c r="B146" s="12" t="s">
        <v>74</v>
      </c>
      <c r="C146" s="12" t="s">
        <v>1116</v>
      </c>
      <c r="D146" s="12" t="s">
        <v>1118</v>
      </c>
      <c r="E146" s="18">
        <v>83160</v>
      </c>
    </row>
    <row r="147" spans="1:5">
      <c r="A147" s="12" t="s">
        <v>2294</v>
      </c>
      <c r="B147" s="12" t="s">
        <v>74</v>
      </c>
      <c r="C147" s="12" t="s">
        <v>1129</v>
      </c>
      <c r="D147" s="12" t="s">
        <v>1131</v>
      </c>
      <c r="E147" s="18">
        <v>350000</v>
      </c>
    </row>
    <row r="148" spans="1:5">
      <c r="A148" s="12" t="s">
        <v>2294</v>
      </c>
      <c r="B148" s="12" t="s">
        <v>74</v>
      </c>
      <c r="C148" s="12" t="s">
        <v>1132</v>
      </c>
      <c r="D148" s="12" t="s">
        <v>1134</v>
      </c>
      <c r="E148" s="18">
        <v>349950</v>
      </c>
    </row>
    <row r="149" spans="1:5">
      <c r="A149" s="12" t="s">
        <v>2294</v>
      </c>
      <c r="B149" s="12" t="s">
        <v>74</v>
      </c>
      <c r="C149" s="12" t="s">
        <v>1135</v>
      </c>
      <c r="D149" s="12" t="s">
        <v>1137</v>
      </c>
      <c r="E149" s="18">
        <v>349899</v>
      </c>
    </row>
    <row r="150" spans="1:5">
      <c r="A150" s="12" t="s">
        <v>2294</v>
      </c>
      <c r="B150" s="12" t="s">
        <v>74</v>
      </c>
      <c r="C150" s="12" t="s">
        <v>1138</v>
      </c>
      <c r="D150" s="12" t="s">
        <v>1140</v>
      </c>
      <c r="E150" s="18">
        <v>349792</v>
      </c>
    </row>
    <row r="151" spans="1:5">
      <c r="A151" s="12" t="s">
        <v>2294</v>
      </c>
      <c r="B151" s="12" t="s">
        <v>74</v>
      </c>
      <c r="C151" s="12" t="s">
        <v>1141</v>
      </c>
      <c r="D151" s="12" t="s">
        <v>1143</v>
      </c>
      <c r="E151" s="18">
        <v>349792</v>
      </c>
    </row>
    <row r="152" spans="1:5">
      <c r="A152" s="12" t="s">
        <v>2294</v>
      </c>
      <c r="B152" s="12" t="s">
        <v>74</v>
      </c>
      <c r="C152" s="12" t="s">
        <v>1144</v>
      </c>
      <c r="D152" s="12" t="s">
        <v>1146</v>
      </c>
      <c r="E152" s="18">
        <v>346711</v>
      </c>
    </row>
    <row r="153" spans="1:5">
      <c r="A153" s="12" t="s">
        <v>2294</v>
      </c>
      <c r="B153" s="12" t="s">
        <v>74</v>
      </c>
      <c r="C153" s="12" t="s">
        <v>1147</v>
      </c>
      <c r="D153" s="12" t="s">
        <v>1149</v>
      </c>
      <c r="E153" s="18">
        <v>269980</v>
      </c>
    </row>
    <row r="154" spans="1:5">
      <c r="A154" s="12" t="s">
        <v>2294</v>
      </c>
      <c r="B154" s="12" t="s">
        <v>74</v>
      </c>
      <c r="C154" s="12" t="s">
        <v>1150</v>
      </c>
      <c r="D154" s="12" t="s">
        <v>1152</v>
      </c>
      <c r="E154" s="18">
        <v>209400</v>
      </c>
    </row>
    <row r="155" spans="1:5">
      <c r="A155" s="12" t="s">
        <v>2294</v>
      </c>
      <c r="B155" s="12" t="s">
        <v>74</v>
      </c>
      <c r="C155" s="12" t="s">
        <v>1153</v>
      </c>
      <c r="D155" s="12" t="s">
        <v>1155</v>
      </c>
      <c r="E155" s="18">
        <v>160000</v>
      </c>
    </row>
    <row r="156" spans="1:5">
      <c r="A156" s="12" t="s">
        <v>2294</v>
      </c>
      <c r="B156" s="12" t="s">
        <v>74</v>
      </c>
      <c r="C156" s="12" t="s">
        <v>1156</v>
      </c>
      <c r="D156" s="12" t="s">
        <v>1158</v>
      </c>
      <c r="E156" s="18">
        <v>160000</v>
      </c>
    </row>
    <row r="157" spans="1:5">
      <c r="A157" s="12" t="s">
        <v>2294</v>
      </c>
      <c r="B157" s="12" t="s">
        <v>74</v>
      </c>
      <c r="C157" s="12" t="s">
        <v>1159</v>
      </c>
      <c r="D157" s="12" t="s">
        <v>1161</v>
      </c>
      <c r="E157" s="18">
        <v>160000</v>
      </c>
    </row>
    <row r="158" spans="1:5">
      <c r="A158" s="12" t="s">
        <v>2294</v>
      </c>
      <c r="B158" s="12" t="s">
        <v>74</v>
      </c>
      <c r="C158" s="12" t="s">
        <v>1162</v>
      </c>
      <c r="D158" s="12" t="s">
        <v>1164</v>
      </c>
      <c r="E158" s="18">
        <v>160000</v>
      </c>
    </row>
    <row r="159" spans="1:5">
      <c r="A159" s="12" t="s">
        <v>2294</v>
      </c>
      <c r="B159" s="12" t="s">
        <v>74</v>
      </c>
      <c r="C159" s="12" t="s">
        <v>1165</v>
      </c>
      <c r="D159" s="12" t="s">
        <v>1167</v>
      </c>
      <c r="E159" s="18">
        <v>160000</v>
      </c>
    </row>
    <row r="160" spans="1:5">
      <c r="A160" s="12" t="s">
        <v>2294</v>
      </c>
      <c r="B160" s="12" t="s">
        <v>74</v>
      </c>
      <c r="C160" s="12" t="s">
        <v>1168</v>
      </c>
      <c r="D160" s="12" t="s">
        <v>1170</v>
      </c>
      <c r="E160" s="18">
        <v>160000</v>
      </c>
    </row>
    <row r="161" spans="1:5">
      <c r="A161" s="12" t="s">
        <v>2294</v>
      </c>
      <c r="B161" s="12" t="s">
        <v>74</v>
      </c>
      <c r="C161" s="12" t="s">
        <v>1171</v>
      </c>
      <c r="D161" s="12" t="s">
        <v>1173</v>
      </c>
      <c r="E161" s="18">
        <v>160000</v>
      </c>
    </row>
    <row r="162" spans="1:5">
      <c r="A162" s="12" t="s">
        <v>2294</v>
      </c>
      <c r="B162" s="12" t="s">
        <v>74</v>
      </c>
      <c r="C162" s="12" t="s">
        <v>1174</v>
      </c>
      <c r="D162" s="12" t="s">
        <v>1176</v>
      </c>
      <c r="E162" s="18">
        <v>160000</v>
      </c>
    </row>
    <row r="163" spans="1:5">
      <c r="A163" s="12" t="s">
        <v>2294</v>
      </c>
      <c r="B163" s="12" t="s">
        <v>74</v>
      </c>
      <c r="C163" s="12" t="s">
        <v>1177</v>
      </c>
      <c r="D163" s="12" t="s">
        <v>1179</v>
      </c>
      <c r="E163" s="18">
        <v>160000</v>
      </c>
    </row>
    <row r="164" spans="1:5">
      <c r="A164" s="12" t="s">
        <v>2294</v>
      </c>
      <c r="B164" s="12" t="s">
        <v>74</v>
      </c>
      <c r="C164" s="12" t="s">
        <v>1180</v>
      </c>
      <c r="D164" s="12" t="s">
        <v>1182</v>
      </c>
      <c r="E164" s="18">
        <v>61500</v>
      </c>
    </row>
    <row r="165" spans="1:5">
      <c r="A165" s="12" t="s">
        <v>2294</v>
      </c>
      <c r="B165" s="12" t="s">
        <v>74</v>
      </c>
      <c r="C165" s="12" t="s">
        <v>1183</v>
      </c>
      <c r="D165" s="12" t="s">
        <v>1185</v>
      </c>
      <c r="E165" s="18">
        <v>62000</v>
      </c>
    </row>
    <row r="166" spans="1:5">
      <c r="A166" s="12" t="s">
        <v>2294</v>
      </c>
      <c r="B166" s="12" t="s">
        <v>74</v>
      </c>
      <c r="C166" s="12" t="s">
        <v>1186</v>
      </c>
      <c r="D166" s="12" t="s">
        <v>1188</v>
      </c>
      <c r="E166" s="18">
        <v>63755</v>
      </c>
    </row>
    <row r="167" spans="1:5">
      <c r="A167" s="12" t="s">
        <v>2294</v>
      </c>
      <c r="B167" s="12" t="s">
        <v>74</v>
      </c>
      <c r="C167" s="12" t="s">
        <v>1189</v>
      </c>
      <c r="D167" s="12" t="s">
        <v>1191</v>
      </c>
      <c r="E167" s="18">
        <v>65438</v>
      </c>
    </row>
    <row r="168" spans="1:5">
      <c r="A168" s="12" t="s">
        <v>2294</v>
      </c>
      <c r="B168" s="12" t="s">
        <v>74</v>
      </c>
      <c r="C168" s="12" t="s">
        <v>1192</v>
      </c>
      <c r="D168" s="12" t="s">
        <v>1194</v>
      </c>
      <c r="E168" s="18">
        <v>61200</v>
      </c>
    </row>
    <row r="169" spans="1:5">
      <c r="A169" s="12" t="s">
        <v>2294</v>
      </c>
      <c r="B169" s="12" t="s">
        <v>74</v>
      </c>
      <c r="C169" s="12" t="s">
        <v>1195</v>
      </c>
      <c r="D169" s="12" t="s">
        <v>1197</v>
      </c>
      <c r="E169" s="18">
        <v>2936</v>
      </c>
    </row>
    <row r="170" spans="1:5">
      <c r="A170" s="12" t="s">
        <v>2294</v>
      </c>
      <c r="B170" s="12" t="s">
        <v>74</v>
      </c>
      <c r="C170" s="12" t="s">
        <v>1198</v>
      </c>
      <c r="D170" s="12" t="s">
        <v>1200</v>
      </c>
      <c r="E170" s="18">
        <v>10692</v>
      </c>
    </row>
    <row r="171" spans="1:5">
      <c r="A171" s="12" t="s">
        <v>2294</v>
      </c>
      <c r="B171" s="12" t="s">
        <v>74</v>
      </c>
      <c r="C171" s="12" t="s">
        <v>1201</v>
      </c>
      <c r="D171" s="12" t="s">
        <v>1203</v>
      </c>
      <c r="E171" s="18">
        <v>7816</v>
      </c>
    </row>
    <row r="172" spans="1:5">
      <c r="A172" s="12" t="s">
        <v>2294</v>
      </c>
      <c r="B172" s="12" t="s">
        <v>74</v>
      </c>
      <c r="C172" s="12" t="s">
        <v>1204</v>
      </c>
      <c r="D172" s="12" t="s">
        <v>1206</v>
      </c>
      <c r="E172" s="18">
        <v>3546</v>
      </c>
    </row>
    <row r="173" spans="1:5">
      <c r="A173" s="12" t="s">
        <v>2294</v>
      </c>
      <c r="B173" s="12" t="s">
        <v>74</v>
      </c>
      <c r="C173" s="12" t="s">
        <v>1207</v>
      </c>
      <c r="D173" s="12" t="s">
        <v>1209</v>
      </c>
      <c r="E173" s="18">
        <v>2555</v>
      </c>
    </row>
    <row r="174" spans="1:5">
      <c r="A174" s="12" t="s">
        <v>2294</v>
      </c>
      <c r="B174" s="12" t="s">
        <v>74</v>
      </c>
      <c r="C174" s="12" t="s">
        <v>1210</v>
      </c>
      <c r="D174" s="12" t="s">
        <v>1212</v>
      </c>
      <c r="E174" s="18">
        <v>73376</v>
      </c>
    </row>
    <row r="175" spans="1:5">
      <c r="A175" s="12" t="s">
        <v>2294</v>
      </c>
      <c r="B175" s="12" t="s">
        <v>74</v>
      </c>
      <c r="C175" s="12" t="s">
        <v>1213</v>
      </c>
      <c r="D175" s="12" t="s">
        <v>1215</v>
      </c>
      <c r="E175" s="18">
        <v>54964</v>
      </c>
    </row>
    <row r="176" spans="1:5">
      <c r="A176" s="12" t="s">
        <v>2294</v>
      </c>
      <c r="B176" s="12" t="s">
        <v>74</v>
      </c>
      <c r="C176" s="12" t="s">
        <v>1216</v>
      </c>
      <c r="D176" s="12" t="s">
        <v>1218</v>
      </c>
      <c r="E176" s="18">
        <v>73915</v>
      </c>
    </row>
    <row r="177" spans="1:5">
      <c r="A177" s="12" t="s">
        <v>2294</v>
      </c>
      <c r="B177" s="12" t="s">
        <v>74</v>
      </c>
      <c r="C177" s="12" t="s">
        <v>1219</v>
      </c>
      <c r="D177" s="12" t="s">
        <v>1221</v>
      </c>
      <c r="E177" s="18">
        <v>5098</v>
      </c>
    </row>
    <row r="178" spans="1:5">
      <c r="A178" s="12" t="s">
        <v>2294</v>
      </c>
      <c r="B178" s="12" t="s">
        <v>74</v>
      </c>
      <c r="C178" s="12" t="s">
        <v>1222</v>
      </c>
      <c r="D178" s="12" t="s">
        <v>1224</v>
      </c>
      <c r="E178" s="18">
        <v>4800</v>
      </c>
    </row>
    <row r="179" spans="1:5">
      <c r="A179" s="12" t="s">
        <v>2294</v>
      </c>
      <c r="B179" s="12" t="s">
        <v>74</v>
      </c>
      <c r="C179" s="12" t="s">
        <v>1225</v>
      </c>
      <c r="D179" s="12" t="s">
        <v>1227</v>
      </c>
      <c r="E179" s="18">
        <v>12800</v>
      </c>
    </row>
    <row r="180" spans="1:5">
      <c r="A180" s="12" t="s">
        <v>2294</v>
      </c>
      <c r="B180" s="12" t="s">
        <v>74</v>
      </c>
      <c r="C180" s="12" t="s">
        <v>1228</v>
      </c>
      <c r="D180" s="12" t="s">
        <v>1230</v>
      </c>
      <c r="E180" s="18">
        <v>57400</v>
      </c>
    </row>
    <row r="181" spans="1:5">
      <c r="A181" s="12" t="s">
        <v>2294</v>
      </c>
      <c r="B181" s="12" t="s">
        <v>74</v>
      </c>
      <c r="C181" s="12" t="s">
        <v>1231</v>
      </c>
      <c r="D181" s="12" t="s">
        <v>1233</v>
      </c>
      <c r="E181" s="18">
        <v>5898</v>
      </c>
    </row>
    <row r="182" spans="1:5">
      <c r="A182" s="12" t="s">
        <v>2294</v>
      </c>
      <c r="B182" s="12" t="s">
        <v>74</v>
      </c>
      <c r="C182" s="12" t="s">
        <v>1234</v>
      </c>
      <c r="D182" s="12" t="s">
        <v>1236</v>
      </c>
      <c r="E182" s="18">
        <v>3000</v>
      </c>
    </row>
    <row r="183" spans="1:5">
      <c r="A183" s="12" t="s">
        <v>2294</v>
      </c>
      <c r="B183" s="12" t="s">
        <v>74</v>
      </c>
      <c r="C183" s="12" t="s">
        <v>1237</v>
      </c>
      <c r="D183" s="12" t="s">
        <v>1239</v>
      </c>
      <c r="E183" s="18">
        <v>87790</v>
      </c>
    </row>
    <row r="184" spans="1:5">
      <c r="A184" s="12" t="s">
        <v>2294</v>
      </c>
      <c r="B184" s="12" t="s">
        <v>74</v>
      </c>
      <c r="C184" s="12" t="s">
        <v>1240</v>
      </c>
      <c r="D184" s="12" t="s">
        <v>1242</v>
      </c>
      <c r="E184" s="18">
        <v>14715</v>
      </c>
    </row>
    <row r="185" spans="1:5">
      <c r="A185" s="12" t="s">
        <v>2294</v>
      </c>
      <c r="B185" s="12" t="s">
        <v>74</v>
      </c>
      <c r="C185" s="12" t="s">
        <v>1243</v>
      </c>
      <c r="D185" s="12" t="s">
        <v>1245</v>
      </c>
      <c r="E185" s="18">
        <v>159547</v>
      </c>
    </row>
    <row r="186" spans="1:5">
      <c r="A186" s="12" t="s">
        <v>2294</v>
      </c>
      <c r="B186" s="12" t="s">
        <v>74</v>
      </c>
      <c r="C186" s="12" t="s">
        <v>1246</v>
      </c>
      <c r="D186" s="12" t="s">
        <v>1248</v>
      </c>
      <c r="E186" s="18">
        <v>158642</v>
      </c>
    </row>
    <row r="187" spans="1:5">
      <c r="A187" s="12" t="s">
        <v>2294</v>
      </c>
      <c r="B187" s="12" t="s">
        <v>74</v>
      </c>
      <c r="C187" s="12" t="s">
        <v>1249</v>
      </c>
      <c r="D187" s="12" t="s">
        <v>1251</v>
      </c>
      <c r="E187" s="18">
        <v>159352</v>
      </c>
    </row>
    <row r="188" spans="1:5">
      <c r="A188" s="12" t="s">
        <v>2294</v>
      </c>
      <c r="B188" s="12" t="s">
        <v>74</v>
      </c>
      <c r="C188" s="12" t="s">
        <v>1252</v>
      </c>
      <c r="D188" s="12" t="s">
        <v>1254</v>
      </c>
      <c r="E188" s="18">
        <v>159613</v>
      </c>
    </row>
    <row r="189" spans="1:5">
      <c r="A189" s="12" t="s">
        <v>2294</v>
      </c>
      <c r="B189" s="12" t="s">
        <v>74</v>
      </c>
      <c r="C189" s="12" t="s">
        <v>1255</v>
      </c>
      <c r="D189" s="12" t="s">
        <v>1257</v>
      </c>
      <c r="E189" s="18">
        <v>159555</v>
      </c>
    </row>
    <row r="190" spans="1:5">
      <c r="A190" s="12" t="s">
        <v>2294</v>
      </c>
      <c r="B190" s="12" t="s">
        <v>74</v>
      </c>
      <c r="C190" s="12" t="s">
        <v>1258</v>
      </c>
      <c r="D190" s="12" t="s">
        <v>1260</v>
      </c>
      <c r="E190" s="18">
        <v>154799</v>
      </c>
    </row>
    <row r="191" spans="1:5">
      <c r="A191" s="12" t="s">
        <v>2294</v>
      </c>
      <c r="B191" s="12" t="s">
        <v>74</v>
      </c>
      <c r="C191" s="12" t="s">
        <v>1261</v>
      </c>
      <c r="D191" s="12" t="s">
        <v>1263</v>
      </c>
      <c r="E191" s="18">
        <v>155278</v>
      </c>
    </row>
    <row r="192" spans="1:5">
      <c r="A192" s="12" t="s">
        <v>2294</v>
      </c>
      <c r="B192" s="12" t="s">
        <v>74</v>
      </c>
      <c r="C192" s="12" t="s">
        <v>1264</v>
      </c>
      <c r="D192" s="12" t="s">
        <v>1266</v>
      </c>
      <c r="E192" s="18">
        <v>159890</v>
      </c>
    </row>
    <row r="193" spans="1:5">
      <c r="A193" s="12" t="s">
        <v>2294</v>
      </c>
      <c r="B193" s="12" t="s">
        <v>74</v>
      </c>
      <c r="C193" s="12" t="s">
        <v>1267</v>
      </c>
      <c r="D193" s="12" t="s">
        <v>1269</v>
      </c>
      <c r="E193" s="18">
        <v>159321</v>
      </c>
    </row>
    <row r="194" spans="1:5">
      <c r="A194" s="12" t="s">
        <v>2294</v>
      </c>
      <c r="B194" s="12" t="s">
        <v>74</v>
      </c>
      <c r="C194" s="12" t="s">
        <v>1270</v>
      </c>
      <c r="D194" s="12" t="s">
        <v>1272</v>
      </c>
      <c r="E194" s="18">
        <v>146532</v>
      </c>
    </row>
    <row r="195" spans="1:5">
      <c r="A195" s="12" t="s">
        <v>2294</v>
      </c>
      <c r="B195" s="12" t="s">
        <v>74</v>
      </c>
      <c r="C195" s="12" t="s">
        <v>1273</v>
      </c>
      <c r="D195" s="12" t="s">
        <v>1275</v>
      </c>
      <c r="E195" s="18">
        <v>155656</v>
      </c>
    </row>
    <row r="196" spans="1:5">
      <c r="A196" s="12" t="s">
        <v>2294</v>
      </c>
      <c r="B196" s="12" t="s">
        <v>74</v>
      </c>
      <c r="C196" s="12" t="s">
        <v>1276</v>
      </c>
      <c r="D196" s="12" t="s">
        <v>1278</v>
      </c>
      <c r="E196" s="18">
        <v>159060</v>
      </c>
    </row>
    <row r="197" spans="1:5">
      <c r="A197" s="12" t="s">
        <v>2294</v>
      </c>
      <c r="B197" s="12" t="s">
        <v>74</v>
      </c>
      <c r="C197" s="12" t="s">
        <v>1279</v>
      </c>
      <c r="D197" s="12" t="s">
        <v>1281</v>
      </c>
      <c r="E197" s="18">
        <v>159862</v>
      </c>
    </row>
    <row r="198" spans="1:5">
      <c r="A198" s="12" t="s">
        <v>2294</v>
      </c>
      <c r="B198" s="12" t="s">
        <v>74</v>
      </c>
      <c r="C198" s="12" t="s">
        <v>1282</v>
      </c>
      <c r="D198" s="12" t="s">
        <v>1284</v>
      </c>
      <c r="E198" s="18">
        <v>157300</v>
      </c>
    </row>
    <row r="199" spans="1:5">
      <c r="A199" s="12" t="s">
        <v>2294</v>
      </c>
      <c r="B199" s="12" t="s">
        <v>74</v>
      </c>
      <c r="C199" s="12" t="s">
        <v>1285</v>
      </c>
      <c r="D199" s="12" t="s">
        <v>1287</v>
      </c>
      <c r="E199" s="18">
        <v>159720</v>
      </c>
    </row>
    <row r="200" spans="1:5">
      <c r="A200" s="12" t="s">
        <v>2294</v>
      </c>
      <c r="B200" s="12" t="s">
        <v>74</v>
      </c>
      <c r="C200" s="12" t="s">
        <v>1288</v>
      </c>
      <c r="D200" s="12" t="s">
        <v>1290</v>
      </c>
      <c r="E200" s="18">
        <v>159007</v>
      </c>
    </row>
    <row r="201" spans="1:5">
      <c r="A201" s="12" t="s">
        <v>2294</v>
      </c>
      <c r="B201" s="12" t="s">
        <v>74</v>
      </c>
      <c r="C201" s="12" t="s">
        <v>1291</v>
      </c>
      <c r="D201" s="12" t="s">
        <v>1293</v>
      </c>
      <c r="E201" s="18">
        <v>159876</v>
      </c>
    </row>
    <row r="202" spans="1:5">
      <c r="A202" s="12" t="s">
        <v>2294</v>
      </c>
      <c r="B202" s="12" t="s">
        <v>74</v>
      </c>
      <c r="C202" s="12" t="s">
        <v>1294</v>
      </c>
      <c r="D202" s="12" t="s">
        <v>1296</v>
      </c>
      <c r="E202" s="18">
        <v>158527</v>
      </c>
    </row>
    <row r="203" spans="1:5">
      <c r="A203" s="12" t="s">
        <v>2294</v>
      </c>
      <c r="B203" s="12" t="s">
        <v>74</v>
      </c>
      <c r="C203" s="12" t="s">
        <v>1297</v>
      </c>
      <c r="D203" s="12" t="s">
        <v>1299</v>
      </c>
      <c r="E203" s="18">
        <v>158640</v>
      </c>
    </row>
    <row r="204" spans="1:5">
      <c r="A204" s="12" t="s">
        <v>2294</v>
      </c>
      <c r="B204" s="12" t="s">
        <v>74</v>
      </c>
      <c r="C204" s="12" t="s">
        <v>1300</v>
      </c>
      <c r="D204" s="12" t="s">
        <v>1302</v>
      </c>
      <c r="E204" s="18">
        <v>159041</v>
      </c>
    </row>
    <row r="205" spans="1:5">
      <c r="A205" s="12" t="s">
        <v>2294</v>
      </c>
      <c r="B205" s="12" t="s">
        <v>74</v>
      </c>
      <c r="C205" s="12" t="s">
        <v>1303</v>
      </c>
      <c r="D205" s="12" t="s">
        <v>1305</v>
      </c>
      <c r="E205" s="18">
        <v>159584</v>
      </c>
    </row>
    <row r="206" spans="1:5">
      <c r="A206" s="12" t="s">
        <v>2294</v>
      </c>
      <c r="B206" s="12" t="s">
        <v>74</v>
      </c>
      <c r="C206" s="12" t="s">
        <v>1306</v>
      </c>
      <c r="D206" s="12" t="s">
        <v>1308</v>
      </c>
      <c r="E206" s="18">
        <v>159830</v>
      </c>
    </row>
    <row r="207" spans="1:5">
      <c r="A207" s="12" t="s">
        <v>2294</v>
      </c>
      <c r="B207" s="12" t="s">
        <v>74</v>
      </c>
      <c r="C207" s="12" t="s">
        <v>1309</v>
      </c>
      <c r="D207" s="12" t="s">
        <v>1311</v>
      </c>
      <c r="E207" s="18">
        <v>159880</v>
      </c>
    </row>
    <row r="208" spans="1:5">
      <c r="A208" s="12" t="s">
        <v>2294</v>
      </c>
      <c r="B208" s="12" t="s">
        <v>74</v>
      </c>
      <c r="C208" s="12" t="s">
        <v>1312</v>
      </c>
      <c r="D208" s="12" t="s">
        <v>1314</v>
      </c>
      <c r="E208" s="18">
        <v>159978</v>
      </c>
    </row>
    <row r="209" spans="1:5">
      <c r="A209" s="12" t="s">
        <v>2294</v>
      </c>
      <c r="B209" s="12" t="s">
        <v>74</v>
      </c>
      <c r="C209" s="12" t="s">
        <v>1318</v>
      </c>
      <c r="D209" s="12" t="s">
        <v>1320</v>
      </c>
      <c r="E209" s="18">
        <v>2795</v>
      </c>
    </row>
    <row r="210" spans="1:5">
      <c r="A210" s="12" t="s">
        <v>2294</v>
      </c>
      <c r="B210" s="12" t="s">
        <v>74</v>
      </c>
      <c r="C210" s="12" t="s">
        <v>1322</v>
      </c>
      <c r="D210" s="12" t="s">
        <v>1324</v>
      </c>
      <c r="E210" s="18">
        <v>179500</v>
      </c>
    </row>
    <row r="211" spans="1:5">
      <c r="A211" s="12" t="s">
        <v>2294</v>
      </c>
      <c r="B211" s="12" t="s">
        <v>74</v>
      </c>
      <c r="C211" s="12" t="s">
        <v>1325</v>
      </c>
      <c r="D211" s="12" t="s">
        <v>1327</v>
      </c>
      <c r="E211" s="18">
        <v>175166</v>
      </c>
    </row>
    <row r="212" spans="1:5">
      <c r="A212" s="12" t="s">
        <v>2294</v>
      </c>
      <c r="B212" s="12" t="s">
        <v>74</v>
      </c>
      <c r="C212" s="12" t="s">
        <v>1328</v>
      </c>
      <c r="D212" s="12" t="s">
        <v>1330</v>
      </c>
      <c r="E212" s="18">
        <v>349792</v>
      </c>
    </row>
    <row r="213" spans="1:5">
      <c r="A213" s="12" t="s">
        <v>2294</v>
      </c>
      <c r="B213" s="12" t="s">
        <v>74</v>
      </c>
      <c r="C213" s="12" t="s">
        <v>1331</v>
      </c>
      <c r="D213" s="12" t="s">
        <v>1333</v>
      </c>
      <c r="E213" s="18">
        <v>349668</v>
      </c>
    </row>
    <row r="214" spans="1:5">
      <c r="A214" s="12" t="s">
        <v>2294</v>
      </c>
      <c r="B214" s="12" t="s">
        <v>74</v>
      </c>
      <c r="C214" s="12" t="s">
        <v>1335</v>
      </c>
      <c r="D214" s="12" t="s">
        <v>1337</v>
      </c>
      <c r="E214" s="18">
        <v>5365</v>
      </c>
    </row>
    <row r="215" spans="1:5">
      <c r="A215" s="12" t="s">
        <v>2294</v>
      </c>
      <c r="B215" s="12" t="s">
        <v>74</v>
      </c>
      <c r="C215" s="12" t="s">
        <v>1338</v>
      </c>
      <c r="D215" s="12" t="s">
        <v>1340</v>
      </c>
      <c r="E215" s="18">
        <v>335890</v>
      </c>
    </row>
    <row r="216" spans="1:5">
      <c r="A216" s="12" t="s">
        <v>2294</v>
      </c>
      <c r="B216" s="12" t="s">
        <v>74</v>
      </c>
      <c r="C216" s="12" t="s">
        <v>1341</v>
      </c>
      <c r="D216" s="12" t="s">
        <v>1343</v>
      </c>
      <c r="E216" s="18">
        <v>157066</v>
      </c>
    </row>
    <row r="217" spans="1:5">
      <c r="A217" s="12" t="s">
        <v>2294</v>
      </c>
      <c r="B217" s="12" t="s">
        <v>74</v>
      </c>
      <c r="C217" s="12" t="s">
        <v>1344</v>
      </c>
      <c r="D217" s="12" t="s">
        <v>1346</v>
      </c>
      <c r="E217" s="18">
        <v>159345</v>
      </c>
    </row>
    <row r="218" spans="1:5">
      <c r="A218" s="12" t="s">
        <v>2294</v>
      </c>
      <c r="B218" s="12" t="s">
        <v>74</v>
      </c>
      <c r="C218" s="12" t="s">
        <v>1347</v>
      </c>
      <c r="D218" s="12" t="s">
        <v>1349</v>
      </c>
      <c r="E218" s="18">
        <v>160000</v>
      </c>
    </row>
    <row r="219" spans="1:5">
      <c r="A219" s="12" t="s">
        <v>2294</v>
      </c>
      <c r="B219" s="12" t="s">
        <v>74</v>
      </c>
      <c r="C219" s="12" t="s">
        <v>1350</v>
      </c>
      <c r="D219" s="12" t="s">
        <v>1352</v>
      </c>
      <c r="E219" s="18">
        <v>141150</v>
      </c>
    </row>
    <row r="220" spans="1:5">
      <c r="A220" s="12" t="s">
        <v>2294</v>
      </c>
      <c r="B220" s="12" t="s">
        <v>74</v>
      </c>
      <c r="C220" s="12" t="s">
        <v>1353</v>
      </c>
      <c r="D220" s="12" t="s">
        <v>1355</v>
      </c>
      <c r="E220" s="18">
        <v>350000</v>
      </c>
    </row>
    <row r="221" spans="1:5">
      <c r="A221" s="12" t="s">
        <v>2294</v>
      </c>
      <c r="B221" s="12" t="s">
        <v>74</v>
      </c>
      <c r="C221" s="12" t="s">
        <v>1484</v>
      </c>
      <c r="D221" s="12" t="s">
        <v>1486</v>
      </c>
      <c r="E221" s="18">
        <v>80738</v>
      </c>
    </row>
    <row r="222" spans="1:5">
      <c r="A222" s="12" t="s">
        <v>2294</v>
      </c>
      <c r="B222" s="12" t="s">
        <v>74</v>
      </c>
      <c r="C222" s="12" t="s">
        <v>1496</v>
      </c>
      <c r="D222" s="12" t="s">
        <v>1498</v>
      </c>
      <c r="E222" s="18">
        <v>114255</v>
      </c>
    </row>
    <row r="223" spans="1:5">
      <c r="A223" s="12" t="s">
        <v>2294</v>
      </c>
      <c r="B223" s="12" t="s">
        <v>74</v>
      </c>
      <c r="C223" s="12" t="s">
        <v>1500</v>
      </c>
      <c r="D223" s="12" t="s">
        <v>1502</v>
      </c>
      <c r="E223" s="18">
        <v>36445</v>
      </c>
    </row>
    <row r="224" spans="1:5">
      <c r="A224" s="12" t="s">
        <v>2294</v>
      </c>
      <c r="B224" s="12" t="s">
        <v>74</v>
      </c>
      <c r="C224" s="12" t="s">
        <v>1505</v>
      </c>
      <c r="D224" s="12" t="s">
        <v>1507</v>
      </c>
      <c r="E224" s="18">
        <v>39485</v>
      </c>
    </row>
    <row r="225" spans="1:5">
      <c r="A225" s="12" t="s">
        <v>2294</v>
      </c>
      <c r="B225" s="12" t="s">
        <v>74</v>
      </c>
      <c r="C225" s="12" t="s">
        <v>1510</v>
      </c>
      <c r="D225" s="12" t="s">
        <v>1512</v>
      </c>
      <c r="E225" s="18">
        <v>25610</v>
      </c>
    </row>
    <row r="226" spans="1:5">
      <c r="A226" s="12" t="s">
        <v>2294</v>
      </c>
      <c r="B226" s="12" t="s">
        <v>74</v>
      </c>
      <c r="C226" s="12" t="s">
        <v>1513</v>
      </c>
      <c r="D226" s="12" t="s">
        <v>1515</v>
      </c>
      <c r="E226" s="18">
        <v>3254770</v>
      </c>
    </row>
    <row r="227" spans="1:5">
      <c r="A227" s="12" t="s">
        <v>2294</v>
      </c>
      <c r="B227" s="12" t="s">
        <v>74</v>
      </c>
      <c r="C227" s="12" t="s">
        <v>1519</v>
      </c>
      <c r="D227" s="12" t="s">
        <v>1521</v>
      </c>
      <c r="E227" s="18">
        <v>1007572</v>
      </c>
    </row>
    <row r="228" spans="1:5">
      <c r="A228" s="12" t="s">
        <v>2294</v>
      </c>
      <c r="B228" s="12" t="s">
        <v>74</v>
      </c>
      <c r="C228" s="12" t="s">
        <v>1523</v>
      </c>
      <c r="D228" s="12" t="s">
        <v>1525</v>
      </c>
      <c r="E228" s="18">
        <v>1688098</v>
      </c>
    </row>
    <row r="229" spans="1:5">
      <c r="A229" s="12" t="s">
        <v>2294</v>
      </c>
      <c r="B229" s="12" t="s">
        <v>74</v>
      </c>
      <c r="C229" s="12" t="s">
        <v>1527</v>
      </c>
      <c r="D229" s="12" t="s">
        <v>1529</v>
      </c>
      <c r="E229" s="18">
        <v>680748</v>
      </c>
    </row>
    <row r="230" spans="1:5">
      <c r="A230" s="12" t="s">
        <v>2294</v>
      </c>
      <c r="B230" s="12" t="s">
        <v>74</v>
      </c>
      <c r="C230" s="12" t="s">
        <v>1531</v>
      </c>
      <c r="D230" s="12" t="s">
        <v>1533</v>
      </c>
      <c r="E230" s="18">
        <v>670100</v>
      </c>
    </row>
    <row r="231" spans="1:5">
      <c r="A231" s="12" t="s">
        <v>2294</v>
      </c>
      <c r="B231" s="12" t="s">
        <v>74</v>
      </c>
      <c r="C231" s="12" t="s">
        <v>1535</v>
      </c>
      <c r="D231" s="12" t="s">
        <v>1537</v>
      </c>
      <c r="E231" s="18">
        <v>388514</v>
      </c>
    </row>
    <row r="232" spans="1:5">
      <c r="A232" s="12" t="s">
        <v>2294</v>
      </c>
      <c r="B232" s="12" t="s">
        <v>74</v>
      </c>
      <c r="C232" s="12" t="s">
        <v>1539</v>
      </c>
      <c r="D232" s="12" t="s">
        <v>1541</v>
      </c>
      <c r="E232" s="18">
        <v>542416</v>
      </c>
    </row>
    <row r="233" spans="1:5">
      <c r="A233" s="12" t="s">
        <v>2294</v>
      </c>
      <c r="B233" s="12" t="s">
        <v>74</v>
      </c>
      <c r="C233" s="12" t="s">
        <v>1543</v>
      </c>
      <c r="D233" s="12" t="s">
        <v>1545</v>
      </c>
      <c r="E233" s="18">
        <v>928545</v>
      </c>
    </row>
    <row r="234" spans="1:5">
      <c r="A234" s="12" t="s">
        <v>2294</v>
      </c>
      <c r="B234" s="12" t="s">
        <v>74</v>
      </c>
      <c r="C234" s="12" t="s">
        <v>1593</v>
      </c>
      <c r="D234" s="12" t="s">
        <v>1595</v>
      </c>
      <c r="E234" s="18">
        <v>218556</v>
      </c>
    </row>
    <row r="235" spans="1:5">
      <c r="A235" s="12" t="s">
        <v>2294</v>
      </c>
      <c r="B235" s="12" t="s">
        <v>1607</v>
      </c>
      <c r="C235" s="12" t="s">
        <v>1615</v>
      </c>
      <c r="D235" s="12" t="s">
        <v>1616</v>
      </c>
      <c r="E235" s="18">
        <v>45000</v>
      </c>
    </row>
    <row r="236" spans="1:5">
      <c r="A236" s="12" t="s">
        <v>2294</v>
      </c>
      <c r="B236" s="12" t="s">
        <v>1619</v>
      </c>
      <c r="C236" s="12" t="s">
        <v>1647</v>
      </c>
      <c r="D236" s="12" t="s">
        <v>1648</v>
      </c>
      <c r="E236" s="18">
        <v>152639</v>
      </c>
    </row>
    <row r="237" spans="1:5">
      <c r="A237" s="12" t="s">
        <v>2294</v>
      </c>
      <c r="B237" s="12" t="s">
        <v>1678</v>
      </c>
      <c r="C237" s="12" t="s">
        <v>1690</v>
      </c>
      <c r="D237" s="12" t="s">
        <v>1691</v>
      </c>
      <c r="E237" s="18">
        <v>40000</v>
      </c>
    </row>
    <row r="238" spans="1:5">
      <c r="A238" s="12" t="s">
        <v>2285</v>
      </c>
      <c r="B238" s="12" t="s">
        <v>74</v>
      </c>
      <c r="C238" s="12" t="s">
        <v>1073</v>
      </c>
      <c r="D238" s="12" t="s">
        <v>1075</v>
      </c>
      <c r="E238" s="18">
        <v>1376515</v>
      </c>
    </row>
    <row r="239" spans="1:5">
      <c r="A239" s="12" t="s">
        <v>2285</v>
      </c>
      <c r="B239" s="12" t="s">
        <v>74</v>
      </c>
      <c r="C239" s="12" t="s">
        <v>1100</v>
      </c>
      <c r="D239" s="12" t="s">
        <v>1102</v>
      </c>
      <c r="E239" s="18">
        <v>159946</v>
      </c>
    </row>
    <row r="240" spans="1:5">
      <c r="A240" s="12" t="s">
        <v>2285</v>
      </c>
      <c r="B240" s="12" t="s">
        <v>74</v>
      </c>
      <c r="C240" s="12" t="s">
        <v>1107</v>
      </c>
      <c r="D240" s="12" t="s">
        <v>1109</v>
      </c>
      <c r="E240" s="18">
        <v>159560</v>
      </c>
    </row>
    <row r="241" spans="1:5">
      <c r="A241" s="12" t="s">
        <v>2285</v>
      </c>
      <c r="B241" s="12" t="s">
        <v>74</v>
      </c>
      <c r="C241" s="12" t="s">
        <v>1110</v>
      </c>
      <c r="D241" s="12" t="s">
        <v>1112</v>
      </c>
      <c r="E241" s="18">
        <v>158892</v>
      </c>
    </row>
    <row r="242" spans="1:5">
      <c r="A242" s="12" t="s">
        <v>2285</v>
      </c>
      <c r="B242" s="12" t="s">
        <v>74</v>
      </c>
      <c r="C242" s="12" t="s">
        <v>1113</v>
      </c>
      <c r="D242" s="12" t="s">
        <v>1115</v>
      </c>
      <c r="E242" s="18">
        <v>160000</v>
      </c>
    </row>
    <row r="243" spans="1:5">
      <c r="A243" s="12" t="s">
        <v>2285</v>
      </c>
      <c r="B243" s="12" t="s">
        <v>74</v>
      </c>
      <c r="C243" s="12" t="s">
        <v>1116</v>
      </c>
      <c r="D243" s="12" t="s">
        <v>1118</v>
      </c>
      <c r="E243" s="18">
        <v>83160</v>
      </c>
    </row>
    <row r="244" spans="1:5">
      <c r="A244" s="12" t="s">
        <v>2285</v>
      </c>
      <c r="B244" s="12" t="s">
        <v>74</v>
      </c>
      <c r="C244" s="12" t="s">
        <v>1129</v>
      </c>
      <c r="D244" s="12" t="s">
        <v>1131</v>
      </c>
      <c r="E244" s="18">
        <v>350000</v>
      </c>
    </row>
    <row r="245" spans="1:5">
      <c r="A245" s="12" t="s">
        <v>2285</v>
      </c>
      <c r="B245" s="12" t="s">
        <v>74</v>
      </c>
      <c r="C245" s="12" t="s">
        <v>1132</v>
      </c>
      <c r="D245" s="12" t="s">
        <v>1134</v>
      </c>
      <c r="E245" s="18">
        <v>349950</v>
      </c>
    </row>
    <row r="246" spans="1:5">
      <c r="A246" s="12" t="s">
        <v>2285</v>
      </c>
      <c r="B246" s="12" t="s">
        <v>74</v>
      </c>
      <c r="C246" s="12" t="s">
        <v>1135</v>
      </c>
      <c r="D246" s="12" t="s">
        <v>1137</v>
      </c>
      <c r="E246" s="18">
        <v>349899</v>
      </c>
    </row>
    <row r="247" spans="1:5">
      <c r="A247" s="12" t="s">
        <v>2285</v>
      </c>
      <c r="B247" s="12" t="s">
        <v>74</v>
      </c>
      <c r="C247" s="12" t="s">
        <v>1138</v>
      </c>
      <c r="D247" s="12" t="s">
        <v>1140</v>
      </c>
      <c r="E247" s="18">
        <v>349792</v>
      </c>
    </row>
    <row r="248" spans="1:5">
      <c r="A248" s="12" t="s">
        <v>2285</v>
      </c>
      <c r="B248" s="12" t="s">
        <v>74</v>
      </c>
      <c r="C248" s="12" t="s">
        <v>1141</v>
      </c>
      <c r="D248" s="12" t="s">
        <v>1143</v>
      </c>
      <c r="E248" s="18">
        <v>349792</v>
      </c>
    </row>
    <row r="249" spans="1:5">
      <c r="A249" s="12" t="s">
        <v>2285</v>
      </c>
      <c r="B249" s="12" t="s">
        <v>74</v>
      </c>
      <c r="C249" s="12" t="s">
        <v>1144</v>
      </c>
      <c r="D249" s="12" t="s">
        <v>1146</v>
      </c>
      <c r="E249" s="18">
        <v>346711</v>
      </c>
    </row>
    <row r="250" spans="1:5">
      <c r="A250" s="12" t="s">
        <v>2285</v>
      </c>
      <c r="B250" s="12" t="s">
        <v>74</v>
      </c>
      <c r="C250" s="12" t="s">
        <v>1147</v>
      </c>
      <c r="D250" s="12" t="s">
        <v>1149</v>
      </c>
      <c r="E250" s="18">
        <v>269980</v>
      </c>
    </row>
    <row r="251" spans="1:5">
      <c r="A251" s="12" t="s">
        <v>2285</v>
      </c>
      <c r="B251" s="12" t="s">
        <v>74</v>
      </c>
      <c r="C251" s="12" t="s">
        <v>1150</v>
      </c>
      <c r="D251" s="12" t="s">
        <v>1152</v>
      </c>
      <c r="E251" s="18">
        <v>209400</v>
      </c>
    </row>
    <row r="252" spans="1:5">
      <c r="A252" s="12" t="s">
        <v>2285</v>
      </c>
      <c r="B252" s="12" t="s">
        <v>74</v>
      </c>
      <c r="C252" s="12" t="s">
        <v>1153</v>
      </c>
      <c r="D252" s="12" t="s">
        <v>1155</v>
      </c>
      <c r="E252" s="18">
        <v>160000</v>
      </c>
    </row>
    <row r="253" spans="1:5">
      <c r="A253" s="12" t="s">
        <v>2285</v>
      </c>
      <c r="B253" s="12" t="s">
        <v>74</v>
      </c>
      <c r="C253" s="12" t="s">
        <v>1156</v>
      </c>
      <c r="D253" s="12" t="s">
        <v>1158</v>
      </c>
      <c r="E253" s="18">
        <v>160000</v>
      </c>
    </row>
    <row r="254" spans="1:5">
      <c r="A254" s="12" t="s">
        <v>2285</v>
      </c>
      <c r="B254" s="12" t="s">
        <v>74</v>
      </c>
      <c r="C254" s="12" t="s">
        <v>1159</v>
      </c>
      <c r="D254" s="12" t="s">
        <v>1161</v>
      </c>
      <c r="E254" s="18">
        <v>160000</v>
      </c>
    </row>
    <row r="255" spans="1:5">
      <c r="A255" s="12" t="s">
        <v>2285</v>
      </c>
      <c r="B255" s="12" t="s">
        <v>74</v>
      </c>
      <c r="C255" s="12" t="s">
        <v>1162</v>
      </c>
      <c r="D255" s="12" t="s">
        <v>1164</v>
      </c>
      <c r="E255" s="18">
        <v>160000</v>
      </c>
    </row>
    <row r="256" spans="1:5">
      <c r="A256" s="12" t="s">
        <v>2285</v>
      </c>
      <c r="B256" s="12" t="s">
        <v>74</v>
      </c>
      <c r="C256" s="12" t="s">
        <v>1165</v>
      </c>
      <c r="D256" s="12" t="s">
        <v>1167</v>
      </c>
      <c r="E256" s="18">
        <v>160000</v>
      </c>
    </row>
    <row r="257" spans="1:5">
      <c r="A257" s="12" t="s">
        <v>2285</v>
      </c>
      <c r="B257" s="12" t="s">
        <v>74</v>
      </c>
      <c r="C257" s="12" t="s">
        <v>1168</v>
      </c>
      <c r="D257" s="12" t="s">
        <v>1170</v>
      </c>
      <c r="E257" s="18">
        <v>160000</v>
      </c>
    </row>
    <row r="258" spans="1:5">
      <c r="A258" s="12" t="s">
        <v>2285</v>
      </c>
      <c r="B258" s="12" t="s">
        <v>74</v>
      </c>
      <c r="C258" s="12" t="s">
        <v>1171</v>
      </c>
      <c r="D258" s="12" t="s">
        <v>1173</v>
      </c>
      <c r="E258" s="18">
        <v>160000</v>
      </c>
    </row>
    <row r="259" spans="1:5">
      <c r="A259" s="12" t="s">
        <v>2285</v>
      </c>
      <c r="B259" s="12" t="s">
        <v>74</v>
      </c>
      <c r="C259" s="12" t="s">
        <v>1174</v>
      </c>
      <c r="D259" s="12" t="s">
        <v>1176</v>
      </c>
      <c r="E259" s="18">
        <v>160000</v>
      </c>
    </row>
    <row r="260" spans="1:5">
      <c r="A260" s="12" t="s">
        <v>2285</v>
      </c>
      <c r="B260" s="12" t="s">
        <v>74</v>
      </c>
      <c r="C260" s="12" t="s">
        <v>1177</v>
      </c>
      <c r="D260" s="12" t="s">
        <v>1179</v>
      </c>
      <c r="E260" s="18">
        <v>160000</v>
      </c>
    </row>
    <row r="261" spans="1:5">
      <c r="A261" s="12" t="s">
        <v>2285</v>
      </c>
      <c r="B261" s="12" t="s">
        <v>74</v>
      </c>
      <c r="C261" s="12" t="s">
        <v>1180</v>
      </c>
      <c r="D261" s="12" t="s">
        <v>1182</v>
      </c>
      <c r="E261" s="18">
        <v>61500</v>
      </c>
    </row>
    <row r="262" spans="1:5">
      <c r="A262" s="12" t="s">
        <v>2285</v>
      </c>
      <c r="B262" s="12" t="s">
        <v>74</v>
      </c>
      <c r="C262" s="12" t="s">
        <v>1183</v>
      </c>
      <c r="D262" s="12" t="s">
        <v>1185</v>
      </c>
      <c r="E262" s="18">
        <v>62000</v>
      </c>
    </row>
    <row r="263" spans="1:5">
      <c r="A263" s="12" t="s">
        <v>2285</v>
      </c>
      <c r="B263" s="12" t="s">
        <v>74</v>
      </c>
      <c r="C263" s="12" t="s">
        <v>1186</v>
      </c>
      <c r="D263" s="12" t="s">
        <v>1188</v>
      </c>
      <c r="E263" s="18">
        <v>63755</v>
      </c>
    </row>
    <row r="264" spans="1:5">
      <c r="A264" s="12" t="s">
        <v>2285</v>
      </c>
      <c r="B264" s="12" t="s">
        <v>74</v>
      </c>
      <c r="C264" s="12" t="s">
        <v>1189</v>
      </c>
      <c r="D264" s="12" t="s">
        <v>1191</v>
      </c>
      <c r="E264" s="18">
        <v>65438</v>
      </c>
    </row>
    <row r="265" spans="1:5">
      <c r="A265" s="12" t="s">
        <v>2285</v>
      </c>
      <c r="B265" s="12" t="s">
        <v>74</v>
      </c>
      <c r="C265" s="12" t="s">
        <v>1192</v>
      </c>
      <c r="D265" s="12" t="s">
        <v>1194</v>
      </c>
      <c r="E265" s="18">
        <v>61200</v>
      </c>
    </row>
    <row r="266" spans="1:5">
      <c r="A266" s="12" t="s">
        <v>2285</v>
      </c>
      <c r="B266" s="12" t="s">
        <v>74</v>
      </c>
      <c r="C266" s="12" t="s">
        <v>1195</v>
      </c>
      <c r="D266" s="12" t="s">
        <v>1197</v>
      </c>
      <c r="E266" s="18">
        <v>2936</v>
      </c>
    </row>
    <row r="267" spans="1:5">
      <c r="A267" s="12" t="s">
        <v>2285</v>
      </c>
      <c r="B267" s="12" t="s">
        <v>74</v>
      </c>
      <c r="C267" s="12" t="s">
        <v>1198</v>
      </c>
      <c r="D267" s="12" t="s">
        <v>1200</v>
      </c>
      <c r="E267" s="18">
        <v>10692</v>
      </c>
    </row>
    <row r="268" spans="1:5">
      <c r="A268" s="12" t="s">
        <v>2285</v>
      </c>
      <c r="B268" s="12" t="s">
        <v>74</v>
      </c>
      <c r="C268" s="12" t="s">
        <v>1201</v>
      </c>
      <c r="D268" s="12" t="s">
        <v>1203</v>
      </c>
      <c r="E268" s="18">
        <v>7816</v>
      </c>
    </row>
    <row r="269" spans="1:5">
      <c r="A269" s="12" t="s">
        <v>2285</v>
      </c>
      <c r="B269" s="12" t="s">
        <v>74</v>
      </c>
      <c r="C269" s="12" t="s">
        <v>1204</v>
      </c>
      <c r="D269" s="12" t="s">
        <v>1206</v>
      </c>
      <c r="E269" s="18">
        <v>3546</v>
      </c>
    </row>
    <row r="270" spans="1:5">
      <c r="A270" s="12" t="s">
        <v>2285</v>
      </c>
      <c r="B270" s="12" t="s">
        <v>74</v>
      </c>
      <c r="C270" s="12" t="s">
        <v>1207</v>
      </c>
      <c r="D270" s="12" t="s">
        <v>1209</v>
      </c>
      <c r="E270" s="18">
        <v>2555</v>
      </c>
    </row>
    <row r="271" spans="1:5">
      <c r="A271" s="12" t="s">
        <v>2285</v>
      </c>
      <c r="B271" s="12" t="s">
        <v>74</v>
      </c>
      <c r="C271" s="12" t="s">
        <v>1210</v>
      </c>
      <c r="D271" s="12" t="s">
        <v>1212</v>
      </c>
      <c r="E271" s="18">
        <v>73376</v>
      </c>
    </row>
    <row r="272" spans="1:5">
      <c r="A272" s="12" t="s">
        <v>2285</v>
      </c>
      <c r="B272" s="12" t="s">
        <v>74</v>
      </c>
      <c r="C272" s="12" t="s">
        <v>1213</v>
      </c>
      <c r="D272" s="12" t="s">
        <v>1215</v>
      </c>
      <c r="E272" s="18">
        <v>54964</v>
      </c>
    </row>
    <row r="273" spans="1:5">
      <c r="A273" s="12" t="s">
        <v>2285</v>
      </c>
      <c r="B273" s="12" t="s">
        <v>74</v>
      </c>
      <c r="C273" s="12" t="s">
        <v>1216</v>
      </c>
      <c r="D273" s="12" t="s">
        <v>1218</v>
      </c>
      <c r="E273" s="18">
        <v>73915</v>
      </c>
    </row>
    <row r="274" spans="1:5">
      <c r="A274" s="12" t="s">
        <v>2285</v>
      </c>
      <c r="B274" s="12" t="s">
        <v>74</v>
      </c>
      <c r="C274" s="12" t="s">
        <v>1219</v>
      </c>
      <c r="D274" s="12" t="s">
        <v>1221</v>
      </c>
      <c r="E274" s="18">
        <v>5098</v>
      </c>
    </row>
    <row r="275" spans="1:5">
      <c r="A275" s="12" t="s">
        <v>2285</v>
      </c>
      <c r="B275" s="12" t="s">
        <v>74</v>
      </c>
      <c r="C275" s="12" t="s">
        <v>1222</v>
      </c>
      <c r="D275" s="12" t="s">
        <v>1224</v>
      </c>
      <c r="E275" s="18">
        <v>4800</v>
      </c>
    </row>
    <row r="276" spans="1:5">
      <c r="A276" s="12" t="s">
        <v>2285</v>
      </c>
      <c r="B276" s="12" t="s">
        <v>74</v>
      </c>
      <c r="C276" s="12" t="s">
        <v>1225</v>
      </c>
      <c r="D276" s="12" t="s">
        <v>1227</v>
      </c>
      <c r="E276" s="18">
        <v>12800</v>
      </c>
    </row>
    <row r="277" spans="1:5">
      <c r="A277" s="12" t="s">
        <v>2285</v>
      </c>
      <c r="B277" s="12" t="s">
        <v>74</v>
      </c>
      <c r="C277" s="12" t="s">
        <v>1228</v>
      </c>
      <c r="D277" s="12" t="s">
        <v>1230</v>
      </c>
      <c r="E277" s="18">
        <v>57400</v>
      </c>
    </row>
    <row r="278" spans="1:5">
      <c r="A278" s="12" t="s">
        <v>2285</v>
      </c>
      <c r="B278" s="12" t="s">
        <v>74</v>
      </c>
      <c r="C278" s="12" t="s">
        <v>1231</v>
      </c>
      <c r="D278" s="12" t="s">
        <v>1233</v>
      </c>
      <c r="E278" s="18">
        <v>5898</v>
      </c>
    </row>
    <row r="279" spans="1:5">
      <c r="A279" s="12" t="s">
        <v>2285</v>
      </c>
      <c r="B279" s="12" t="s">
        <v>74</v>
      </c>
      <c r="C279" s="12" t="s">
        <v>1234</v>
      </c>
      <c r="D279" s="12" t="s">
        <v>1236</v>
      </c>
      <c r="E279" s="18">
        <v>3000</v>
      </c>
    </row>
    <row r="280" spans="1:5">
      <c r="A280" s="12" t="s">
        <v>2285</v>
      </c>
      <c r="B280" s="12" t="s">
        <v>74</v>
      </c>
      <c r="C280" s="12" t="s">
        <v>1237</v>
      </c>
      <c r="D280" s="12" t="s">
        <v>1239</v>
      </c>
      <c r="E280" s="18">
        <v>87790</v>
      </c>
    </row>
    <row r="281" spans="1:5">
      <c r="A281" s="12" t="s">
        <v>2285</v>
      </c>
      <c r="B281" s="12" t="s">
        <v>74</v>
      </c>
      <c r="C281" s="12" t="s">
        <v>1240</v>
      </c>
      <c r="D281" s="12" t="s">
        <v>1242</v>
      </c>
      <c r="E281" s="18">
        <v>14715</v>
      </c>
    </row>
    <row r="282" spans="1:5">
      <c r="A282" s="12" t="s">
        <v>2285</v>
      </c>
      <c r="B282" s="12" t="s">
        <v>74</v>
      </c>
      <c r="C282" s="12" t="s">
        <v>1243</v>
      </c>
      <c r="D282" s="12" t="s">
        <v>1245</v>
      </c>
      <c r="E282" s="18">
        <v>159547</v>
      </c>
    </row>
    <row r="283" spans="1:5">
      <c r="A283" s="12" t="s">
        <v>2285</v>
      </c>
      <c r="B283" s="12" t="s">
        <v>74</v>
      </c>
      <c r="C283" s="12" t="s">
        <v>1246</v>
      </c>
      <c r="D283" s="12" t="s">
        <v>1248</v>
      </c>
      <c r="E283" s="18">
        <v>158642</v>
      </c>
    </row>
    <row r="284" spans="1:5">
      <c r="A284" s="12" t="s">
        <v>2285</v>
      </c>
      <c r="B284" s="12" t="s">
        <v>74</v>
      </c>
      <c r="C284" s="12" t="s">
        <v>1249</v>
      </c>
      <c r="D284" s="12" t="s">
        <v>1251</v>
      </c>
      <c r="E284" s="18">
        <v>159352</v>
      </c>
    </row>
    <row r="285" spans="1:5">
      <c r="A285" s="12" t="s">
        <v>2285</v>
      </c>
      <c r="B285" s="12" t="s">
        <v>74</v>
      </c>
      <c r="C285" s="12" t="s">
        <v>1252</v>
      </c>
      <c r="D285" s="12" t="s">
        <v>1254</v>
      </c>
      <c r="E285" s="18">
        <v>159613</v>
      </c>
    </row>
    <row r="286" spans="1:5">
      <c r="A286" s="12" t="s">
        <v>2285</v>
      </c>
      <c r="B286" s="12" t="s">
        <v>74</v>
      </c>
      <c r="C286" s="12" t="s">
        <v>1255</v>
      </c>
      <c r="D286" s="12" t="s">
        <v>1257</v>
      </c>
      <c r="E286" s="18">
        <v>159555</v>
      </c>
    </row>
    <row r="287" spans="1:5">
      <c r="A287" s="12" t="s">
        <v>2285</v>
      </c>
      <c r="B287" s="12" t="s">
        <v>74</v>
      </c>
      <c r="C287" s="12" t="s">
        <v>1258</v>
      </c>
      <c r="D287" s="12" t="s">
        <v>1260</v>
      </c>
      <c r="E287" s="18">
        <v>154799</v>
      </c>
    </row>
    <row r="288" spans="1:5">
      <c r="A288" s="12" t="s">
        <v>2285</v>
      </c>
      <c r="B288" s="12" t="s">
        <v>74</v>
      </c>
      <c r="C288" s="12" t="s">
        <v>1261</v>
      </c>
      <c r="D288" s="12" t="s">
        <v>1263</v>
      </c>
      <c r="E288" s="18">
        <v>155278</v>
      </c>
    </row>
    <row r="289" spans="1:5">
      <c r="A289" s="12" t="s">
        <v>2285</v>
      </c>
      <c r="B289" s="12" t="s">
        <v>74</v>
      </c>
      <c r="C289" s="12" t="s">
        <v>1264</v>
      </c>
      <c r="D289" s="12" t="s">
        <v>1266</v>
      </c>
      <c r="E289" s="18">
        <v>159890</v>
      </c>
    </row>
    <row r="290" spans="1:5">
      <c r="A290" s="12" t="s">
        <v>2285</v>
      </c>
      <c r="B290" s="12" t="s">
        <v>74</v>
      </c>
      <c r="C290" s="12" t="s">
        <v>1267</v>
      </c>
      <c r="D290" s="12" t="s">
        <v>1269</v>
      </c>
      <c r="E290" s="18">
        <v>159321</v>
      </c>
    </row>
    <row r="291" spans="1:5">
      <c r="A291" s="12" t="s">
        <v>2285</v>
      </c>
      <c r="B291" s="12" t="s">
        <v>74</v>
      </c>
      <c r="C291" s="12" t="s">
        <v>1270</v>
      </c>
      <c r="D291" s="12" t="s">
        <v>1272</v>
      </c>
      <c r="E291" s="18">
        <v>146532</v>
      </c>
    </row>
    <row r="292" spans="1:5">
      <c r="A292" s="12" t="s">
        <v>2285</v>
      </c>
      <c r="B292" s="12" t="s">
        <v>74</v>
      </c>
      <c r="C292" s="12" t="s">
        <v>1273</v>
      </c>
      <c r="D292" s="12" t="s">
        <v>1275</v>
      </c>
      <c r="E292" s="18">
        <v>155656</v>
      </c>
    </row>
    <row r="293" spans="1:5">
      <c r="A293" s="12" t="s">
        <v>2285</v>
      </c>
      <c r="B293" s="12" t="s">
        <v>74</v>
      </c>
      <c r="C293" s="12" t="s">
        <v>1276</v>
      </c>
      <c r="D293" s="12" t="s">
        <v>1278</v>
      </c>
      <c r="E293" s="18">
        <v>159060</v>
      </c>
    </row>
    <row r="294" spans="1:5">
      <c r="A294" s="12" t="s">
        <v>2285</v>
      </c>
      <c r="B294" s="12" t="s">
        <v>74</v>
      </c>
      <c r="C294" s="12" t="s">
        <v>1279</v>
      </c>
      <c r="D294" s="12" t="s">
        <v>1281</v>
      </c>
      <c r="E294" s="18">
        <v>159862</v>
      </c>
    </row>
    <row r="295" spans="1:5">
      <c r="A295" s="12" t="s">
        <v>2285</v>
      </c>
      <c r="B295" s="12" t="s">
        <v>74</v>
      </c>
      <c r="C295" s="12" t="s">
        <v>1282</v>
      </c>
      <c r="D295" s="12" t="s">
        <v>1284</v>
      </c>
      <c r="E295" s="18">
        <v>157300</v>
      </c>
    </row>
    <row r="296" spans="1:5">
      <c r="A296" s="12" t="s">
        <v>2285</v>
      </c>
      <c r="B296" s="12" t="s">
        <v>74</v>
      </c>
      <c r="C296" s="12" t="s">
        <v>1285</v>
      </c>
      <c r="D296" s="12" t="s">
        <v>1287</v>
      </c>
      <c r="E296" s="18">
        <v>159720</v>
      </c>
    </row>
    <row r="297" spans="1:5">
      <c r="A297" s="12" t="s">
        <v>2285</v>
      </c>
      <c r="B297" s="12" t="s">
        <v>74</v>
      </c>
      <c r="C297" s="12" t="s">
        <v>1288</v>
      </c>
      <c r="D297" s="12" t="s">
        <v>1290</v>
      </c>
      <c r="E297" s="18">
        <v>159007</v>
      </c>
    </row>
    <row r="298" spans="1:5">
      <c r="A298" s="12" t="s">
        <v>2285</v>
      </c>
      <c r="B298" s="12" t="s">
        <v>74</v>
      </c>
      <c r="C298" s="12" t="s">
        <v>1291</v>
      </c>
      <c r="D298" s="12" t="s">
        <v>1293</v>
      </c>
      <c r="E298" s="18">
        <v>159876</v>
      </c>
    </row>
    <row r="299" spans="1:5">
      <c r="A299" s="12" t="s">
        <v>2285</v>
      </c>
      <c r="B299" s="12" t="s">
        <v>74</v>
      </c>
      <c r="C299" s="12" t="s">
        <v>1294</v>
      </c>
      <c r="D299" s="12" t="s">
        <v>1296</v>
      </c>
      <c r="E299" s="18">
        <v>158527</v>
      </c>
    </row>
    <row r="300" spans="1:5">
      <c r="A300" s="12" t="s">
        <v>2285</v>
      </c>
      <c r="B300" s="12" t="s">
        <v>74</v>
      </c>
      <c r="C300" s="12" t="s">
        <v>1297</v>
      </c>
      <c r="D300" s="12" t="s">
        <v>1299</v>
      </c>
      <c r="E300" s="18">
        <v>158640</v>
      </c>
    </row>
    <row r="301" spans="1:5">
      <c r="A301" s="12" t="s">
        <v>2285</v>
      </c>
      <c r="B301" s="12" t="s">
        <v>74</v>
      </c>
      <c r="C301" s="12" t="s">
        <v>1300</v>
      </c>
      <c r="D301" s="12" t="s">
        <v>1302</v>
      </c>
      <c r="E301" s="18">
        <v>159041</v>
      </c>
    </row>
    <row r="302" spans="1:5">
      <c r="A302" s="12" t="s">
        <v>2285</v>
      </c>
      <c r="B302" s="12" t="s">
        <v>74</v>
      </c>
      <c r="C302" s="12" t="s">
        <v>1303</v>
      </c>
      <c r="D302" s="12" t="s">
        <v>1305</v>
      </c>
      <c r="E302" s="18">
        <v>159584</v>
      </c>
    </row>
    <row r="303" spans="1:5">
      <c r="A303" s="12" t="s">
        <v>2285</v>
      </c>
      <c r="B303" s="12" t="s">
        <v>74</v>
      </c>
      <c r="C303" s="12" t="s">
        <v>1306</v>
      </c>
      <c r="D303" s="12" t="s">
        <v>1308</v>
      </c>
      <c r="E303" s="18">
        <v>159830</v>
      </c>
    </row>
    <row r="304" spans="1:5">
      <c r="A304" s="12" t="s">
        <v>2285</v>
      </c>
      <c r="B304" s="12" t="s">
        <v>74</v>
      </c>
      <c r="C304" s="12" t="s">
        <v>1309</v>
      </c>
      <c r="D304" s="12" t="s">
        <v>1311</v>
      </c>
      <c r="E304" s="18">
        <v>159880</v>
      </c>
    </row>
    <row r="305" spans="1:5">
      <c r="A305" s="12" t="s">
        <v>2285</v>
      </c>
      <c r="B305" s="12" t="s">
        <v>74</v>
      </c>
      <c r="C305" s="12" t="s">
        <v>1312</v>
      </c>
      <c r="D305" s="12" t="s">
        <v>1314</v>
      </c>
      <c r="E305" s="18">
        <v>159978</v>
      </c>
    </row>
    <row r="306" spans="1:5">
      <c r="A306" s="12" t="s">
        <v>2285</v>
      </c>
      <c r="B306" s="12" t="s">
        <v>74</v>
      </c>
      <c r="C306" s="12" t="s">
        <v>1318</v>
      </c>
      <c r="D306" s="12" t="s">
        <v>1320</v>
      </c>
      <c r="E306" s="18">
        <v>2795</v>
      </c>
    </row>
    <row r="307" spans="1:5">
      <c r="A307" s="12" t="s">
        <v>2285</v>
      </c>
      <c r="B307" s="12" t="s">
        <v>74</v>
      </c>
      <c r="C307" s="12" t="s">
        <v>1322</v>
      </c>
      <c r="D307" s="12" t="s">
        <v>1324</v>
      </c>
      <c r="E307" s="18">
        <v>179500</v>
      </c>
    </row>
    <row r="308" spans="1:5">
      <c r="A308" s="12" t="s">
        <v>2285</v>
      </c>
      <c r="B308" s="12" t="s">
        <v>74</v>
      </c>
      <c r="C308" s="12" t="s">
        <v>1325</v>
      </c>
      <c r="D308" s="12" t="s">
        <v>1327</v>
      </c>
      <c r="E308" s="18">
        <v>175166</v>
      </c>
    </row>
    <row r="309" spans="1:5">
      <c r="A309" s="12" t="s">
        <v>2285</v>
      </c>
      <c r="B309" s="12" t="s">
        <v>74</v>
      </c>
      <c r="C309" s="12" t="s">
        <v>1328</v>
      </c>
      <c r="D309" s="12" t="s">
        <v>1330</v>
      </c>
      <c r="E309" s="18">
        <v>349792</v>
      </c>
    </row>
    <row r="310" spans="1:5">
      <c r="A310" s="12" t="s">
        <v>2285</v>
      </c>
      <c r="B310" s="12" t="s">
        <v>74</v>
      </c>
      <c r="C310" s="12" t="s">
        <v>1331</v>
      </c>
      <c r="D310" s="12" t="s">
        <v>1333</v>
      </c>
      <c r="E310" s="18">
        <v>349668</v>
      </c>
    </row>
    <row r="311" spans="1:5">
      <c r="A311" s="12" t="s">
        <v>2285</v>
      </c>
      <c r="B311" s="12" t="s">
        <v>74</v>
      </c>
      <c r="C311" s="12" t="s">
        <v>1335</v>
      </c>
      <c r="D311" s="12" t="s">
        <v>1337</v>
      </c>
      <c r="E311" s="18">
        <v>5365</v>
      </c>
    </row>
    <row r="312" spans="1:5">
      <c r="A312" s="12" t="s">
        <v>2285</v>
      </c>
      <c r="B312" s="12" t="s">
        <v>74</v>
      </c>
      <c r="C312" s="12" t="s">
        <v>1338</v>
      </c>
      <c r="D312" s="12" t="s">
        <v>1340</v>
      </c>
      <c r="E312" s="18">
        <v>335890</v>
      </c>
    </row>
    <row r="313" spans="1:5">
      <c r="A313" s="12" t="s">
        <v>2285</v>
      </c>
      <c r="B313" s="12" t="s">
        <v>74</v>
      </c>
      <c r="C313" s="12" t="s">
        <v>1341</v>
      </c>
      <c r="D313" s="12" t="s">
        <v>1343</v>
      </c>
      <c r="E313" s="18">
        <v>157066</v>
      </c>
    </row>
    <row r="314" spans="1:5">
      <c r="A314" s="12" t="s">
        <v>2285</v>
      </c>
      <c r="B314" s="12" t="s">
        <v>74</v>
      </c>
      <c r="C314" s="12" t="s">
        <v>1344</v>
      </c>
      <c r="D314" s="12" t="s">
        <v>1346</v>
      </c>
      <c r="E314" s="18">
        <v>159345</v>
      </c>
    </row>
    <row r="315" spans="1:5">
      <c r="A315" s="12" t="s">
        <v>2285</v>
      </c>
      <c r="B315" s="12" t="s">
        <v>74</v>
      </c>
      <c r="C315" s="12" t="s">
        <v>1347</v>
      </c>
      <c r="D315" s="12" t="s">
        <v>1349</v>
      </c>
      <c r="E315" s="18">
        <v>160000</v>
      </c>
    </row>
    <row r="316" spans="1:5">
      <c r="A316" s="12" t="s">
        <v>2285</v>
      </c>
      <c r="B316" s="12" t="s">
        <v>74</v>
      </c>
      <c r="C316" s="12" t="s">
        <v>1350</v>
      </c>
      <c r="D316" s="12" t="s">
        <v>1352</v>
      </c>
      <c r="E316" s="18">
        <v>141150</v>
      </c>
    </row>
    <row r="317" spans="1:5">
      <c r="A317" s="12" t="s">
        <v>2285</v>
      </c>
      <c r="B317" s="12" t="s">
        <v>74</v>
      </c>
      <c r="C317" s="12" t="s">
        <v>1353</v>
      </c>
      <c r="D317" s="12" t="s">
        <v>1355</v>
      </c>
      <c r="E317" s="18">
        <v>350000</v>
      </c>
    </row>
    <row r="318" spans="1:5">
      <c r="A318" s="12" t="s">
        <v>2295</v>
      </c>
      <c r="B318" s="12" t="s">
        <v>74</v>
      </c>
      <c r="C318" s="12" t="s">
        <v>185</v>
      </c>
      <c r="D318" s="12" t="s">
        <v>187</v>
      </c>
      <c r="E318" s="18">
        <v>23560</v>
      </c>
    </row>
    <row r="319" spans="1:5">
      <c r="A319" s="12" t="s">
        <v>2295</v>
      </c>
      <c r="B319" s="12" t="s">
        <v>74</v>
      </c>
      <c r="C319" s="12" t="s">
        <v>215</v>
      </c>
      <c r="D319" s="12" t="s">
        <v>217</v>
      </c>
      <c r="E319" s="18">
        <v>77590</v>
      </c>
    </row>
    <row r="320" spans="1:5">
      <c r="A320" s="12" t="s">
        <v>2295</v>
      </c>
      <c r="B320" s="12" t="s">
        <v>74</v>
      </c>
      <c r="C320" s="12" t="s">
        <v>218</v>
      </c>
      <c r="D320" s="12" t="s">
        <v>220</v>
      </c>
      <c r="E320" s="18">
        <v>50132</v>
      </c>
    </row>
    <row r="321" spans="1:5">
      <c r="A321" s="12" t="s">
        <v>2295</v>
      </c>
      <c r="B321" s="12" t="s">
        <v>74</v>
      </c>
      <c r="C321" s="12" t="s">
        <v>248</v>
      </c>
      <c r="D321" s="12" t="s">
        <v>250</v>
      </c>
      <c r="E321" s="18">
        <v>844818</v>
      </c>
    </row>
    <row r="322" spans="1:5">
      <c r="A322" s="12" t="s">
        <v>2295</v>
      </c>
      <c r="B322" s="12" t="s">
        <v>74</v>
      </c>
      <c r="C322" s="12" t="s">
        <v>260</v>
      </c>
      <c r="D322" s="12" t="s">
        <v>262</v>
      </c>
      <c r="E322" s="18">
        <v>91759</v>
      </c>
    </row>
    <row r="323" spans="1:5">
      <c r="A323" s="12" t="s">
        <v>2295</v>
      </c>
      <c r="B323" s="12" t="s">
        <v>74</v>
      </c>
      <c r="C323" s="12" t="s">
        <v>264</v>
      </c>
      <c r="D323" s="12" t="s">
        <v>266</v>
      </c>
      <c r="E323" s="18">
        <v>104124</v>
      </c>
    </row>
    <row r="324" spans="1:5">
      <c r="A324" s="12" t="s">
        <v>2295</v>
      </c>
      <c r="B324" s="12" t="s">
        <v>74</v>
      </c>
      <c r="C324" s="12" t="s">
        <v>360</v>
      </c>
      <c r="D324" s="12" t="s">
        <v>362</v>
      </c>
      <c r="E324" s="18">
        <v>99230</v>
      </c>
    </row>
    <row r="325" spans="1:5">
      <c r="A325" s="12" t="s">
        <v>2295</v>
      </c>
      <c r="B325" s="12" t="s">
        <v>74</v>
      </c>
      <c r="C325" s="12" t="s">
        <v>457</v>
      </c>
      <c r="D325" s="12" t="s">
        <v>459</v>
      </c>
      <c r="E325" s="18">
        <v>61203</v>
      </c>
    </row>
    <row r="326" spans="1:5">
      <c r="A326" s="12" t="s">
        <v>2295</v>
      </c>
      <c r="B326" s="12" t="s">
        <v>74</v>
      </c>
      <c r="C326" s="12" t="s">
        <v>1063</v>
      </c>
      <c r="D326" s="12" t="s">
        <v>1065</v>
      </c>
      <c r="E326" s="18">
        <v>369217</v>
      </c>
    </row>
    <row r="327" spans="1:5">
      <c r="A327" s="12" t="s">
        <v>2295</v>
      </c>
      <c r="B327" s="12" t="s">
        <v>74</v>
      </c>
      <c r="C327" s="12" t="s">
        <v>1088</v>
      </c>
      <c r="D327" s="12" t="s">
        <v>1090</v>
      </c>
      <c r="E327" s="18">
        <v>100000</v>
      </c>
    </row>
    <row r="328" spans="1:5">
      <c r="A328" s="12" t="s">
        <v>2295</v>
      </c>
      <c r="B328" s="12" t="s">
        <v>74</v>
      </c>
      <c r="C328" s="12" t="s">
        <v>1437</v>
      </c>
      <c r="D328" s="12" t="s">
        <v>1439</v>
      </c>
      <c r="E328" s="18">
        <v>20600</v>
      </c>
    </row>
    <row r="329" spans="1:5">
      <c r="A329" s="12" t="s">
        <v>2295</v>
      </c>
      <c r="B329" s="12" t="s">
        <v>1619</v>
      </c>
      <c r="C329" s="12" t="s">
        <v>1652</v>
      </c>
      <c r="D329" s="12" t="s">
        <v>1653</v>
      </c>
      <c r="E329" s="18">
        <v>32000</v>
      </c>
    </row>
    <row r="330" spans="1:5">
      <c r="A330" s="12" t="s">
        <v>2295</v>
      </c>
      <c r="B330" s="12" t="s">
        <v>1619</v>
      </c>
      <c r="C330" s="12" t="s">
        <v>1652</v>
      </c>
      <c r="D330" s="12" t="s">
        <v>1653</v>
      </c>
      <c r="E330" s="18">
        <v>2081</v>
      </c>
    </row>
    <row r="331" spans="1:5">
      <c r="A331" s="12" t="s">
        <v>2295</v>
      </c>
      <c r="B331" s="12" t="s">
        <v>1698</v>
      </c>
      <c r="C331" s="12" t="s">
        <v>1700</v>
      </c>
      <c r="D331" s="12" t="s">
        <v>1701</v>
      </c>
      <c r="E331" s="18">
        <v>41800</v>
      </c>
    </row>
    <row r="332" spans="1:5">
      <c r="A332" s="12" t="s">
        <v>2289</v>
      </c>
      <c r="B332" s="12" t="s">
        <v>74</v>
      </c>
      <c r="C332" s="12" t="s">
        <v>1600</v>
      </c>
      <c r="D332" s="12" t="s">
        <v>1602</v>
      </c>
      <c r="E332" s="18">
        <v>100000</v>
      </c>
    </row>
    <row r="333" spans="1:5">
      <c r="A333" s="12" t="s">
        <v>2289</v>
      </c>
      <c r="B333" s="12" t="s">
        <v>74</v>
      </c>
      <c r="C333" s="12" t="s">
        <v>1603</v>
      </c>
      <c r="D333" s="12" t="s">
        <v>1605</v>
      </c>
      <c r="E333" s="18">
        <v>20166</v>
      </c>
    </row>
  </sheetData>
  <autoFilter ref="A14:E33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29"/>
  <sheetViews>
    <sheetView workbookViewId="0"/>
  </sheetViews>
  <sheetFormatPr defaultRowHeight="15"/>
  <cols>
    <col min="1" max="1" width="100.7109375" customWidth="1"/>
    <col min="2" max="5" width="20.7109375" customWidth="1"/>
  </cols>
  <sheetData>
    <row r="1" spans="1:5">
      <c r="A1" s="19" t="s">
        <v>2228</v>
      </c>
    </row>
    <row r="3" spans="1:5">
      <c r="A3" s="6" t="s">
        <v>2229</v>
      </c>
      <c r="B3" s="6" t="s">
        <v>2230</v>
      </c>
      <c r="C3" s="6" t="s">
        <v>2231</v>
      </c>
      <c r="D3" s="6" t="s">
        <v>2232</v>
      </c>
      <c r="E3" s="6" t="s">
        <v>2233</v>
      </c>
    </row>
    <row r="4" spans="1:5">
      <c r="A4" s="37" t="s">
        <v>2234</v>
      </c>
      <c r="B4" s="38">
        <f>SUM(Base!$N$5:$N$504)</f>
        <v>987989928.0</v>
      </c>
      <c r="C4" s="38">
        <v>987989928</v>
      </c>
      <c r="D4" s="38">
        <f>B4-C4</f>
        <v>0.0</v>
      </c>
      <c r="E4" s="37" t="str">
        <f>IF(ABS(D4)&lt;=0.5,"Conciliado","REVISAR")</f>
        <v>Conciliado</v>
      </c>
    </row>
    <row r="5" spans="1:5">
      <c r="A5" s="37" t="s">
        <v>2235</v>
      </c>
      <c r="B5" s="38">
        <f>'Gerencia de Infraestructura'!D329</f>
        <v>760705923.0</v>
      </c>
      <c r="C5" s="38">
        <v>760705923</v>
      </c>
      <c r="D5" s="38">
        <f>B5-C5</f>
        <v>0.0</v>
      </c>
      <c r="E5" s="37" t="str">
        <f>IF(ABS(D5)&lt;=0.5,"Conciliado","REVISAR")</f>
        <v>Conciliado</v>
      </c>
    </row>
    <row r="6" spans="1:5">
      <c r="A6" s="37" t="s">
        <v>2236</v>
      </c>
      <c r="B6" s="38">
        <f>'Gerencia de Infraestructura'!G329</f>
        <v>385954767.56000006</v>
      </c>
      <c r="C6" s="38">
        <v>385954767.56</v>
      </c>
      <c r="D6" s="38">
        <f>B6-C6</f>
        <v>5.960464477539063e-08</v>
      </c>
      <c r="E6" s="37" t="str">
        <f>IF(ABS(D6)&lt;=0.5,"Conciliado","REVISAR")</f>
        <v>Conciliado</v>
      </c>
    </row>
    <row r="7" spans="1:5">
      <c r="A7" s="37" t="s">
        <v>2237</v>
      </c>
      <c r="B7" s="38">
        <f>'Gerencias y Oficinas'!D179</f>
        <v>134200895.0</v>
      </c>
      <c r="C7" s="38">
        <v>134200895</v>
      </c>
      <c r="D7" s="38">
        <f>B7-C7</f>
        <v>0.0</v>
      </c>
      <c r="E7" s="37" t="str">
        <f>IF(ABS(D7)&lt;=0.5,"Conciliado","REVISAR")</f>
        <v>Conciliado</v>
      </c>
    </row>
    <row r="8" spans="1:5">
      <c r="A8" s="37" t="s">
        <v>2238</v>
      </c>
      <c r="B8" s="38">
        <f>'Gerencias y Oficinas'!G179</f>
        <v>51844161.760000005</v>
      </c>
      <c r="C8" s="38">
        <v>51844161.76</v>
      </c>
      <c r="D8" s="38">
        <f>B8-C8</f>
        <v>7.450580596923828e-09</v>
      </c>
      <c r="E8" s="37" t="str">
        <f>IF(ABS(D8)&lt;=0.5,"Conciliado","REVISAR")</f>
        <v>Conciliado</v>
      </c>
    </row>
    <row r="9" spans="1:5">
      <c r="A9" s="37" t="s">
        <v>2239</v>
      </c>
      <c r="B9" s="38">
        <f>'Sin clasificar'!D11</f>
        <v>120166.0</v>
      </c>
      <c r="C9" s="38">
        <v>120166</v>
      </c>
      <c r="D9" s="38">
        <f>B9-C9</f>
        <v>0.0</v>
      </c>
      <c r="E9" s="37" t="str">
        <f>IF(ABS(D9)&lt;=0.5,"Conciliado","REVISAR")</f>
        <v>Conciliado</v>
      </c>
    </row>
    <row r="10" spans="1:5">
      <c r="A10" s="37" t="s">
        <v>2240</v>
      </c>
      <c r="B10" s="38">
        <f>'Sin clasificar'!G11</f>
        <v>18148.25</v>
      </c>
      <c r="C10" s="38">
        <v>18148.25</v>
      </c>
      <c r="D10" s="38">
        <f>B10-C10</f>
        <v>0.0</v>
      </c>
      <c r="E10" s="37" t="str">
        <f>IF(ABS(D10)&lt;=0.5,"Conciliado","REVISAR")</f>
        <v>Conciliado</v>
      </c>
    </row>
    <row r="11" spans="1:5">
      <c r="A11" s="37" t="s">
        <v>2241</v>
      </c>
      <c r="B11" s="38">
        <f>'Otras UE'!D84</f>
        <v>92962944.0</v>
      </c>
      <c r="C11" s="38">
        <v>92962944</v>
      </c>
      <c r="D11" s="38">
        <f>B11-C11</f>
        <v>0.0</v>
      </c>
      <c r="E11" s="37" t="str">
        <f>IF(ABS(D11)&lt;=0.5,"Conciliado","REVISAR")</f>
        <v>Conciliado</v>
      </c>
    </row>
    <row r="12" spans="1:5">
      <c r="A12" s="37" t="s">
        <v>2242</v>
      </c>
      <c r="B12" s="38">
        <f>'Otras UE'!G84</f>
        <v>61585071.40999998</v>
      </c>
      <c r="C12" s="38">
        <v>61585071.41</v>
      </c>
      <c r="D12" s="38">
        <f>B12-C12</f>
        <v>-2.2351741790771484e-08</v>
      </c>
      <c r="E12" s="37" t="str">
        <f>IF(ABS(D12)&lt;=0.5,"Conciliado","REVISAR")</f>
        <v>Conciliado</v>
      </c>
    </row>
    <row r="13" spans="1:5">
      <c r="A13" s="37" t="s">
        <v>2243</v>
      </c>
      <c r="B13" s="38">
        <f>987989928.0</f>
        <v>987989928.0</v>
      </c>
      <c r="C13" s="38">
        <v>987989928</v>
      </c>
      <c r="D13" s="38">
        <f>B13-C13</f>
        <v>0.0</v>
      </c>
      <c r="E13" s="37" t="str">
        <f>IF(ABS(D13)&lt;=1000,"Conciliado","REVISAR")</f>
        <v>Conciliado</v>
      </c>
    </row>
    <row r="14" spans="1:5">
      <c r="A14" s="37" t="s">
        <v>2244</v>
      </c>
      <c r="B14" s="38">
        <f>SUM('Rubro por CUI'!D5:D454)</f>
        <v>987989928.0</v>
      </c>
      <c r="C14" s="38">
        <v>987989928</v>
      </c>
      <c r="D14" s="38">
        <f>B14-C14</f>
        <v>0.0</v>
      </c>
      <c r="E14" s="37" t="str">
        <f>IF(ABS(D14)&lt;=0.5,"Conciliado","REVISAR")</f>
        <v>Conciliado</v>
      </c>
    </row>
    <row r="16" spans="1:5">
      <c r="A16" s="5" t="s">
        <v>2245</v>
      </c>
    </row>
    <row r="17" spans="1:2">
      <c r="A17" s="37" t="s">
        <v>2246</v>
      </c>
      <c r="B17" s="37">
        <v>2</v>
      </c>
    </row>
    <row r="18" spans="1:2">
      <c r="A18" s="37" t="s">
        <v>2247</v>
      </c>
      <c r="B18" s="37">
        <v>154</v>
      </c>
    </row>
    <row r="19" spans="1:2">
      <c r="A19" s="37" t="s">
        <v>2248</v>
      </c>
      <c r="B19" s="37">
        <v>5</v>
      </c>
    </row>
    <row r="20" spans="1:2">
      <c r="A20" s="37" t="s">
        <v>2249</v>
      </c>
      <c r="B20" s="37">
        <v>15</v>
      </c>
    </row>
    <row r="21" spans="1:2">
      <c r="A21" s="37" t="s">
        <v>2250</v>
      </c>
      <c r="B21" s="37">
        <v>0</v>
      </c>
    </row>
    <row r="22" spans="1:2">
      <c r="A22" s="37" t="s">
        <v>2251</v>
      </c>
      <c r="B22" s="37">
        <v>0</v>
      </c>
    </row>
    <row r="24" spans="1:2">
      <c r="A24" s="5" t="s">
        <v>2252</v>
      </c>
    </row>
    <row r="25" spans="1:2">
      <c r="A25" s="39" t="s">
        <v>2253</v>
      </c>
    </row>
    <row r="27" spans="1:2">
      <c r="A27" s="5" t="s">
        <v>2254</v>
      </c>
    </row>
    <row r="28" spans="1:2">
      <c r="A28" s="12" t="s">
        <v>2255</v>
      </c>
    </row>
    <row r="29" spans="1:2">
      <c r="A29" s="12" t="s">
        <v>2256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25"/>
  <sheetViews>
    <sheetView workbookViewId="0"/>
  </sheetViews>
  <sheetFormatPr defaultRowHeight="15"/>
  <cols>
    <col min="1" max="1" width="190.7109375" customWidth="1"/>
  </cols>
  <sheetData>
    <row r="1" spans="1:1">
      <c r="A1" s="19" t="s">
        <v>2296</v>
      </c>
    </row>
    <row r="3" spans="1:1">
      <c r="A3" s="5" t="s">
        <v>2297</v>
      </c>
    </row>
    <row r="4" spans="1:1">
      <c r="A4" s="12" t="s">
        <v>2298</v>
      </c>
    </row>
    <row r="5" spans="1:1">
      <c r="A5" s="12" t="s">
        <v>2299</v>
      </c>
    </row>
    <row r="6" spans="1:1">
      <c r="A6" s="12" t="s">
        <v>2300</v>
      </c>
    </row>
    <row r="7" spans="1:1">
      <c r="A7" s="12" t="s">
        <v>2301</v>
      </c>
    </row>
    <row r="8" spans="1:1">
      <c r="A8" s="12" t="s">
        <v>2302</v>
      </c>
    </row>
    <row r="9" spans="1:1">
      <c r="A9" s="12" t="s">
        <v>2303</v>
      </c>
    </row>
    <row r="10" spans="1:1">
      <c r="A10" s="12" t="s">
        <v>2304</v>
      </c>
    </row>
    <row r="11" spans="1:1">
      <c r="A11" s="12"/>
    </row>
    <row r="12" spans="1:1">
      <c r="A12" s="12" t="s">
        <v>2305</v>
      </c>
    </row>
    <row r="13" spans="1:1">
      <c r="A13" s="5" t="s">
        <v>2306</v>
      </c>
    </row>
    <row r="14" spans="1:1">
      <c r="A14" s="12" t="s">
        <v>2307</v>
      </c>
    </row>
    <row r="15" spans="1:1">
      <c r="A15" s="12" t="s">
        <v>2308</v>
      </c>
    </row>
    <row r="16" spans="1:1">
      <c r="A16" s="12" t="s">
        <v>2309</v>
      </c>
    </row>
    <row r="17" spans="1:1">
      <c r="A17" s="12" t="s">
        <v>2310</v>
      </c>
    </row>
    <row r="18" spans="1:1">
      <c r="A18" s="12" t="s">
        <v>2311</v>
      </c>
    </row>
    <row r="19" spans="1:1">
      <c r="A19" s="12" t="s">
        <v>2312</v>
      </c>
    </row>
    <row r="20" spans="1:1">
      <c r="A20" s="12"/>
    </row>
    <row r="21" spans="1:1">
      <c r="A21" s="12" t="s">
        <v>2313</v>
      </c>
    </row>
    <row r="22" spans="1:1">
      <c r="A22" s="12" t="s">
        <v>2314</v>
      </c>
    </row>
    <row r="23" spans="1:1">
      <c r="A23" s="12" t="s">
        <v>2315</v>
      </c>
    </row>
    <row r="24" spans="1:1">
      <c r="A24" s="12" t="s">
        <v>2316</v>
      </c>
    </row>
    <row r="25" spans="1:1">
      <c r="A25" s="12" t="s">
        <v>2317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58.7109375" customWidth="1"/>
    <col min="2" max="2" width="52.7109375" customWidth="1"/>
    <col min="3" max="3" width="110.7109375" customWidth="1"/>
  </cols>
  <sheetData>
    <row r="1" spans="1:3">
      <c r="A1" s="19" t="s">
        <v>0</v>
      </c>
    </row>
    <row r="3" spans="1:3">
      <c r="A3" s="6" t="s">
        <v>1</v>
      </c>
      <c r="B3" s="6" t="s">
        <v>2</v>
      </c>
      <c r="C3" s="6" t="s">
        <v>3</v>
      </c>
    </row>
    <row r="4" spans="1:3">
      <c r="A4" s="2" t="s">
        <v>10</v>
      </c>
    </row>
    <row r="5" spans="1:3">
      <c r="A5" s="12" t="s">
        <v>4</v>
      </c>
      <c r="B5" s="40">
        <v>10000</v>
      </c>
      <c r="C5" s="12" t="s">
        <v>5</v>
      </c>
    </row>
    <row r="6" spans="1:3">
      <c r="A6" s="12" t="s">
        <v>6</v>
      </c>
      <c r="B6" s="40">
        <v>0.9</v>
      </c>
      <c r="C6" s="12" t="s">
        <v>7</v>
      </c>
    </row>
    <row r="7" spans="1:3">
      <c r="A7" s="12" t="s">
        <v>8</v>
      </c>
      <c r="B7" s="40">
        <v>0.9</v>
      </c>
      <c r="C7" s="12" t="s">
        <v>9</v>
      </c>
    </row>
    <row r="9" spans="1:3">
      <c r="A9" s="5" t="s">
        <v>11</v>
      </c>
    </row>
    <row r="10" spans="1:3">
      <c r="A10" s="12" t="s">
        <v>12</v>
      </c>
      <c r="B10" s="12" t="s">
        <v>13</v>
      </c>
    </row>
    <row r="11" spans="1:3">
      <c r="A11" s="12" t="s">
        <v>14</v>
      </c>
      <c r="B11" s="12" t="s">
        <v>15</v>
      </c>
    </row>
    <row r="12" spans="1:3">
      <c r="A12" s="12" t="s">
        <v>16</v>
      </c>
      <c r="B12" s="12" t="s">
        <v>13</v>
      </c>
    </row>
    <row r="13" spans="1:3">
      <c r="A13" s="12" t="s">
        <v>17</v>
      </c>
      <c r="B13" s="12" t="s">
        <v>18</v>
      </c>
    </row>
    <row r="14" spans="1:3">
      <c r="A14" s="12" t="s">
        <v>19</v>
      </c>
      <c r="B14" s="12" t="s">
        <v>20</v>
      </c>
    </row>
    <row r="15" spans="1:3">
      <c r="A15" s="12" t="s">
        <v>21</v>
      </c>
      <c r="B15" s="12" t="s">
        <v>20</v>
      </c>
    </row>
    <row r="16" spans="1:3">
      <c r="A16" s="12" t="s">
        <v>22</v>
      </c>
      <c r="B16" s="12" t="s">
        <v>23</v>
      </c>
    </row>
    <row r="17" spans="1:3">
      <c r="A17" s="12" t="s">
        <v>24</v>
      </c>
      <c r="B17" s="12" t="s">
        <v>25</v>
      </c>
    </row>
    <row r="18" spans="1:3">
      <c r="A18" s="12" t="s">
        <v>26</v>
      </c>
      <c r="B18" s="12" t="s">
        <v>27</v>
      </c>
    </row>
    <row r="20" spans="1:3">
      <c r="A20" s="5" t="s">
        <v>28</v>
      </c>
    </row>
    <row r="21" spans="1:3">
      <c r="A21" s="12" t="s">
        <v>29</v>
      </c>
      <c r="B21" s="12" t="s">
        <v>30</v>
      </c>
      <c r="C21" s="1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Resumen</vt:lpstr>
      <vt:lpstr>Dónde hay plata</vt:lpstr>
      <vt:lpstr>Cambios</vt:lpstr>
      <vt:lpstr>Gerencia de Infraestructura</vt:lpstr>
      <vt:lpstr>Gerencias y Oficinas</vt:lpstr>
      <vt:lpstr>Sin clasificar</vt:lpstr>
      <vt:lpstr>Otras UE</vt:lpstr>
      <vt:lpstr>Saldo al expediente</vt:lpstr>
      <vt:lpstr>Base</vt:lpstr>
      <vt:lpstr>Rubro por CUI</vt:lpstr>
      <vt:lpstr>Calidad de datos</vt:lpstr>
      <vt:lpstr>Control</vt:lpstr>
      <vt:lpstr>Reglas</vt:lpstr>
      <vt:lpstr>Config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2026-10-10T01:08:51Z</dcterms:created>
  <dcterms:modified xsi:type="dcterms:W3CDTF">2026-10-10T01:08:51Z</dcterms:modified>
</cp:coreProperties>
</file>