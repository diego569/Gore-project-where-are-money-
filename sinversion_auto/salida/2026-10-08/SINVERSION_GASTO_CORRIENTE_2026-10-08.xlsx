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Gasto corriente" sheetId="2" r:id="rId2"/>
    <sheet name="Base GC" sheetId="3" r:id="rId3"/>
    <sheet name="Control" sheetId="4" r:id="rId4"/>
    <sheet name="Config" sheetId="5" r:id="rId5"/>
    <sheet name="Reglas" sheetId="6" r:id="rId6"/>
  </sheets>
  <definedNames>
    <definedName name="_xlnm._FilterDatabase" localSheetId="2" hidden="1">'Base GC'!$A$4:$AE$84</definedName>
  </definedNames>
  <calcPr calcId="124519" fullCalcOnLoad="1"/>
</workbook>
</file>

<file path=xl/sharedStrings.xml><?xml version="1.0" encoding="utf-8"?>
<sst xmlns="http://schemas.openxmlformats.org/spreadsheetml/2006/main" count="1421" uniqueCount="333">
  <si>
    <t>Configuración (editable)</t>
  </si>
  <si>
    <t>Parámetro</t>
  </si>
  <si>
    <t>Valor</t>
  </si>
  <si>
    <t>Significado</t>
  </si>
  <si>
    <t>Umbral "Ejecutado"</t>
  </si>
  <si>
    <t>Devengado / PIM ≥ este valor → "Ejecutado" (no usar).</t>
  </si>
  <si>
    <t>Umbral "Mayormente comprometido"</t>
  </si>
  <si>
    <t>Compromiso / PIM ≥ este valor → "Mayormente comprometido".</t>
  </si>
  <si>
    <t>Datos de esta corrida</t>
  </si>
  <si>
    <t>Fecha de corte</t>
  </si>
  <si>
    <t>08/10/2026</t>
  </si>
  <si>
    <t>Fuente de cifras</t>
  </si>
  <si>
    <t>Reporte SIAF PLIEGO--.xls</t>
  </si>
  <si>
    <t>Fuente de rubro</t>
  </si>
  <si>
    <t>No disponible</t>
  </si>
  <si>
    <t>Silucia</t>
  </si>
  <si>
    <t>505 metas de la copia local del 07/10/2026 (sin token vigente; Silucia cambia cada ~3 meses)</t>
  </si>
  <si>
    <t>Generado</t>
  </si>
  <si>
    <t>08/10/2026 05:23</t>
  </si>
  <si>
    <t>Base gasto corriente UE 001 · al 08/10/2026</t>
  </si>
  <si>
    <t>Azul = dato de entrada; negro = fórmula. "s/d" en rubro = no se obtuvo de la API.</t>
  </si>
  <si>
    <t>UE</t>
  </si>
  <si>
    <t>Gerencia / Oficina</t>
  </si>
  <si>
    <t>Función</t>
  </si>
  <si>
    <t>Producto</t>
  </si>
  <si>
    <t>Actividad</t>
  </si>
  <si>
    <t>Meta</t>
  </si>
  <si>
    <t>Actividad / meta</t>
  </si>
  <si>
    <t>PIM 2026</t>
  </si>
  <si>
    <t>Certificación</t>
  </si>
  <si>
    <t>Compromiso anual</t>
  </si>
  <si>
    <t>Devengado</t>
  </si>
  <si>
    <t>Saldo sin certificar (A-B)</t>
  </si>
  <si>
    <t>Certificado no comprometido</t>
  </si>
  <si>
    <t>Saldo sin devengar (A-C)</t>
  </si>
  <si>
    <t>% Devengado</t>
  </si>
  <si>
    <t>% Comprometido</t>
  </si>
  <si>
    <t>Estado situacional</t>
  </si>
  <si>
    <t>Disponibilidad</t>
  </si>
  <si>
    <t>Disponible (PIM − compromiso)</t>
  </si>
  <si>
    <t>PIM 2.1 Personal</t>
  </si>
  <si>
    <t>PIM 2.3 Bienes y serv.</t>
  </si>
  <si>
    <t>PIM 2.5 Otros gastos</t>
  </si>
  <si>
    <t>PIM otras genéricas</t>
  </si>
  <si>
    <t>PIM · RO (00)</t>
  </si>
  <si>
    <t>PIM · RDR (09)</t>
  </si>
  <si>
    <t>PIM · DyT (13)</t>
  </si>
  <si>
    <t>PIM · FONCOR (15)</t>
  </si>
  <si>
    <t>PIM · CANON (18)</t>
  </si>
  <si>
    <t>PIM · otros rubros</t>
  </si>
  <si>
    <t>Ejecutora (Silucia)</t>
  </si>
  <si>
    <t>Nota</t>
  </si>
  <si>
    <t>001</t>
  </si>
  <si>
    <t>SIN CLASIFICAR (completar en maestro.xlsx, hoja ClasifGC)</t>
  </si>
  <si>
    <t>03. PLANEAMIENTO, GESTION Y RESERVA DE CONTINGENCIA</t>
  </si>
  <si>
    <t>3999999</t>
  </si>
  <si>
    <t>5001253</t>
  </si>
  <si>
    <t>0486</t>
  </si>
  <si>
    <t>TRANSFERENCIA DE RECURSOS PARA LA EJECUCION DE PROYECTOS DE INVERSION · TRANSFERENCIA FINANCIERA PARA PROYECTOS DE INVERSION</t>
  </si>
  <si>
    <t>s/d</t>
  </si>
  <si>
    <t/>
  </si>
  <si>
    <t>5000001</t>
  </si>
  <si>
    <t>0199</t>
  </si>
  <si>
    <t>PLANEAMIENTO Y PRESUPUESTO · ACCIONES DE PLANEAMIENTO Y PRESUPUESTO</t>
  </si>
  <si>
    <t>GASTO CORRIENTE</t>
  </si>
  <si>
    <t>5000003</t>
  </si>
  <si>
    <t>0203</t>
  </si>
  <si>
    <t>GESTION ADMINISTRATIVA · MANTENIMIENTO Y REPARACION DE EQUIPO MECANICO</t>
  </si>
  <si>
    <t>0202</t>
  </si>
  <si>
    <t>GESTION ADMINISTRATIVA</t>
  </si>
  <si>
    <t>5001254</t>
  </si>
  <si>
    <t>0531</t>
  </si>
  <si>
    <t>TRANSFERENCIA DE RECURSOS PARA LA EJECUCION DE ACTIVIDADES · TRANSFERENCIA FINANCIERA PARA ACTIVIDADES</t>
  </si>
  <si>
    <t>5001228</t>
  </si>
  <si>
    <t>0300</t>
  </si>
  <si>
    <t>SUPERVISION Y CONTROL · SEGUIMIENTO DE FISCALIZACION DE LOS CONSEJOS REGIONALES Y CONCEJOS MUNICIPALES A NIVEL NACIONAL</t>
  </si>
  <si>
    <t>5000698</t>
  </si>
  <si>
    <t>0291</t>
  </si>
  <si>
    <t>DESARROLLO SOCIAL REGIONAL · PROMOCION Y CONCERTACION DE INICIATIVAS SOCIALES</t>
  </si>
  <si>
    <t>5001031</t>
  </si>
  <si>
    <t>0298</t>
  </si>
  <si>
    <t>PRESERVACION Y DIFUSION DE ACERVOS BIBLIOGRAFICOS, DOCUMENTALES Y ARCHIVISTICOS · CONSERVACION Y CATALOGACION DE ARCHIVOS Y DOCUMENTOS</t>
  </si>
  <si>
    <t>5001949</t>
  </si>
  <si>
    <t>0301</t>
  </si>
  <si>
    <t>DIRECCION Y GESTION REGIONAL</t>
  </si>
  <si>
    <t>0503</t>
  </si>
  <si>
    <t>5000825</t>
  </si>
  <si>
    <t>0293</t>
  </si>
  <si>
    <t>GESTION DE LA INFRAESTRUCTURA · APOYO PARA EL DESARROLLO DE LOS PROYECTOS DE INVERSION</t>
  </si>
  <si>
    <t>5000486</t>
  </si>
  <si>
    <t>0289</t>
  </si>
  <si>
    <t>ASESORAMIENTO Y GESTION DEL MEDIO AMBIENTE · PRESERVACION DEL MEDIO AMBIENTE Y AREAS NATURALES</t>
  </si>
  <si>
    <t>5000688</t>
  </si>
  <si>
    <t>0290</t>
  </si>
  <si>
    <t>DESARROLLO ECONOMICO REGIONAL · PROMOCION DE LA INVERSION PUBLICA Y PRIVADA</t>
  </si>
  <si>
    <t>5000861</t>
  </si>
  <si>
    <t>0294</t>
  </si>
  <si>
    <t>IMAGEN INSTITUCIONAL</t>
  </si>
  <si>
    <t>5000002</t>
  </si>
  <si>
    <t>0201</t>
  </si>
  <si>
    <t>CONDUCCION Y ORIENTACION SUPERIOR · CONDUCCION DE LA POLITICA INSTITUCIONAL</t>
  </si>
  <si>
    <t>0500</t>
  </si>
  <si>
    <t>5000006</t>
  </si>
  <si>
    <t>0211</t>
  </si>
  <si>
    <t>ACCIONES DE CONTROL Y AUDITORIA · MONITOREO DEL SISTEMA DE CONTROL</t>
  </si>
  <si>
    <t>5000004</t>
  </si>
  <si>
    <t>0209</t>
  </si>
  <si>
    <t>ASESORAMIENTO TECNICO Y JURIDICO · ASESORAMIENTO DE NATURALEZA JURIDICA</t>
  </si>
  <si>
    <t>5000007</t>
  </si>
  <si>
    <t>0212</t>
  </si>
  <si>
    <t>DEFENSA JUDICIAL DEL ESTADO · DEFENSA JURIDICA DEL ESTADO</t>
  </si>
  <si>
    <t>0312</t>
  </si>
  <si>
    <t>GESTION DE LA INFRAESTRUCTURA · GESTION DE ESTUDIOS Y PROYECTOS DE INVERSION</t>
  </si>
  <si>
    <t>0200</t>
  </si>
  <si>
    <t>CONDUCCION Y ORIENTACION SUPERIOR · GESTION ADMINISTRATIVA</t>
  </si>
  <si>
    <t>0472</t>
  </si>
  <si>
    <t>PLANEAMIENTO Y PRESUPUESTO · FORTALECIMIENTO DE LOS GOBIERNOS REGIONALES EN MATERIA DE LAS FUNCIONES SECTORIALES TRANSFERIDAS</t>
  </si>
  <si>
    <t>5001247</t>
  </si>
  <si>
    <t>0350</t>
  </si>
  <si>
    <t>SUPERVISION Y LIQUIDACION DE OBRAS · SUPERVISION Y LIQUIDACION DE PROYECTOS DE INVERSION PUBLICA</t>
  </si>
  <si>
    <t>0205</t>
  </si>
  <si>
    <t>GESTION ADMINISTRATIVA · PAGO DE CUOTAS DEL REPRO-AFP</t>
  </si>
  <si>
    <t>0292</t>
  </si>
  <si>
    <t>DESARROLLO SOCIAL REGIONAL · ASILO DE ANCIANOS VIRGEN DEL ROSARIO DE CHUCUITO</t>
  </si>
  <si>
    <t>5000005</t>
  </si>
  <si>
    <t>0210</t>
  </si>
  <si>
    <t>GESTION DE RECURSOS HUMANOS · IMPLEMENTACION DE NEGOCIACION COLECTIVA DESCENTRALIZADA</t>
  </si>
  <si>
    <t>0204</t>
  </si>
  <si>
    <t>GESTION ADMINISTRATIVA · PAGO DE PLANILLAS</t>
  </si>
  <si>
    <t>0198</t>
  </si>
  <si>
    <t>PLANEAMIENTO Y PRESUPUESTO · CONDUCCION, SUPERVISION Y EVALUACION DE LOS PLANES Y PROGRAMAS, PRESUPUESTO Y COOPERACION TECNICA</t>
  </si>
  <si>
    <t>05. ORDEN PUBLICO Y SEGURIDAD</t>
  </si>
  <si>
    <t>3000734</t>
  </si>
  <si>
    <t>5005611</t>
  </si>
  <si>
    <t>0011</t>
  </si>
  <si>
    <t>ADMINISTRACION Y ALMACENAMIENTO DE KITS PARA LA ASISTENCIA FRENTE A EMERGENCIAS Y DESASTRES</t>
  </si>
  <si>
    <t>5005612</t>
  </si>
  <si>
    <t>0012</t>
  </si>
  <si>
    <t>DESARROLLO DE LOS CENTROS Y ESPACIOS DE MONITOREO DE EMERGENCIAS Y DESASTRES</t>
  </si>
  <si>
    <t>3000738</t>
  </si>
  <si>
    <t>5005580</t>
  </si>
  <si>
    <t>0015</t>
  </si>
  <si>
    <t>FORMACION Y CAPACITACION EN MATERIA DE GESTION DE RIESGO DE DESASTRES Y ADAPTACION AL CAMBIO CLIMATICO · FORMACION Y CAPACITACION EN MATERIA DE GESTION DE RIESGO DE DESASTRES</t>
  </si>
  <si>
    <t>5005560</t>
  </si>
  <si>
    <t>0009</t>
  </si>
  <si>
    <t>DESARROLLO DE SIMULACROS EN GESTION REACTIVA</t>
  </si>
  <si>
    <t>5005561</t>
  </si>
  <si>
    <t>0010</t>
  </si>
  <si>
    <t>IMPLEMENTACION DE BRIGADAS PARA LA ATENCION FRENTE A EMERGENCIAS Y DESASTRES</t>
  </si>
  <si>
    <t>3000739</t>
  </si>
  <si>
    <t>5005581</t>
  </si>
  <si>
    <t>0016</t>
  </si>
  <si>
    <t>DESARROLLO DE CAMPAÑAS COMUNICACIONALES PARA LA GESTION DEL RIESGO DE DESASTRES</t>
  </si>
  <si>
    <t>3000001</t>
  </si>
  <si>
    <t>5004280</t>
  </si>
  <si>
    <t>0008</t>
  </si>
  <si>
    <t>DESARROLLO DE INSTRUMENTOS ESTRATEGICOS PARA LA GESTION DEL RIESGO DE DESASTRES</t>
  </si>
  <si>
    <t>5005579</t>
  </si>
  <si>
    <t>0014</t>
  </si>
  <si>
    <t>ACCESO A LA INFORMACION Y OPERATIVIDAD DEL SISTEMA DE INFORMACION EN GESTION DEL RIESGO DE DESASTRES</t>
  </si>
  <si>
    <t>07. (sin nombre)</t>
  </si>
  <si>
    <t>5000276</t>
  </si>
  <si>
    <t>0075</t>
  </si>
  <si>
    <t>GESTION DEL PROGRAMA</t>
  </si>
  <si>
    <t>0451</t>
  </si>
  <si>
    <t>0450</t>
  </si>
  <si>
    <t>3000635</t>
  </si>
  <si>
    <t>5006205</t>
  </si>
  <si>
    <t>0435</t>
  </si>
  <si>
    <t>FORMALIZACION DE LA FUERZA LABORAL</t>
  </si>
  <si>
    <t>5004946</t>
  </si>
  <si>
    <t>0438</t>
  </si>
  <si>
    <t>ABSOLUCION DE CONSULTAS EN MATERIAS LABORALES</t>
  </si>
  <si>
    <t>3000577</t>
  </si>
  <si>
    <t>5006247</t>
  </si>
  <si>
    <t>0452</t>
  </si>
  <si>
    <t>ATENCION DE SERVICIOS DE INTERMEDIACION LABORAL</t>
  </si>
  <si>
    <t>0084</t>
  </si>
  <si>
    <t>0078</t>
  </si>
  <si>
    <t>0442</t>
  </si>
  <si>
    <t>5005589</t>
  </si>
  <si>
    <t>0079</t>
  </si>
  <si>
    <t>CAPACITACION Y DIFUSION DE LA NORMATIVA LABORAL A TRAVES DE MEDIOS DE DIFUSION MASIVA</t>
  </si>
  <si>
    <t>0444</t>
  </si>
  <si>
    <t>0206</t>
  </si>
  <si>
    <t>GESTION ADMINISTRATIVA · GARANTIZAR LA APLICACION DE NORMAS LABORALES</t>
  </si>
  <si>
    <t>0443</t>
  </si>
  <si>
    <t>0441</t>
  </si>
  <si>
    <t>5005590</t>
  </si>
  <si>
    <t>0446</t>
  </si>
  <si>
    <t>CAPACITACION Y SENSIBILIZACION EN MATERIA DE TRABAJO FORZOSO, TRATA DE PERSONAS Y OTROS GRUPOS VULNERABLES</t>
  </si>
  <si>
    <t>0445</t>
  </si>
  <si>
    <t>0440</t>
  </si>
  <si>
    <t>0448</t>
  </si>
  <si>
    <t>0080</t>
  </si>
  <si>
    <t>0077</t>
  </si>
  <si>
    <t>0076</t>
  </si>
  <si>
    <t>0447</t>
  </si>
  <si>
    <t>0449</t>
  </si>
  <si>
    <t>0439</t>
  </si>
  <si>
    <t>09. TURISMO</t>
  </si>
  <si>
    <t>0207</t>
  </si>
  <si>
    <t>0427</t>
  </si>
  <si>
    <t>PLANEAMIENTO Y PRESUPUESTO · DEMARCACION Y ORDENAMIENTO TERRITORIAL</t>
  </si>
  <si>
    <t>10. AGROPECUARIA</t>
  </si>
  <si>
    <t>3000735</t>
  </si>
  <si>
    <t>5005562</t>
  </si>
  <si>
    <t>0013</t>
  </si>
  <si>
    <t>CONTROL DE ZONAS CRITICAS Y FAJAS MARGINALES EN CAUCES DE RIOS</t>
  </si>
  <si>
    <t>13. (sin nombre)</t>
  </si>
  <si>
    <t>0208</t>
  </si>
  <si>
    <t>15. TRANSPORTE</t>
  </si>
  <si>
    <t>5000936</t>
  </si>
  <si>
    <t>0295</t>
  </si>
  <si>
    <t>MANTENIMIENTO DE INFRAESTRUCTURA PUBLICA · MEJORAMIENTO DE INFRAESTRUCTURA SOCIAL</t>
  </si>
  <si>
    <t>17. AMBIENTE</t>
  </si>
  <si>
    <t>3000676</t>
  </si>
  <si>
    <t>5005122</t>
  </si>
  <si>
    <t>0527</t>
  </si>
  <si>
    <t>PROPUESTAS DE CREACION Y/O CATEGORIZACION DE AREAS NATURALES PROTEGIDAS ELABORADAS</t>
  </si>
  <si>
    <t>18. SANEAMIENTO</t>
  </si>
  <si>
    <t>3000882</t>
  </si>
  <si>
    <t>5006299</t>
  </si>
  <si>
    <t>0017</t>
  </si>
  <si>
    <t>POTABILIZACION  Y OTRAS FORMAS DE DESINFECCION Y TRATAMIENTO · POTABILIZACION Y OTRAS FORMAS DE DESINFECCION Y TRATAMIENTO</t>
  </si>
  <si>
    <t>5006302</t>
  </si>
  <si>
    <t>0018</t>
  </si>
  <si>
    <t>FORTALECIMIENTO DE CAPACIDADES A PRESTADORES, GL - ATM y GR - D/GRVCS · FORTALECIMIENTO DE CAPACIDADES A PRESTADORES DE LOS SERVICIOS DE AGUA Y DISPOSICION SANITARIA DE EXCRETAS</t>
  </si>
  <si>
    <t>5006304</t>
  </si>
  <si>
    <t>0466</t>
  </si>
  <si>
    <t>MONITOREO DE LA PRESTACION DE LOS SERVICIOS DE AGUA POTABLE Y DISPOSICION SANITARIA DE EXCRETAS PARA HOGARES CONCENTRADOS</t>
  </si>
  <si>
    <t>0019</t>
  </si>
  <si>
    <t>FORTALECIMIENTO DE CAPACIDADES A PRESTADORES, GL - ATM y GR - D/GRVCS · FORTALECIMIENTO DE CAPACIDADES A GOBIERNOS LOCALES - AREAS TECNICAS MUNICIPALES</t>
  </si>
  <si>
    <t>20. SALUD</t>
  </si>
  <si>
    <t>3000927</t>
  </si>
  <si>
    <t>5004428</t>
  </si>
  <si>
    <t>0468</t>
  </si>
  <si>
    <t>VIGILANCIA DE LA CALIDAD DEL AGUA PARA EL CONSUMO HUMANO</t>
  </si>
  <si>
    <t>0296</t>
  </si>
  <si>
    <t>MANTENIMIENTO DE INFRAESTRUCTURA PUBLICA · MANTENIMIENTO DE INFRAESTRUCTURA CONSTRUIDA</t>
  </si>
  <si>
    <t>5004426</t>
  </si>
  <si>
    <t>0469</t>
  </si>
  <si>
    <t>MONITOREO, SUPERVISION, EVALUACION Y CONTROL DEL PROGRAMA ARTICULADO NUTRICIONAL</t>
  </si>
  <si>
    <t>3000879</t>
  </si>
  <si>
    <t>5006271</t>
  </si>
  <si>
    <t>0467</t>
  </si>
  <si>
    <t>ADMINISTRAR SUPLEMENTO DE HIERRO Y ACIDO FOLICO A ADOLESCENTES · ADMINISTRAR SUPLEMENTO DE HIERRO Y ACIDO FOLICO A ADOLESCENTE</t>
  </si>
  <si>
    <t>23. PROTECCION SOCIAL</t>
  </si>
  <si>
    <t>3000889</t>
  </si>
  <si>
    <t>5006337</t>
  </si>
  <si>
    <t>0085</t>
  </si>
  <si>
    <t>ATENCION, CUIDADO Y PROTECCION A NIÑAS, NIÑOS Y ADOLESCENTES EN DESPROTECCION FAMILIAR A TRAVES DE CENTROS DE ACOGIDA RESIDENCIAL BASICO</t>
  </si>
  <si>
    <t>0086</t>
  </si>
  <si>
    <t>5005387</t>
  </si>
  <si>
    <t>0302</t>
  </si>
  <si>
    <t>MEJORAMIENTO Y ATENCION A LAS PERSONAS CON DISCAPACIDAD · ATENCION A LAS PERSONAS CON DISCAPACIDAD MEDIANTE ACCIONES DE LA OFICINA REGIONAL DE ATENCION A LA PERSONA CON DISCAPACIDAD (OREDIS)</t>
  </si>
  <si>
    <t>5001122</t>
  </si>
  <si>
    <t>0299</t>
  </si>
  <si>
    <t>PROTECCION SOCIAL · MEJORAR LA CALIDAD DE VIDA DE LA POBLACION</t>
  </si>
  <si>
    <t>24. (sin nombre)</t>
  </si>
  <si>
    <t>5000991</t>
  </si>
  <si>
    <t>0297</t>
  </si>
  <si>
    <t>OBLIGACIONES PREVISIONALES · PAGO DE PENSIONES Y BENEFICIOS A CESANTES Y JUBILADOS</t>
  </si>
  <si>
    <t>25. (sin nombre)</t>
  </si>
  <si>
    <t>5000376</t>
  </si>
  <si>
    <t>0288</t>
  </si>
  <si>
    <t>ADMINISTRACION DEUDA INTERNA · SERVICIO DE LA DEUDA</t>
  </si>
  <si>
    <t>ANEXO · GASTO CORRIENTE</t>
  </si>
  <si>
    <t>COMPORTAMIENTO DE EJECUCIÓN DE GASTO CORRIENTE (ACTIVIDADES) · UE 001 · AÑO FISCAL 2026 · AL 08/10/2026</t>
  </si>
  <si>
    <t>N°</t>
  </si>
  <si>
    <t>META</t>
  </si>
  <si>
    <t>ACTIVIDAD / META</t>
  </si>
  <si>
    <t>PIM 2026
(A)</t>
  </si>
  <si>
    <t>CERTIFICACIÓN
(B)</t>
  </si>
  <si>
    <t>SALDO
(A-B)</t>
  </si>
  <si>
    <t>COMPROMISO
ANUAL</t>
  </si>
  <si>
    <t>DEVENGADO
( C )</t>
  </si>
  <si>
    <t>SALDO
(A-C)</t>
  </si>
  <si>
    <t>DEVEN
%</t>
  </si>
  <si>
    <t>ESTADO
SITUACIONAL</t>
  </si>
  <si>
    <t>DISPONIBILIDAD</t>
  </si>
  <si>
    <t>CERTIFICADO NO
COMPROMETIDO</t>
  </si>
  <si>
    <t>DISPONIBLE
(PIM − COMPROM.)</t>
  </si>
  <si>
    <t>PIM 2.1
Personal</t>
  </si>
  <si>
    <t>PIM 2.3
Bienes y servicios</t>
  </si>
  <si>
    <t>PIM 2.5
Otros gastos</t>
  </si>
  <si>
    <t>PIM otras
genéricas</t>
  </si>
  <si>
    <t>RO
(00)</t>
  </si>
  <si>
    <t>RDR
(09)</t>
  </si>
  <si>
    <t>DyT
(13)</t>
  </si>
  <si>
    <t>FONCOR
(15)</t>
  </si>
  <si>
    <t>CANON
(18)</t>
  </si>
  <si>
    <t>Otros
rubros</t>
  </si>
  <si>
    <t>EJECUTORA
(SILUCIA)</t>
  </si>
  <si>
    <t>TOTAL GASTO CORRIENTE UE 001</t>
  </si>
  <si>
    <t>Gasto corriente · UE 001 · mapeo de disponibilidad · al 08/10/2026</t>
  </si>
  <si>
    <t>Montos en soles. Calculado desde la hoja Base GC. Umbrales en Config.</t>
  </si>
  <si>
    <t>Metas</t>
  </si>
  <si>
    <t>Disponible (PIM − comprom.)</t>
  </si>
  <si>
    <t>PIM · Sin certificar</t>
  </si>
  <si>
    <t>PIM · Solo certificado</t>
  </si>
  <si>
    <t>PIM · Parcialmente comprometido</t>
  </si>
  <si>
    <t>PIM · Mayormente comprometido</t>
  </si>
  <si>
    <t>PIM · Ejecutado</t>
  </si>
  <si>
    <t>PIM · Sin PIM</t>
  </si>
  <si>
    <t>TOTAL</t>
  </si>
  <si>
    <t>Control y conciliación</t>
  </si>
  <si>
    <t>Control</t>
  </si>
  <si>
    <t>Calculado</t>
  </si>
  <si>
    <t>Referencia</t>
  </si>
  <si>
    <t>Diferencia</t>
  </si>
  <si>
    <t>Resultado</t>
  </si>
  <si>
    <t>Hoja Gasto corriente: PIM = Base GC</t>
  </si>
  <si>
    <t>Hoja Gasto corriente: Devengado = Base GC</t>
  </si>
  <si>
    <t>PIM de la Base GC = PIM de actividades de la UE 001 en la fuente de cifras</t>
  </si>
  <si>
    <t>PIM UE 001: proyectos + gasto corriente = TOTAL UE del reporte SIAF</t>
  </si>
  <si>
    <t>Alertas (informativo)</t>
  </si>
  <si>
    <t>Metas sin gerencia/oficina asignada (completar en maestro.xlsx, hoja ClasifGC)</t>
  </si>
  <si>
    <t>Metas sin rubro (la API de Datos Abiertos no respondió)</t>
  </si>
  <si>
    <t>Metas con oficina sugerida por Silucia (confirmar)</t>
  </si>
  <si>
    <t>Avisos de la corrida</t>
  </si>
  <si>
    <t>La API del MEF no devolvió las cifras (dump: el CSV llegó solo con encabezados (la tabla del MEF está vacía).; paginada: La API no devolvió registros para el filtro pedido.). Se usa el reporte SIAF (.xls).</t>
  </si>
  <si>
    <t>Cartera del MEF consultada SIN verificar el certificado SSL (no se pudo validar en esta PC).</t>
  </si>
  <si>
    <t>Rubro: La API del MEF no respondió o falló: dump: el CSV llegó solo con encabezados (la tabla del MEF está vacía).; dump: el CSV llegó solo con encabezados (la tabla del MEF está vacía).; paginada: La API no devolvió registros para el filtro pe</t>
  </si>
  <si>
    <t>Rubro: se usa la última copia de la API del MEF (08/10/2026 04:11); el PIM por rubro cambia poco de un día a otro.</t>
  </si>
  <si>
    <t>Rubro del gasto corriente: La API del MEF no respondió o falló: dump: el CSV llegó solo con encabezados (la tabla del MEF está vacía).; dump: el CSV llegó solo con encabezados (la tabla del MEF está vacía).; paginada: La API no devolvió registros para el filtro pe Queda "s/d".</t>
  </si>
  <si>
    <t>Reglas aplicadas</t>
  </si>
  <si>
    <t>Estado situacional y disponibilidad: las mismas reglas y umbrales que el Excel de proyectos (hoja Config).</t>
  </si>
  <si>
    <t>Ojo: en gasto corriente (planillas, servicios básicos, contratos) un compromiso alto es normal y lo "no comprometido" puede ser pago por venir; el estado es una primera aproximación.</t>
  </si>
  <si>
    <t>GERENCIA / OFICINA: maestro.xlsx, hoja ClasifGC (UE + meta). Las metas nuevas se agregan solas con la oficina vacía (celda amarilla).</t>
  </si>
  <si>
    <t>Silucia (api/metas): las metas de gasto corriente llegan todas con la ejecutora "GASTO CORRIENTE" (sin oficina). Si Silucia empieza a traer otra ejecutora y esta figura en la hoja MapaEjecutoras, se sugiere esa oficina.</t>
  </si>
  <si>
    <t>GENÉRICAS: 2.1 personal y obligaciones sociales, 2.3 bienes y servicios, 2.5 otros gastos; "otras" incluye 2.2, 2.4, 2.6 y 2.7.</t>
  </si>
  <si>
    <t>RUBRO: PIM por rubro de financiamiento por meta, desde la API de Datos Abiertos del MEF ("s/d" si no respondió).</t>
  </si>
</sst>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"/>
    <numFmt numFmtId="166" formatCode="#,##0.00;(#,##0.00);&quot;-&quot;"/>
    <numFmt numFmtId="167" formatCode="0%"/>
  </numFmts>
  <fonts count="10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9"/>
      <color rgb="FF595959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color rgb="FF0000FF"/>
      <name val="Arial"/>
      <family val="2"/>
    </font>
    <font>
      <sz val="9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/>
    <xf numFmtId="164" fontId="5" fillId="3" borderId="1" xfId="0" applyNumberFormat="1" applyFont="1" applyFill="1" applyBorder="1"/>
    <xf numFmtId="0" fontId="6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164" fontId="5" fillId="5" borderId="1" xfId="0" applyNumberFormat="1" applyFont="1" applyFill="1" applyBorder="1"/>
    <xf numFmtId="165" fontId="5" fillId="5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/>
    <xf numFmtId="164" fontId="3" fillId="2" borderId="1" xfId="0" applyNumberFormat="1" applyFont="1" applyFill="1" applyBorder="1"/>
    <xf numFmtId="165" fontId="3" fillId="2" borderId="1" xfId="0" applyNumberFormat="1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164" fontId="8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/>
    <xf numFmtId="166" fontId="4" fillId="0" borderId="1" xfId="0" applyNumberFormat="1" applyFont="1" applyBorder="1"/>
    <xf numFmtId="0" fontId="9" fillId="0" borderId="0" xfId="0" applyFont="1"/>
    <xf numFmtId="167" fontId="8" fillId="6" borderId="1" xfId="0" applyNumberFormat="1" applyFont="1" applyFill="1" applyBorder="1"/>
  </cellXfs>
  <cellStyles count="1">
    <cellStyle name="Normal" xfId="0" builtinId="0"/>
  </cellStyles>
  <dxfs count="5"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cols>
    <col min="1" max="1" width="60.7109375" customWidth="1"/>
    <col min="2" max="16" width="16.7109375" customWidth="1"/>
  </cols>
  <sheetData>
    <row r="1" spans="1:16">
      <c r="A1" s="1" t="s">
        <v>295</v>
      </c>
    </row>
    <row r="2" spans="1:16">
      <c r="A2" s="2" t="s">
        <v>296</v>
      </c>
    </row>
    <row r="4" spans="1:16" ht="40" customHeight="1">
      <c r="A4" s="3" t="s">
        <v>22</v>
      </c>
      <c r="B4" s="3" t="s">
        <v>297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298</v>
      </c>
      <c r="H4" s="3" t="s">
        <v>40</v>
      </c>
      <c r="I4" s="3" t="s">
        <v>41</v>
      </c>
      <c r="J4" s="3" t="s">
        <v>42</v>
      </c>
      <c r="K4" s="3" t="s">
        <v>299</v>
      </c>
      <c r="L4" s="3" t="s">
        <v>300</v>
      </c>
      <c r="M4" s="3" t="s">
        <v>301</v>
      </c>
      <c r="N4" s="3" t="s">
        <v>302</v>
      </c>
      <c r="O4" s="3" t="s">
        <v>303</v>
      </c>
      <c r="P4" s="3" t="s">
        <v>304</v>
      </c>
    </row>
    <row r="5" spans="1:16">
      <c r="A5" s="4" t="s">
        <v>53</v>
      </c>
      <c r="B5" s="5">
        <f>COUNTIFS('Base GC'!$B$5:$B$84,$A5)</f>
        <v>80</v>
      </c>
      <c r="C5" s="5">
        <f>SUMIFS('Base GC'!$H$5:$H$84,'Base GC'!$B$5:$B$84,$A5)</f>
        <v>99795382.0</v>
      </c>
      <c r="D5" s="5">
        <f>SUMIFS('Base GC'!$I$5:$I$84,'Base GC'!$B$5:$B$84,$A5)</f>
        <v>81255205.76</v>
      </c>
      <c r="E5" s="5">
        <f>SUMIFS('Base GC'!$J$5:$J$84,'Base GC'!$B$5:$B$84,$A5)</f>
        <v>72637604.12</v>
      </c>
      <c r="F5" s="5">
        <f>SUMIFS('Base GC'!$K$5:$K$84,'Base GC'!$B$5:$B$84,$A5)</f>
        <v>56814242.85</v>
      </c>
      <c r="G5" s="5">
        <f>SUMIFS('Base GC'!$S$5:$S$84,'Base GC'!$B$5:$B$84,$A5)</f>
        <v>27100844.88</v>
      </c>
      <c r="H5" s="5">
        <f>SUMIFS('Base GC'!$T$5:$T$84,'Base GC'!$B$5:$B$84,$A5)</f>
        <v>20504461.0</v>
      </c>
      <c r="I5" s="5">
        <f>SUMIFS('Base GC'!$U$5:$U$84,'Base GC'!$B$5:$B$84,$A5)</f>
        <v>40283830.0</v>
      </c>
      <c r="J5" s="5">
        <f>SUMIFS('Base GC'!$V$5:$V$84,'Base GC'!$B$5:$B$84,$A5)</f>
        <v>136213.0</v>
      </c>
      <c r="K5" s="5">
        <f>SUMIFS('Base GC'!$H$5:$H$84,'Base GC'!$B$5:$B$84,$A5,'Base GC'!$Q$5:$Q$84,"Sin certificar")</f>
        <v>7063833.0</v>
      </c>
      <c r="L5" s="5">
        <f>SUMIFS('Base GC'!$H$5:$H$84,'Base GC'!$B$5:$B$84,$A5,'Base GC'!$Q$5:$Q$84,"Solo certificado")</f>
        <v>295200.0</v>
      </c>
      <c r="M5" s="5">
        <f>SUMIFS('Base GC'!$H$5:$H$84,'Base GC'!$B$5:$B$84,$A5,'Base GC'!$Q$5:$Q$84,"Parcialmente comprometido")</f>
        <v>17902644.0</v>
      </c>
      <c r="N5" s="5">
        <f>SUMIFS('Base GC'!$H$5:$H$84,'Base GC'!$B$5:$B$84,$A5,'Base GC'!$Q$5:$Q$84,"Mayormente comprometido")</f>
        <v>50557591.0</v>
      </c>
      <c r="O5" s="5">
        <f>SUMIFS('Base GC'!$H$5:$H$84,'Base GC'!$B$5:$B$84,$A5,'Base GC'!$Q$5:$Q$84,"Ejecutado")</f>
        <v>23976114.0</v>
      </c>
      <c r="P5" s="5">
        <f>SUMIFS('Base GC'!$H$5:$H$84,'Base GC'!$B$5:$B$84,$A5,'Base GC'!$Q$5:$Q$84,"Sin PIM")</f>
        <v>0.0</v>
      </c>
    </row>
    <row r="6" spans="1:16">
      <c r="A6" s="6" t="s">
        <v>305</v>
      </c>
      <c r="B6" s="7">
        <f>SUM(B5:B5)</f>
        <v>80</v>
      </c>
      <c r="C6" s="7">
        <f>SUM(C5:C5)</f>
        <v>99795382.0</v>
      </c>
      <c r="D6" s="7">
        <f>SUM(D5:D5)</f>
        <v>81255205.76</v>
      </c>
      <c r="E6" s="7">
        <f>SUM(E5:E5)</f>
        <v>72637604.12</v>
      </c>
      <c r="F6" s="7">
        <f>SUM(F5:F5)</f>
        <v>56814242.85</v>
      </c>
      <c r="G6" s="7">
        <f>SUM(G5:G5)</f>
        <v>27100844.88</v>
      </c>
      <c r="H6" s="7">
        <f>SUM(H5:H5)</f>
        <v>20504461.0</v>
      </c>
      <c r="I6" s="7">
        <f>SUM(I5:I5)</f>
        <v>40283830.0</v>
      </c>
      <c r="J6" s="7">
        <f>SUM(J5:J5)</f>
        <v>136213.0</v>
      </c>
      <c r="K6" s="7">
        <f>SUM(K5:K5)</f>
        <v>7063833.0</v>
      </c>
      <c r="L6" s="7">
        <f>SUM(L5:L5)</f>
        <v>295200.0</v>
      </c>
      <c r="M6" s="7">
        <f>SUM(M5:M5)</f>
        <v>17902644.0</v>
      </c>
      <c r="N6" s="7">
        <f>SUM(N5:N5)</f>
        <v>50557591.0</v>
      </c>
      <c r="O6" s="7">
        <f>SUM(O5:O5)</f>
        <v>23976114.0</v>
      </c>
      <c r="P6" s="7">
        <f>SUM(P5:P5)</f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00"/>
  <sheetViews>
    <sheetView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8.7109375" customWidth="1"/>
    <col min="3" max="3" width="70.7109375" customWidth="1"/>
    <col min="4" max="5" width="15.7109375" customWidth="1"/>
    <col min="6" max="6" width="14.7109375" customWidth="1"/>
    <col min="7" max="9" width="15.7109375" customWidth="1"/>
    <col min="10" max="10" width="9.7109375" customWidth="1"/>
    <col min="11" max="11" width="24.7109375" customWidth="1"/>
    <col min="12" max="12" width="15.7109375" customWidth="1"/>
    <col min="13" max="14" width="16.7109375" customWidth="1"/>
    <col min="15" max="18" width="14.7109375" customWidth="1"/>
    <col min="19" max="24" width="13.7109375" customWidth="1"/>
    <col min="25" max="25" width="22.7109375" customWidth="1"/>
  </cols>
  <sheetData>
    <row r="1" spans="1:25">
      <c r="C1" s="1" t="s">
        <v>267</v>
      </c>
    </row>
    <row r="2" spans="1:25">
      <c r="B2" s="8" t="s">
        <v>268</v>
      </c>
    </row>
    <row r="4" spans="1:25" ht="44" customHeight="1">
      <c r="A4" s="3" t="s">
        <v>269</v>
      </c>
      <c r="B4" s="3" t="s">
        <v>270</v>
      </c>
      <c r="C4" s="3" t="s">
        <v>271</v>
      </c>
      <c r="D4" s="3" t="s">
        <v>272</v>
      </c>
      <c r="E4" s="3" t="s">
        <v>273</v>
      </c>
      <c r="F4" s="3" t="s">
        <v>274</v>
      </c>
      <c r="G4" s="3" t="s">
        <v>275</v>
      </c>
      <c r="H4" s="3" t="s">
        <v>276</v>
      </c>
      <c r="I4" s="3" t="s">
        <v>277</v>
      </c>
      <c r="J4" s="3" t="s">
        <v>278</v>
      </c>
      <c r="K4" s="9" t="s">
        <v>279</v>
      </c>
      <c r="L4" s="9" t="s">
        <v>280</v>
      </c>
      <c r="M4" s="9" t="s">
        <v>281</v>
      </c>
      <c r="N4" s="9" t="s">
        <v>282</v>
      </c>
      <c r="O4" s="9" t="s">
        <v>283</v>
      </c>
      <c r="P4" s="9" t="s">
        <v>284</v>
      </c>
      <c r="Q4" s="9" t="s">
        <v>285</v>
      </c>
      <c r="R4" s="9" t="s">
        <v>286</v>
      </c>
      <c r="S4" s="9" t="s">
        <v>287</v>
      </c>
      <c r="T4" s="9" t="s">
        <v>288</v>
      </c>
      <c r="U4" s="9" t="s">
        <v>289</v>
      </c>
      <c r="V4" s="9" t="s">
        <v>290</v>
      </c>
      <c r="W4" s="9" t="s">
        <v>291</v>
      </c>
      <c r="X4" s="9" t="s">
        <v>292</v>
      </c>
      <c r="Y4" s="9" t="s">
        <v>293</v>
      </c>
    </row>
    <row r="5" spans="1:25">
      <c r="A5" s="10" t="s">
        <v>53</v>
      </c>
      <c r="B5" s="10"/>
      <c r="C5" s="10"/>
      <c r="D5" s="11">
        <f>D6+D35+D44+D69+D72+D74+D76+D78+D80+D85+D90+D95+D97</f>
        <v>99795382.0</v>
      </c>
      <c r="E5" s="11">
        <f>E6+E35+E44+E69+E72+E74+E76+E78+E80+E85+E90+E95+E97</f>
        <v>81255205.76000002</v>
      </c>
      <c r="F5" s="11">
        <f>D5-E5</f>
        <v>18540176.23999998</v>
      </c>
      <c r="G5" s="11">
        <f>G6+G35+G44+G69+G72+G74+G76+G78+G80+G85+G90+G95+G97</f>
        <v>72637604.12</v>
      </c>
      <c r="H5" s="11">
        <f>H6+H35+H44+H69+H72+H74+H76+H78+H80+H85+H90+H95+H97</f>
        <v>56814242.85000001</v>
      </c>
      <c r="I5" s="11">
        <f>D5-H5</f>
        <v>42981139.14999999</v>
      </c>
      <c r="J5" s="12">
        <f>IF(D5=0,0,H5/D5)</f>
        <v>0.5693073337802346</v>
      </c>
      <c r="K5" s="10"/>
      <c r="L5" s="10"/>
      <c r="M5" s="11">
        <f>M6+M35+M44+M69+M72+M74+M76+M78+M80+M85+M90+M95+M97</f>
        <v>8617601.640000002</v>
      </c>
      <c r="N5" s="11">
        <f>N6+N35+N44+N69+N72+N74+N76+N78+N80+N85+N90+N95+N97</f>
        <v>27100844.88</v>
      </c>
      <c r="O5" s="11">
        <f>O6+O35+O44+O69+O72+O74+O76+O78+O80+O85+O90+O95+O97</f>
        <v>20504461.0</v>
      </c>
      <c r="P5" s="11">
        <f>P6+P35+P44+P69+P72+P74+P76+P78+P80+P85+P90+P95+P97</f>
        <v>40283830.0</v>
      </c>
      <c r="Q5" s="11">
        <f>Q6+Q35+Q44+Q69+Q72+Q74+Q76+Q78+Q80+Q85+Q90+Q95+Q97</f>
        <v>136213.0</v>
      </c>
      <c r="R5" s="11">
        <f>R6+R35+R44+R69+R72+R74+R76+R78+R80+R85+R90+R95+R97</f>
        <v>38870878.0</v>
      </c>
      <c r="S5" s="11">
        <f>S6+S35+S44+S69+S72+S74+S76+S78+S80+S85+S90+S95+S97</f>
        <v>0.0</v>
      </c>
      <c r="T5" s="11">
        <f>T6+T35+T44+T69+T72+T74+T76+T78+T80+T85+T90+T95+T97</f>
        <v>0.0</v>
      </c>
      <c r="U5" s="11">
        <f>U6+U35+U44+U69+U72+U74+U76+U78+U80+U85+U90+U95+U97</f>
        <v>0.0</v>
      </c>
      <c r="V5" s="11">
        <f>V6+V35+V44+V69+V72+V74+V76+V78+V80+V85+V90+V95+V97</f>
        <v>0.0</v>
      </c>
      <c r="W5" s="11">
        <f>W6+W35+W44+W69+W72+W74+W76+W78+W80+W85+W90+W95+W97</f>
        <v>0.0</v>
      </c>
      <c r="X5" s="11">
        <f>X6+X35+X44+X69+X72+X74+X76+X78+X80+X85+X90+X95+X97</f>
        <v>0.0</v>
      </c>
      <c r="Y5" s="10"/>
    </row>
    <row r="6" spans="1:25">
      <c r="A6" s="6" t="s">
        <v>54</v>
      </c>
      <c r="B6" s="6"/>
      <c r="C6" s="6"/>
      <c r="D6" s="7">
        <f>SUM(D7:D34)</f>
        <v>79496450.0</v>
      </c>
      <c r="E6" s="7">
        <f>SUM(E7:E34)</f>
        <v>66080768.78</v>
      </c>
      <c r="F6" s="7">
        <f>D6-E6</f>
        <v>13415681.219999999</v>
      </c>
      <c r="G6" s="7">
        <f>SUM(G7:G34)</f>
        <v>59157029.92999999</v>
      </c>
      <c r="H6" s="7">
        <f>SUM(H7:H34)</f>
        <v>47648236.16000001</v>
      </c>
      <c r="I6" s="7">
        <f>D6-H6</f>
        <v>31848213.83999999</v>
      </c>
      <c r="J6" s="13">
        <f>IF(D6=0,0,H6/D6)</f>
        <v>0.5993756470886438</v>
      </c>
      <c r="K6" s="6"/>
      <c r="L6" s="6"/>
      <c r="M6" s="7">
        <f>SUM(M7:M34)</f>
        <v>6923738.8500000015</v>
      </c>
      <c r="N6" s="7">
        <f>SUM(N7:N34)</f>
        <v>20285737.07</v>
      </c>
      <c r="O6" s="7">
        <f>SUM(O7:O34)</f>
        <v>16486195.0</v>
      </c>
      <c r="P6" s="7">
        <f>SUM(P7:P34)</f>
        <v>31052131.0</v>
      </c>
      <c r="Q6" s="7">
        <f>SUM(Q7:Q34)</f>
        <v>135543.0</v>
      </c>
      <c r="R6" s="7">
        <f>SUM(R7:R34)</f>
        <v>31822581.0</v>
      </c>
      <c r="S6" s="7">
        <f>SUM(S7:S34)</f>
        <v>0.0</v>
      </c>
      <c r="T6" s="7">
        <f>SUM(T7:T34)</f>
        <v>0.0</v>
      </c>
      <c r="U6" s="7">
        <f>SUM(U7:U34)</f>
        <v>0.0</v>
      </c>
      <c r="V6" s="7">
        <f>SUM(V7:V34)</f>
        <v>0.0</v>
      </c>
      <c r="W6" s="7">
        <f>SUM(W7:W34)</f>
        <v>0.0</v>
      </c>
      <c r="X6" s="7">
        <f>SUM(X7:X34)</f>
        <v>0.0</v>
      </c>
      <c r="Y6" s="6"/>
    </row>
    <row r="7" spans="1:25">
      <c r="A7" s="14">
        <f>SUBTOTAL(103,$B$6:B7)</f>
        <v>1</v>
      </c>
      <c r="B7" s="14">
        <v>486</v>
      </c>
      <c r="C7" s="4" t="s">
        <v>58</v>
      </c>
      <c r="D7" s="5">
        <f>'Base GC'!H5</f>
        <v>21854668.0</v>
      </c>
      <c r="E7" s="5">
        <f>'Base GC'!I5</f>
        <v>21854668.0</v>
      </c>
      <c r="F7" s="5">
        <f>D7-E7</f>
        <v>0.0</v>
      </c>
      <c r="G7" s="5">
        <f>'Base GC'!J5</f>
        <v>21800985.0</v>
      </c>
      <c r="H7" s="5">
        <f>'Base GC'!K5</f>
        <v>21800985.0</v>
      </c>
      <c r="I7" s="5">
        <f>D7-H7</f>
        <v>53683.0</v>
      </c>
      <c r="J7" s="15">
        <f>IF(D7=0,0,H7/D7)</f>
        <v>0.9975436369017365</v>
      </c>
      <c r="K7" s="4" t="str">
        <f>'Base GC'!Q5</f>
        <v>Ejecutado</v>
      </c>
      <c r="L7" s="14" t="str">
        <f>'Base GC'!R5</f>
        <v>No usar</v>
      </c>
      <c r="M7" s="5">
        <f>'Base GC'!M5</f>
        <v>53683.0</v>
      </c>
      <c r="N7" s="5">
        <f>'Base GC'!S5</f>
        <v>0.0</v>
      </c>
      <c r="O7" s="5">
        <f>'Base GC'!T5</f>
        <v>0.0</v>
      </c>
      <c r="P7" s="5">
        <f>'Base GC'!U5</f>
        <v>0.0</v>
      </c>
      <c r="Q7" s="5">
        <f>'Base GC'!V5</f>
        <v>0.0</v>
      </c>
      <c r="R7" s="5">
        <f>'Base GC'!W5</f>
        <v>21854668.0</v>
      </c>
      <c r="S7" s="14" t="str">
        <f>'Base GC'!X5</f>
        <v>s/d</v>
      </c>
      <c r="T7" s="14" t="str">
        <f>'Base GC'!Y5</f>
        <v>s/d</v>
      </c>
      <c r="U7" s="14" t="str">
        <f>'Base GC'!Z5</f>
        <v>s/d</v>
      </c>
      <c r="V7" s="14" t="str">
        <f>'Base GC'!AA5</f>
        <v>s/d</v>
      </c>
      <c r="W7" s="14" t="str">
        <f>'Base GC'!AB5</f>
        <v>s/d</v>
      </c>
      <c r="X7" s="14" t="str">
        <f>'Base GC'!AC5</f>
        <v>s/d</v>
      </c>
      <c r="Y7" s="4">
        <f>'Base GC'!AD5</f>
        <v/>
      </c>
    </row>
    <row r="8" spans="1:25">
      <c r="A8" s="14">
        <f>SUBTOTAL(103,$B$6:B8)</f>
        <v>2</v>
      </c>
      <c r="B8" s="14">
        <v>199</v>
      </c>
      <c r="C8" s="4" t="s">
        <v>63</v>
      </c>
      <c r="D8" s="5">
        <f>'Base GC'!H6</f>
        <v>14397156.0</v>
      </c>
      <c r="E8" s="5">
        <f>'Base GC'!I6</f>
        <v>8698687.580000002</v>
      </c>
      <c r="F8" s="5">
        <f>D8-E8</f>
        <v>5698468.419999998</v>
      </c>
      <c r="G8" s="5">
        <f>'Base GC'!J6</f>
        <v>6321785.790000001</v>
      </c>
      <c r="H8" s="5">
        <f>'Base GC'!K6</f>
        <v>1694723.0100000002</v>
      </c>
      <c r="I8" s="5">
        <f>D8-H8</f>
        <v>12702432.99</v>
      </c>
      <c r="J8" s="15">
        <f>IF(D8=0,0,H8/D8)</f>
        <v>0.11771234610502243</v>
      </c>
      <c r="K8" s="4" t="str">
        <f>'Base GC'!Q6</f>
        <v>Parcialmente comprometido</v>
      </c>
      <c r="L8" s="14" t="str">
        <f>'Base GC'!R6</f>
        <v>Parcial</v>
      </c>
      <c r="M8" s="5">
        <f>'Base GC'!M6</f>
        <v>2376901.790000001</v>
      </c>
      <c r="N8" s="5">
        <f>'Base GC'!S6</f>
        <v>8075370.209999999</v>
      </c>
      <c r="O8" s="5">
        <f>'Base GC'!T6</f>
        <v>5491591.0</v>
      </c>
      <c r="P8" s="5">
        <f>'Base GC'!U6</f>
        <v>6984992.0</v>
      </c>
      <c r="Q8" s="5">
        <f>'Base GC'!V6</f>
        <v>0.0</v>
      </c>
      <c r="R8" s="5">
        <f>'Base GC'!W6</f>
        <v>1920573.0</v>
      </c>
      <c r="S8" s="14" t="str">
        <f>'Base GC'!X6</f>
        <v>s/d</v>
      </c>
      <c r="T8" s="14" t="str">
        <f>'Base GC'!Y6</f>
        <v>s/d</v>
      </c>
      <c r="U8" s="14" t="str">
        <f>'Base GC'!Z6</f>
        <v>s/d</v>
      </c>
      <c r="V8" s="14" t="str">
        <f>'Base GC'!AA6</f>
        <v>s/d</v>
      </c>
      <c r="W8" s="14" t="str">
        <f>'Base GC'!AB6</f>
        <v>s/d</v>
      </c>
      <c r="X8" s="14" t="str">
        <f>'Base GC'!AC6</f>
        <v>s/d</v>
      </c>
      <c r="Y8" s="4" t="str">
        <f>'Base GC'!AD6</f>
        <v>GASTO CORRIENTE</v>
      </c>
    </row>
    <row r="9" spans="1:25">
      <c r="A9" s="14">
        <f>SUBTOTAL(103,$B$6:B9)</f>
        <v>3</v>
      </c>
      <c r="B9" s="14">
        <v>203</v>
      </c>
      <c r="C9" s="4" t="s">
        <v>67</v>
      </c>
      <c r="D9" s="5">
        <f>'Base GC'!H7</f>
        <v>11561677.0</v>
      </c>
      <c r="E9" s="5">
        <f>'Base GC'!I7</f>
        <v>10764476.73</v>
      </c>
      <c r="F9" s="5">
        <f>D9-E9</f>
        <v>797200.2699999996</v>
      </c>
      <c r="G9" s="5">
        <f>'Base GC'!J7</f>
        <v>6753457.11</v>
      </c>
      <c r="H9" s="5">
        <f>'Base GC'!K7</f>
        <v>5863914.17</v>
      </c>
      <c r="I9" s="5">
        <f>D9-H9</f>
        <v>5697762.83</v>
      </c>
      <c r="J9" s="15">
        <f>IF(D9=0,0,H9/D9)</f>
        <v>0.5071854342583693</v>
      </c>
      <c r="K9" s="4" t="str">
        <f>'Base GC'!Q7</f>
        <v>Mayormente comprometido</v>
      </c>
      <c r="L9" s="14" t="str">
        <f>'Base GC'!R7</f>
        <v>Difícil</v>
      </c>
      <c r="M9" s="5">
        <f>'Base GC'!M7</f>
        <v>4011019.62</v>
      </c>
      <c r="N9" s="5">
        <f>'Base GC'!S7</f>
        <v>4808219.89</v>
      </c>
      <c r="O9" s="5">
        <f>'Base GC'!T7</f>
        <v>0.0</v>
      </c>
      <c r="P9" s="5">
        <f>'Base GC'!U7</f>
        <v>11442377.0</v>
      </c>
      <c r="Q9" s="5">
        <f>'Base GC'!V7</f>
        <v>0.0</v>
      </c>
      <c r="R9" s="5">
        <f>'Base GC'!W7</f>
        <v>119300.0</v>
      </c>
      <c r="S9" s="14" t="str">
        <f>'Base GC'!X7</f>
        <v>s/d</v>
      </c>
      <c r="T9" s="14" t="str">
        <f>'Base GC'!Y7</f>
        <v>s/d</v>
      </c>
      <c r="U9" s="14" t="str">
        <f>'Base GC'!Z7</f>
        <v>s/d</v>
      </c>
      <c r="V9" s="14" t="str">
        <f>'Base GC'!AA7</f>
        <v>s/d</v>
      </c>
      <c r="W9" s="14" t="str">
        <f>'Base GC'!AB7</f>
        <v>s/d</v>
      </c>
      <c r="X9" s="14" t="str">
        <f>'Base GC'!AC7</f>
        <v>s/d</v>
      </c>
      <c r="Y9" s="4" t="str">
        <f>'Base GC'!AD7</f>
        <v>GASTO CORRIENTE</v>
      </c>
    </row>
    <row r="10" spans="1:25">
      <c r="A10" s="14">
        <f>SUBTOTAL(103,$B$6:B10)</f>
        <v>4</v>
      </c>
      <c r="B10" s="14">
        <v>202</v>
      </c>
      <c r="C10" s="4" t="s">
        <v>69</v>
      </c>
      <c r="D10" s="5">
        <f>'Base GC'!H8</f>
        <v>8960842.0</v>
      </c>
      <c r="E10" s="5">
        <f>'Base GC'!I8</f>
        <v>8663998.97</v>
      </c>
      <c r="F10" s="5">
        <f>D10-E10</f>
        <v>296843.02999999933</v>
      </c>
      <c r="G10" s="5">
        <f>'Base GC'!J8</f>
        <v>8547567.59</v>
      </c>
      <c r="H10" s="5">
        <f>'Base GC'!K8</f>
        <v>6519476.560000001</v>
      </c>
      <c r="I10" s="5">
        <f>D10-H10</f>
        <v>2441365.4399999985</v>
      </c>
      <c r="J10" s="15">
        <f>IF(D10=0,0,H10/D10)</f>
        <v>0.7275517814062564</v>
      </c>
      <c r="K10" s="4" t="str">
        <f>'Base GC'!Q8</f>
        <v>Mayormente comprometido</v>
      </c>
      <c r="L10" s="14" t="str">
        <f>'Base GC'!R8</f>
        <v>Difícil</v>
      </c>
      <c r="M10" s="5">
        <f>'Base GC'!M8</f>
        <v>116431.38000000082</v>
      </c>
      <c r="N10" s="5">
        <f>'Base GC'!S8</f>
        <v>413274.41000000015</v>
      </c>
      <c r="O10" s="5">
        <f>'Base GC'!T8</f>
        <v>3202893.0</v>
      </c>
      <c r="P10" s="5">
        <f>'Base GC'!U8</f>
        <v>4644868.0</v>
      </c>
      <c r="Q10" s="5">
        <f>'Base GC'!V8</f>
        <v>58501.0</v>
      </c>
      <c r="R10" s="5">
        <f>'Base GC'!W8</f>
        <v>1054580.0</v>
      </c>
      <c r="S10" s="14" t="str">
        <f>'Base GC'!X8</f>
        <v>s/d</v>
      </c>
      <c r="T10" s="14" t="str">
        <f>'Base GC'!Y8</f>
        <v>s/d</v>
      </c>
      <c r="U10" s="14" t="str">
        <f>'Base GC'!Z8</f>
        <v>s/d</v>
      </c>
      <c r="V10" s="14" t="str">
        <f>'Base GC'!AA8</f>
        <v>s/d</v>
      </c>
      <c r="W10" s="14" t="str">
        <f>'Base GC'!AB8</f>
        <v>s/d</v>
      </c>
      <c r="X10" s="14" t="str">
        <f>'Base GC'!AC8</f>
        <v>s/d</v>
      </c>
      <c r="Y10" s="4" t="str">
        <f>'Base GC'!AD8</f>
        <v>GASTO CORRIENTE</v>
      </c>
    </row>
    <row r="11" spans="1:25">
      <c r="A11" s="14">
        <f>SUBTOTAL(103,$B$6:B11)</f>
        <v>5</v>
      </c>
      <c r="B11" s="14">
        <v>531</v>
      </c>
      <c r="C11" s="4" t="s">
        <v>72</v>
      </c>
      <c r="D11" s="5">
        <f>'Base GC'!H9</f>
        <v>4661250.0</v>
      </c>
      <c r="E11" s="5">
        <f>'Base GC'!I9</f>
        <v>0.0</v>
      </c>
      <c r="F11" s="5">
        <f>D11-E11</f>
        <v>4661250.0</v>
      </c>
      <c r="G11" s="5">
        <f>'Base GC'!J9</f>
        <v>0.0</v>
      </c>
      <c r="H11" s="5">
        <f>'Base GC'!K9</f>
        <v>0.0</v>
      </c>
      <c r="I11" s="5">
        <f>D11-H11</f>
        <v>4661250.0</v>
      </c>
      <c r="J11" s="15">
        <f>IF(D11=0,0,H11/D11)</f>
        <v>0.0</v>
      </c>
      <c r="K11" s="4" t="str">
        <f>'Base GC'!Q9</f>
        <v>Sin certificar</v>
      </c>
      <c r="L11" s="14" t="str">
        <f>'Base GC'!R9</f>
        <v>Disponible</v>
      </c>
      <c r="M11" s="5">
        <f>'Base GC'!M9</f>
        <v>0.0</v>
      </c>
      <c r="N11" s="5">
        <f>'Base GC'!S9</f>
        <v>4661250.0</v>
      </c>
      <c r="O11" s="5">
        <f>'Base GC'!T9</f>
        <v>0.0</v>
      </c>
      <c r="P11" s="5">
        <f>'Base GC'!U9</f>
        <v>0.0</v>
      </c>
      <c r="Q11" s="5">
        <f>'Base GC'!V9</f>
        <v>0.0</v>
      </c>
      <c r="R11" s="5">
        <f>'Base GC'!W9</f>
        <v>4661250.0</v>
      </c>
      <c r="S11" s="14" t="str">
        <f>'Base GC'!X9</f>
        <v>s/d</v>
      </c>
      <c r="T11" s="14" t="str">
        <f>'Base GC'!Y9</f>
        <v>s/d</v>
      </c>
      <c r="U11" s="14" t="str">
        <f>'Base GC'!Z9</f>
        <v>s/d</v>
      </c>
      <c r="V11" s="14" t="str">
        <f>'Base GC'!AA9</f>
        <v>s/d</v>
      </c>
      <c r="W11" s="14" t="str">
        <f>'Base GC'!AB9</f>
        <v>s/d</v>
      </c>
      <c r="X11" s="14" t="str">
        <f>'Base GC'!AC9</f>
        <v>s/d</v>
      </c>
      <c r="Y11" s="4">
        <f>'Base GC'!AD9</f>
        <v/>
      </c>
    </row>
    <row r="12" spans="1:25">
      <c r="A12" s="14">
        <f>SUBTOTAL(103,$B$6:B12)</f>
        <v>6</v>
      </c>
      <c r="B12" s="14">
        <v>300</v>
      </c>
      <c r="C12" s="4" t="s">
        <v>75</v>
      </c>
      <c r="D12" s="5">
        <f>'Base GC'!H10</f>
        <v>3003455.0</v>
      </c>
      <c r="E12" s="5">
        <f>'Base GC'!I10</f>
        <v>2361957.3200000003</v>
      </c>
      <c r="F12" s="5">
        <f>D12-E12</f>
        <v>641497.6799999997</v>
      </c>
      <c r="G12" s="5">
        <f>'Base GC'!J10</f>
        <v>2312089.66</v>
      </c>
      <c r="H12" s="5">
        <f>'Base GC'!K10</f>
        <v>1164173.14</v>
      </c>
      <c r="I12" s="5">
        <f>D12-H12</f>
        <v>1839281.86</v>
      </c>
      <c r="J12" s="15">
        <f>IF(D12=0,0,H12/D12)</f>
        <v>0.38761131430302764</v>
      </c>
      <c r="K12" s="4" t="str">
        <f>'Base GC'!Q10</f>
        <v>Mayormente comprometido</v>
      </c>
      <c r="L12" s="14" t="str">
        <f>'Base GC'!R10</f>
        <v>Difícil</v>
      </c>
      <c r="M12" s="5">
        <f>'Base GC'!M10</f>
        <v>49867.66000000015</v>
      </c>
      <c r="N12" s="5">
        <f>'Base GC'!S10</f>
        <v>691365.3399999999</v>
      </c>
      <c r="O12" s="5">
        <f>'Base GC'!T10</f>
        <v>1074678.0</v>
      </c>
      <c r="P12" s="5">
        <f>'Base GC'!U10</f>
        <v>1928777.0</v>
      </c>
      <c r="Q12" s="5">
        <f>'Base GC'!V10</f>
        <v>0.0</v>
      </c>
      <c r="R12" s="5">
        <f>'Base GC'!W10</f>
        <v>0</v>
      </c>
      <c r="S12" s="14" t="str">
        <f>'Base GC'!X10</f>
        <v>s/d</v>
      </c>
      <c r="T12" s="14" t="str">
        <f>'Base GC'!Y10</f>
        <v>s/d</v>
      </c>
      <c r="U12" s="14" t="str">
        <f>'Base GC'!Z10</f>
        <v>s/d</v>
      </c>
      <c r="V12" s="14" t="str">
        <f>'Base GC'!AA10</f>
        <v>s/d</v>
      </c>
      <c r="W12" s="14" t="str">
        <f>'Base GC'!AB10</f>
        <v>s/d</v>
      </c>
      <c r="X12" s="14" t="str">
        <f>'Base GC'!AC10</f>
        <v>s/d</v>
      </c>
      <c r="Y12" s="4" t="str">
        <f>'Base GC'!AD10</f>
        <v>GASTO CORRIENTE</v>
      </c>
    </row>
    <row r="13" spans="1:25">
      <c r="A13" s="14">
        <f>SUBTOTAL(103,$B$6:B13)</f>
        <v>7</v>
      </c>
      <c r="B13" s="14">
        <v>291</v>
      </c>
      <c r="C13" s="4" t="s">
        <v>78</v>
      </c>
      <c r="D13" s="5">
        <f>'Base GC'!H11</f>
        <v>2564683.0</v>
      </c>
      <c r="E13" s="5">
        <f>'Base GC'!I11</f>
        <v>2101980.75</v>
      </c>
      <c r="F13" s="5">
        <f>D13-E13</f>
        <v>462702.25</v>
      </c>
      <c r="G13" s="5">
        <f>'Base GC'!J11</f>
        <v>2022558.7499999998</v>
      </c>
      <c r="H13" s="5">
        <f>'Base GC'!K11</f>
        <v>1443358.5299999998</v>
      </c>
      <c r="I13" s="5">
        <f>D13-H13</f>
        <v>1121324.4700000002</v>
      </c>
      <c r="J13" s="15">
        <f>IF(D13=0,0,H13/D13)</f>
        <v>0.562782429641402</v>
      </c>
      <c r="K13" s="4" t="str">
        <f>'Base GC'!Q11</f>
        <v>Mayormente comprometido</v>
      </c>
      <c r="L13" s="14" t="str">
        <f>'Base GC'!R11</f>
        <v>Difícil</v>
      </c>
      <c r="M13" s="5">
        <f>'Base GC'!M11</f>
        <v>79422.00000000023</v>
      </c>
      <c r="N13" s="5">
        <f>'Base GC'!S11</f>
        <v>542124.2500000002</v>
      </c>
      <c r="O13" s="5">
        <f>'Base GC'!T11</f>
        <v>502598.0</v>
      </c>
      <c r="P13" s="5">
        <f>'Base GC'!U11</f>
        <v>2037085.0</v>
      </c>
      <c r="Q13" s="5">
        <f>'Base GC'!V11</f>
        <v>0.0</v>
      </c>
      <c r="R13" s="5">
        <f>'Base GC'!W11</f>
        <v>25000.0</v>
      </c>
      <c r="S13" s="14" t="str">
        <f>'Base GC'!X11</f>
        <v>s/d</v>
      </c>
      <c r="T13" s="14" t="str">
        <f>'Base GC'!Y11</f>
        <v>s/d</v>
      </c>
      <c r="U13" s="14" t="str">
        <f>'Base GC'!Z11</f>
        <v>s/d</v>
      </c>
      <c r="V13" s="14" t="str">
        <f>'Base GC'!AA11</f>
        <v>s/d</v>
      </c>
      <c r="W13" s="14" t="str">
        <f>'Base GC'!AB11</f>
        <v>s/d</v>
      </c>
      <c r="X13" s="14" t="str">
        <f>'Base GC'!AC11</f>
        <v>s/d</v>
      </c>
      <c r="Y13" s="4" t="str">
        <f>'Base GC'!AD11</f>
        <v>GASTO CORRIENTE</v>
      </c>
    </row>
    <row r="14" spans="1:25">
      <c r="A14" s="14">
        <f>SUBTOTAL(103,$B$6:B14)</f>
        <v>8</v>
      </c>
      <c r="B14" s="14">
        <v>298</v>
      </c>
      <c r="C14" s="4" t="s">
        <v>81</v>
      </c>
      <c r="D14" s="5">
        <f>'Base GC'!H12</f>
        <v>1623842.0</v>
      </c>
      <c r="E14" s="5">
        <f>'Base GC'!I12</f>
        <v>1611611.28</v>
      </c>
      <c r="F14" s="5">
        <f>D14-E14</f>
        <v>12230.719999999972</v>
      </c>
      <c r="G14" s="5">
        <f>'Base GC'!J12</f>
        <v>1583926.54</v>
      </c>
      <c r="H14" s="5">
        <f>'Base GC'!K12</f>
        <v>1213592.75</v>
      </c>
      <c r="I14" s="5">
        <f>D14-H14</f>
        <v>410249.25</v>
      </c>
      <c r="J14" s="15">
        <f>IF(D14=0,0,H14/D14)</f>
        <v>0.7473588871331078</v>
      </c>
      <c r="K14" s="4" t="str">
        <f>'Base GC'!Q12</f>
        <v>Mayormente comprometido</v>
      </c>
      <c r="L14" s="14" t="str">
        <f>'Base GC'!R12</f>
        <v>Difícil</v>
      </c>
      <c r="M14" s="5">
        <f>'Base GC'!M12</f>
        <v>27684.73999999999</v>
      </c>
      <c r="N14" s="5">
        <f>'Base GC'!S12</f>
        <v>39915.45999999996</v>
      </c>
      <c r="O14" s="5">
        <f>'Base GC'!T12</f>
        <v>1076197.0</v>
      </c>
      <c r="P14" s="5">
        <f>'Base GC'!U12</f>
        <v>540945.0</v>
      </c>
      <c r="Q14" s="5">
        <f>'Base GC'!V12</f>
        <v>0.0</v>
      </c>
      <c r="R14" s="5">
        <f>'Base GC'!W12</f>
        <v>6700.0</v>
      </c>
      <c r="S14" s="14" t="str">
        <f>'Base GC'!X12</f>
        <v>s/d</v>
      </c>
      <c r="T14" s="14" t="str">
        <f>'Base GC'!Y12</f>
        <v>s/d</v>
      </c>
      <c r="U14" s="14" t="str">
        <f>'Base GC'!Z12</f>
        <v>s/d</v>
      </c>
      <c r="V14" s="14" t="str">
        <f>'Base GC'!AA12</f>
        <v>s/d</v>
      </c>
      <c r="W14" s="14" t="str">
        <f>'Base GC'!AB12</f>
        <v>s/d</v>
      </c>
      <c r="X14" s="14" t="str">
        <f>'Base GC'!AC12</f>
        <v>s/d</v>
      </c>
      <c r="Y14" s="4" t="str">
        <f>'Base GC'!AD12</f>
        <v>GASTO CORRIENTE</v>
      </c>
    </row>
    <row r="15" spans="1:25">
      <c r="A15" s="14">
        <f>SUBTOTAL(103,$B$6:B15)</f>
        <v>9</v>
      </c>
      <c r="B15" s="14">
        <v>301</v>
      </c>
      <c r="C15" s="4" t="s">
        <v>84</v>
      </c>
      <c r="D15" s="5">
        <f>'Base GC'!H13</f>
        <v>1255771.0</v>
      </c>
      <c r="E15" s="5">
        <f>'Base GC'!I13</f>
        <v>1182688.86</v>
      </c>
      <c r="F15" s="5">
        <f>D15-E15</f>
        <v>73082.1399999999</v>
      </c>
      <c r="G15" s="5">
        <f>'Base GC'!J13</f>
        <v>1102818.98</v>
      </c>
      <c r="H15" s="5">
        <f>'Base GC'!K13</f>
        <v>800666.1100000001</v>
      </c>
      <c r="I15" s="5">
        <f>D15-H15</f>
        <v>455104.8899999999</v>
      </c>
      <c r="J15" s="15">
        <f>IF(D15=0,0,H15/D15)</f>
        <v>0.6375892658772978</v>
      </c>
      <c r="K15" s="4" t="str">
        <f>'Base GC'!Q13</f>
        <v>Mayormente comprometido</v>
      </c>
      <c r="L15" s="14" t="str">
        <f>'Base GC'!R13</f>
        <v>Difícil</v>
      </c>
      <c r="M15" s="5">
        <f>'Base GC'!M13</f>
        <v>79869.88000000012</v>
      </c>
      <c r="N15" s="5">
        <f>'Base GC'!S13</f>
        <v>152952.02000000002</v>
      </c>
      <c r="O15" s="5">
        <f>'Base GC'!T13</f>
        <v>493713.0</v>
      </c>
      <c r="P15" s="5">
        <f>'Base GC'!U13</f>
        <v>692246.0</v>
      </c>
      <c r="Q15" s="5">
        <f>'Base GC'!V13</f>
        <v>0.0</v>
      </c>
      <c r="R15" s="5">
        <f>'Base GC'!W13</f>
        <v>69812.0</v>
      </c>
      <c r="S15" s="14" t="str">
        <f>'Base GC'!X13</f>
        <v>s/d</v>
      </c>
      <c r="T15" s="14" t="str">
        <f>'Base GC'!Y13</f>
        <v>s/d</v>
      </c>
      <c r="U15" s="14" t="str">
        <f>'Base GC'!Z13</f>
        <v>s/d</v>
      </c>
      <c r="V15" s="14" t="str">
        <f>'Base GC'!AA13</f>
        <v>s/d</v>
      </c>
      <c r="W15" s="14" t="str">
        <f>'Base GC'!AB13</f>
        <v>s/d</v>
      </c>
      <c r="X15" s="14" t="str">
        <f>'Base GC'!AC13</f>
        <v>s/d</v>
      </c>
      <c r="Y15" s="4" t="str">
        <f>'Base GC'!AD13</f>
        <v>GASTO CORRIENTE</v>
      </c>
    </row>
    <row r="16" spans="1:25">
      <c r="A16" s="14">
        <f>SUBTOTAL(103,$B$6:B16)</f>
        <v>10</v>
      </c>
      <c r="B16" s="14">
        <v>503</v>
      </c>
      <c r="C16" s="4" t="s">
        <v>58</v>
      </c>
      <c r="D16" s="5">
        <f>'Base GC'!H14</f>
        <v>1210000.0</v>
      </c>
      <c r="E16" s="5">
        <f>'Base GC'!I14</f>
        <v>1210000.0</v>
      </c>
      <c r="F16" s="5">
        <f>D16-E16</f>
        <v>0.0</v>
      </c>
      <c r="G16" s="5">
        <f>'Base GC'!J14</f>
        <v>1210000.0</v>
      </c>
      <c r="H16" s="5">
        <f>'Base GC'!K14</f>
        <v>1210000.0</v>
      </c>
      <c r="I16" s="5">
        <f>D16-H16</f>
        <v>0.0</v>
      </c>
      <c r="J16" s="15">
        <f>IF(D16=0,0,H16/D16)</f>
        <v>1.0</v>
      </c>
      <c r="K16" s="4" t="str">
        <f>'Base GC'!Q14</f>
        <v>Ejecutado</v>
      </c>
      <c r="L16" s="14" t="str">
        <f>'Base GC'!R14</f>
        <v>No usar</v>
      </c>
      <c r="M16" s="5">
        <f>'Base GC'!M14</f>
        <v>0.0</v>
      </c>
      <c r="N16" s="5">
        <f>'Base GC'!S14</f>
        <v>0.0</v>
      </c>
      <c r="O16" s="5">
        <f>'Base GC'!T14</f>
        <v>0.0</v>
      </c>
      <c r="P16" s="5">
        <f>'Base GC'!U14</f>
        <v>0.0</v>
      </c>
      <c r="Q16" s="5">
        <f>'Base GC'!V14</f>
        <v>0.0</v>
      </c>
      <c r="R16" s="5">
        <f>'Base GC'!W14</f>
        <v>1210000.0</v>
      </c>
      <c r="S16" s="14" t="str">
        <f>'Base GC'!X14</f>
        <v>s/d</v>
      </c>
      <c r="T16" s="14" t="str">
        <f>'Base GC'!Y14</f>
        <v>s/d</v>
      </c>
      <c r="U16" s="14" t="str">
        <f>'Base GC'!Z14</f>
        <v>s/d</v>
      </c>
      <c r="V16" s="14" t="str">
        <f>'Base GC'!AA14</f>
        <v>s/d</v>
      </c>
      <c r="W16" s="14" t="str">
        <f>'Base GC'!AB14</f>
        <v>s/d</v>
      </c>
      <c r="X16" s="14" t="str">
        <f>'Base GC'!AC14</f>
        <v>s/d</v>
      </c>
      <c r="Y16" s="4">
        <f>'Base GC'!AD14</f>
        <v/>
      </c>
    </row>
    <row r="17" spans="1:25">
      <c r="A17" s="14">
        <f>SUBTOTAL(103,$B$6:B17)</f>
        <v>11</v>
      </c>
      <c r="B17" s="14">
        <v>293</v>
      </c>
      <c r="C17" s="4" t="s">
        <v>88</v>
      </c>
      <c r="D17" s="5">
        <f>'Base GC'!H15</f>
        <v>1103261.0</v>
      </c>
      <c r="E17" s="5">
        <f>'Base GC'!I15</f>
        <v>1059124.7999999998</v>
      </c>
      <c r="F17" s="5">
        <f>D17-E17</f>
        <v>44136.200000000186</v>
      </c>
      <c r="G17" s="5">
        <f>'Base GC'!J15</f>
        <v>1024183.29</v>
      </c>
      <c r="H17" s="5">
        <f>'Base GC'!K15</f>
        <v>825567.54</v>
      </c>
      <c r="I17" s="5">
        <f>D17-H17</f>
        <v>277693.45999999996</v>
      </c>
      <c r="J17" s="15">
        <f>IF(D17=0,0,H17/D17)</f>
        <v>0.7482975832554581</v>
      </c>
      <c r="K17" s="4" t="str">
        <f>'Base GC'!Q15</f>
        <v>Mayormente comprometido</v>
      </c>
      <c r="L17" s="14" t="str">
        <f>'Base GC'!R15</f>
        <v>Difícil</v>
      </c>
      <c r="M17" s="5">
        <f>'Base GC'!M15</f>
        <v>34941.50999999978</v>
      </c>
      <c r="N17" s="5">
        <f>'Base GC'!S15</f>
        <v>79077.70999999996</v>
      </c>
      <c r="O17" s="5">
        <f>'Base GC'!T15</f>
        <v>881261.0</v>
      </c>
      <c r="P17" s="5">
        <f>'Base GC'!U15</f>
        <v>222000.0</v>
      </c>
      <c r="Q17" s="5">
        <f>'Base GC'!V15</f>
        <v>0.0</v>
      </c>
      <c r="R17" s="5">
        <f>'Base GC'!W15</f>
        <v>0</v>
      </c>
      <c r="S17" s="14" t="str">
        <f>'Base GC'!X15</f>
        <v>s/d</v>
      </c>
      <c r="T17" s="14" t="str">
        <f>'Base GC'!Y15</f>
        <v>s/d</v>
      </c>
      <c r="U17" s="14" t="str">
        <f>'Base GC'!Z15</f>
        <v>s/d</v>
      </c>
      <c r="V17" s="14" t="str">
        <f>'Base GC'!AA15</f>
        <v>s/d</v>
      </c>
      <c r="W17" s="14" t="str">
        <f>'Base GC'!AB15</f>
        <v>s/d</v>
      </c>
      <c r="X17" s="14" t="str">
        <f>'Base GC'!AC15</f>
        <v>s/d</v>
      </c>
      <c r="Y17" s="4" t="str">
        <f>'Base GC'!AD15</f>
        <v>GASTO CORRIENTE</v>
      </c>
    </row>
    <row r="18" spans="1:25">
      <c r="A18" s="14">
        <f>SUBTOTAL(103,$B$6:B18)</f>
        <v>12</v>
      </c>
      <c r="B18" s="14">
        <v>289</v>
      </c>
      <c r="C18" s="4" t="s">
        <v>91</v>
      </c>
      <c r="D18" s="5">
        <f>'Base GC'!H16</f>
        <v>993332.0</v>
      </c>
      <c r="E18" s="5">
        <f>'Base GC'!I16</f>
        <v>906092.54</v>
      </c>
      <c r="F18" s="5">
        <f>D18-E18</f>
        <v>87239.45999999996</v>
      </c>
      <c r="G18" s="5">
        <f>'Base GC'!J16</f>
        <v>901270.6799999999</v>
      </c>
      <c r="H18" s="5">
        <f>'Base GC'!K16</f>
        <v>644188.6200000001</v>
      </c>
      <c r="I18" s="5">
        <f>D18-H18</f>
        <v>349143.3799999999</v>
      </c>
      <c r="J18" s="15">
        <f>IF(D18=0,0,H18/D18)</f>
        <v>0.6485129040441666</v>
      </c>
      <c r="K18" s="4" t="str">
        <f>'Base GC'!Q16</f>
        <v>Mayormente comprometido</v>
      </c>
      <c r="L18" s="14" t="str">
        <f>'Base GC'!R16</f>
        <v>Difícil</v>
      </c>
      <c r="M18" s="5">
        <f>'Base GC'!M16</f>
        <v>4821.860000000102</v>
      </c>
      <c r="N18" s="5">
        <f>'Base GC'!S16</f>
        <v>92061.32000000007</v>
      </c>
      <c r="O18" s="5">
        <f>'Base GC'!T16</f>
        <v>643691.0</v>
      </c>
      <c r="P18" s="5">
        <f>'Base GC'!U16</f>
        <v>349641.0</v>
      </c>
      <c r="Q18" s="5">
        <f>'Base GC'!V16</f>
        <v>0.0</v>
      </c>
      <c r="R18" s="5">
        <f>'Base GC'!W16</f>
        <v>0</v>
      </c>
      <c r="S18" s="14" t="str">
        <f>'Base GC'!X16</f>
        <v>s/d</v>
      </c>
      <c r="T18" s="14" t="str">
        <f>'Base GC'!Y16</f>
        <v>s/d</v>
      </c>
      <c r="U18" s="14" t="str">
        <f>'Base GC'!Z16</f>
        <v>s/d</v>
      </c>
      <c r="V18" s="14" t="str">
        <f>'Base GC'!AA16</f>
        <v>s/d</v>
      </c>
      <c r="W18" s="14" t="str">
        <f>'Base GC'!AB16</f>
        <v>s/d</v>
      </c>
      <c r="X18" s="14" t="str">
        <f>'Base GC'!AC16</f>
        <v>s/d</v>
      </c>
      <c r="Y18" s="4" t="str">
        <f>'Base GC'!AD16</f>
        <v>GASTO CORRIENTE</v>
      </c>
    </row>
    <row r="19" spans="1:25">
      <c r="A19" s="14">
        <f>SUBTOTAL(103,$B$6:B19)</f>
        <v>13</v>
      </c>
      <c r="B19" s="14">
        <v>290</v>
      </c>
      <c r="C19" s="4" t="s">
        <v>94</v>
      </c>
      <c r="D19" s="5">
        <f>'Base GC'!H17</f>
        <v>970311.0</v>
      </c>
      <c r="E19" s="5">
        <f>'Base GC'!I17</f>
        <v>948256.66</v>
      </c>
      <c r="F19" s="5">
        <f>D19-E19</f>
        <v>22054.339999999967</v>
      </c>
      <c r="G19" s="5">
        <f>'Base GC'!J17</f>
        <v>938404.66</v>
      </c>
      <c r="H19" s="5">
        <f>'Base GC'!K17</f>
        <v>801780.79</v>
      </c>
      <c r="I19" s="5">
        <f>D19-H19</f>
        <v>168530.20999999996</v>
      </c>
      <c r="J19" s="15">
        <f>IF(D19=0,0,H19/D19)</f>
        <v>0.8263132026741942</v>
      </c>
      <c r="K19" s="4" t="str">
        <f>'Base GC'!Q17</f>
        <v>Mayormente comprometido</v>
      </c>
      <c r="L19" s="14" t="str">
        <f>'Base GC'!R17</f>
        <v>Difícil</v>
      </c>
      <c r="M19" s="5">
        <f>'Base GC'!M17</f>
        <v>9852.0</v>
      </c>
      <c r="N19" s="5">
        <f>'Base GC'!S17</f>
        <v>31906.339999999967</v>
      </c>
      <c r="O19" s="5">
        <f>'Base GC'!T17</f>
        <v>463520.0</v>
      </c>
      <c r="P19" s="5">
        <f>'Base GC'!U17</f>
        <v>506791.0</v>
      </c>
      <c r="Q19" s="5">
        <f>'Base GC'!V17</f>
        <v>0.0</v>
      </c>
      <c r="R19" s="5">
        <f>'Base GC'!W17</f>
        <v>0</v>
      </c>
      <c r="S19" s="14" t="str">
        <f>'Base GC'!X17</f>
        <v>s/d</v>
      </c>
      <c r="T19" s="14" t="str">
        <f>'Base GC'!Y17</f>
        <v>s/d</v>
      </c>
      <c r="U19" s="14" t="str">
        <f>'Base GC'!Z17</f>
        <v>s/d</v>
      </c>
      <c r="V19" s="14" t="str">
        <f>'Base GC'!AA17</f>
        <v>s/d</v>
      </c>
      <c r="W19" s="14" t="str">
        <f>'Base GC'!AB17</f>
        <v>s/d</v>
      </c>
      <c r="X19" s="14" t="str">
        <f>'Base GC'!AC17</f>
        <v>s/d</v>
      </c>
      <c r="Y19" s="4" t="str">
        <f>'Base GC'!AD17</f>
        <v>GASTO CORRIENTE</v>
      </c>
    </row>
    <row r="20" spans="1:25">
      <c r="A20" s="14">
        <f>SUBTOTAL(103,$B$6:B20)</f>
        <v>14</v>
      </c>
      <c r="B20" s="14">
        <v>294</v>
      </c>
      <c r="C20" s="4" t="s">
        <v>97</v>
      </c>
      <c r="D20" s="5">
        <f>'Base GC'!H18</f>
        <v>933605.0</v>
      </c>
      <c r="E20" s="5">
        <f>'Base GC'!I18</f>
        <v>864347.9900000001</v>
      </c>
      <c r="F20" s="5">
        <f>D20-E20</f>
        <v>69257.0099999999</v>
      </c>
      <c r="G20" s="5">
        <f>'Base GC'!J18</f>
        <v>853739.9900000001</v>
      </c>
      <c r="H20" s="5">
        <f>'Base GC'!K18</f>
        <v>735803.2800000001</v>
      </c>
      <c r="I20" s="5">
        <f>D20-H20</f>
        <v>197801.71999999986</v>
      </c>
      <c r="J20" s="15">
        <f>IF(D20=0,0,H20/D20)</f>
        <v>0.7881312546526638</v>
      </c>
      <c r="K20" s="4" t="str">
        <f>'Base GC'!Q18</f>
        <v>Mayormente comprometido</v>
      </c>
      <c r="L20" s="14" t="str">
        <f>'Base GC'!R18</f>
        <v>Difícil</v>
      </c>
      <c r="M20" s="5">
        <f>'Base GC'!M18</f>
        <v>10608.0</v>
      </c>
      <c r="N20" s="5">
        <f>'Base GC'!S18</f>
        <v>79865.0099999999</v>
      </c>
      <c r="O20" s="5">
        <f>'Base GC'!T18</f>
        <v>629248.0</v>
      </c>
      <c r="P20" s="5">
        <f>'Base GC'!U18</f>
        <v>304357.0</v>
      </c>
      <c r="Q20" s="5">
        <f>'Base GC'!V18</f>
        <v>0.0</v>
      </c>
      <c r="R20" s="5">
        <f>'Base GC'!W18</f>
        <v>0</v>
      </c>
      <c r="S20" s="14" t="str">
        <f>'Base GC'!X18</f>
        <v>s/d</v>
      </c>
      <c r="T20" s="14" t="str">
        <f>'Base GC'!Y18</f>
        <v>s/d</v>
      </c>
      <c r="U20" s="14" t="str">
        <f>'Base GC'!Z18</f>
        <v>s/d</v>
      </c>
      <c r="V20" s="14" t="str">
        <f>'Base GC'!AA18</f>
        <v>s/d</v>
      </c>
      <c r="W20" s="14" t="str">
        <f>'Base GC'!AB18</f>
        <v>s/d</v>
      </c>
      <c r="X20" s="14" t="str">
        <f>'Base GC'!AC18</f>
        <v>s/d</v>
      </c>
      <c r="Y20" s="4" t="str">
        <f>'Base GC'!AD18</f>
        <v>GASTO CORRIENTE</v>
      </c>
    </row>
    <row r="21" spans="1:25">
      <c r="A21" s="14">
        <f>SUBTOTAL(103,$B$6:B21)</f>
        <v>15</v>
      </c>
      <c r="B21" s="14">
        <v>201</v>
      </c>
      <c r="C21" s="4" t="s">
        <v>100</v>
      </c>
      <c r="D21" s="5">
        <f>'Base GC'!H19</f>
        <v>763130.0</v>
      </c>
      <c r="E21" s="5">
        <f>'Base GC'!I19</f>
        <v>685481.91</v>
      </c>
      <c r="F21" s="5">
        <f>D21-E21</f>
        <v>77648.08999999997</v>
      </c>
      <c r="G21" s="5">
        <f>'Base GC'!J19</f>
        <v>643674.15</v>
      </c>
      <c r="H21" s="5">
        <f>'Base GC'!K19</f>
        <v>580873.6699999999</v>
      </c>
      <c r="I21" s="5">
        <f>D21-H21</f>
        <v>182256.33000000007</v>
      </c>
      <c r="J21" s="15">
        <f>IF(D21=0,0,H21/D21)</f>
        <v>0.7611726311375518</v>
      </c>
      <c r="K21" s="4" t="str">
        <f>'Base GC'!Q19</f>
        <v>Mayormente comprometido</v>
      </c>
      <c r="L21" s="14" t="str">
        <f>'Base GC'!R19</f>
        <v>Difícil</v>
      </c>
      <c r="M21" s="5">
        <f>'Base GC'!M19</f>
        <v>41807.76000000001</v>
      </c>
      <c r="N21" s="5">
        <f>'Base GC'!S19</f>
        <v>119455.84999999998</v>
      </c>
      <c r="O21" s="5">
        <f>'Base GC'!T19</f>
        <v>504356.0</v>
      </c>
      <c r="P21" s="5">
        <f>'Base GC'!U19</f>
        <v>258774.0</v>
      </c>
      <c r="Q21" s="5">
        <f>'Base GC'!V19</f>
        <v>0.0</v>
      </c>
      <c r="R21" s="5">
        <f>'Base GC'!W19</f>
        <v>0</v>
      </c>
      <c r="S21" s="14" t="str">
        <f>'Base GC'!X19</f>
        <v>s/d</v>
      </c>
      <c r="T21" s="14" t="str">
        <f>'Base GC'!Y19</f>
        <v>s/d</v>
      </c>
      <c r="U21" s="14" t="str">
        <f>'Base GC'!Z19</f>
        <v>s/d</v>
      </c>
      <c r="V21" s="14" t="str">
        <f>'Base GC'!AA19</f>
        <v>s/d</v>
      </c>
      <c r="W21" s="14" t="str">
        <f>'Base GC'!AB19</f>
        <v>s/d</v>
      </c>
      <c r="X21" s="14" t="str">
        <f>'Base GC'!AC19</f>
        <v>s/d</v>
      </c>
      <c r="Y21" s="4" t="str">
        <f>'Base GC'!AD19</f>
        <v>GASTO CORRIENTE</v>
      </c>
    </row>
    <row r="22" spans="1:25">
      <c r="A22" s="14">
        <f>SUBTOTAL(103,$B$6:B22)</f>
        <v>16</v>
      </c>
      <c r="B22" s="14">
        <v>500</v>
      </c>
      <c r="C22" s="4" t="s">
        <v>58</v>
      </c>
      <c r="D22" s="5">
        <f>'Base GC'!H20</f>
        <v>761010.0</v>
      </c>
      <c r="E22" s="5">
        <f>'Base GC'!I20</f>
        <v>761010.0</v>
      </c>
      <c r="F22" s="5">
        <f>D22-E22</f>
        <v>0.0</v>
      </c>
      <c r="G22" s="5">
        <f>'Base GC'!J20</f>
        <v>761010.0</v>
      </c>
      <c r="H22" s="5">
        <f>'Base GC'!K20</f>
        <v>761010.0</v>
      </c>
      <c r="I22" s="5">
        <f>D22-H22</f>
        <v>0.0</v>
      </c>
      <c r="J22" s="15">
        <f>IF(D22=0,0,H22/D22)</f>
        <v>1.0</v>
      </c>
      <c r="K22" s="4" t="str">
        <f>'Base GC'!Q20</f>
        <v>Ejecutado</v>
      </c>
      <c r="L22" s="14" t="str">
        <f>'Base GC'!R20</f>
        <v>No usar</v>
      </c>
      <c r="M22" s="5">
        <f>'Base GC'!M20</f>
        <v>0.0</v>
      </c>
      <c r="N22" s="5">
        <f>'Base GC'!S20</f>
        <v>0.0</v>
      </c>
      <c r="O22" s="5">
        <f>'Base GC'!T20</f>
        <v>0.0</v>
      </c>
      <c r="P22" s="5">
        <f>'Base GC'!U20</f>
        <v>0.0</v>
      </c>
      <c r="Q22" s="5">
        <f>'Base GC'!V20</f>
        <v>0.0</v>
      </c>
      <c r="R22" s="5">
        <f>'Base GC'!W20</f>
        <v>761010.0</v>
      </c>
      <c r="S22" s="14" t="str">
        <f>'Base GC'!X20</f>
        <v>s/d</v>
      </c>
      <c r="T22" s="14" t="str">
        <f>'Base GC'!Y20</f>
        <v>s/d</v>
      </c>
      <c r="U22" s="14" t="str">
        <f>'Base GC'!Z20</f>
        <v>s/d</v>
      </c>
      <c r="V22" s="14" t="str">
        <f>'Base GC'!AA20</f>
        <v>s/d</v>
      </c>
      <c r="W22" s="14" t="str">
        <f>'Base GC'!AB20</f>
        <v>s/d</v>
      </c>
      <c r="X22" s="14" t="str">
        <f>'Base GC'!AC20</f>
        <v>s/d</v>
      </c>
      <c r="Y22" s="4">
        <f>'Base GC'!AD20</f>
        <v/>
      </c>
    </row>
    <row r="23" spans="1:25">
      <c r="A23" s="14">
        <f>SUBTOTAL(103,$B$6:B23)</f>
        <v>17</v>
      </c>
      <c r="B23" s="14">
        <v>211</v>
      </c>
      <c r="C23" s="4" t="s">
        <v>104</v>
      </c>
      <c r="D23" s="5">
        <f>'Base GC'!H21</f>
        <v>636054.0</v>
      </c>
      <c r="E23" s="5">
        <f>'Base GC'!I21</f>
        <v>449913.27999999997</v>
      </c>
      <c r="F23" s="5">
        <f>D23-E23</f>
        <v>186140.72000000003</v>
      </c>
      <c r="G23" s="5">
        <f>'Base GC'!J21</f>
        <v>445815.27999999997</v>
      </c>
      <c r="H23" s="5">
        <f>'Base GC'!K21</f>
        <v>300766.77</v>
      </c>
      <c r="I23" s="5">
        <f>D23-H23</f>
        <v>335287.23</v>
      </c>
      <c r="J23" s="15">
        <f>IF(D23=0,0,H23/D23)</f>
        <v>0.4728635776207681</v>
      </c>
      <c r="K23" s="4" t="str">
        <f>'Base GC'!Q21</f>
        <v>Mayormente comprometido</v>
      </c>
      <c r="L23" s="14" t="str">
        <f>'Base GC'!R21</f>
        <v>Difícil</v>
      </c>
      <c r="M23" s="5">
        <f>'Base GC'!M21</f>
        <v>4098.0</v>
      </c>
      <c r="N23" s="5">
        <f>'Base GC'!S21</f>
        <v>190238.72000000003</v>
      </c>
      <c r="O23" s="5">
        <f>'Base GC'!T21</f>
        <v>316654.0</v>
      </c>
      <c r="P23" s="5">
        <f>'Base GC'!U21</f>
        <v>197900.0</v>
      </c>
      <c r="Q23" s="5">
        <f>'Base GC'!V21</f>
        <v>0.0</v>
      </c>
      <c r="R23" s="5">
        <f>'Base GC'!W21</f>
        <v>121500.0</v>
      </c>
      <c r="S23" s="14" t="str">
        <f>'Base GC'!X21</f>
        <v>s/d</v>
      </c>
      <c r="T23" s="14" t="str">
        <f>'Base GC'!Y21</f>
        <v>s/d</v>
      </c>
      <c r="U23" s="14" t="str">
        <f>'Base GC'!Z21</f>
        <v>s/d</v>
      </c>
      <c r="V23" s="14" t="str">
        <f>'Base GC'!AA21</f>
        <v>s/d</v>
      </c>
      <c r="W23" s="14" t="str">
        <f>'Base GC'!AB21</f>
        <v>s/d</v>
      </c>
      <c r="X23" s="14" t="str">
        <f>'Base GC'!AC21</f>
        <v>s/d</v>
      </c>
      <c r="Y23" s="4" t="str">
        <f>'Base GC'!AD21</f>
        <v>GASTO CORRIENTE</v>
      </c>
    </row>
    <row r="24" spans="1:25">
      <c r="A24" s="14">
        <f>SUBTOTAL(103,$B$6:B24)</f>
        <v>18</v>
      </c>
      <c r="B24" s="14">
        <v>209</v>
      </c>
      <c r="C24" s="4" t="s">
        <v>107</v>
      </c>
      <c r="D24" s="5">
        <f>'Base GC'!H22</f>
        <v>533472.0</v>
      </c>
      <c r="E24" s="5">
        <f>'Base GC'!I22</f>
        <v>497493.33999999997</v>
      </c>
      <c r="F24" s="5">
        <f>D24-E24</f>
        <v>35978.66000000003</v>
      </c>
      <c r="G24" s="5">
        <f>'Base GC'!J22</f>
        <v>482993.44999999995</v>
      </c>
      <c r="H24" s="5">
        <f>'Base GC'!K22</f>
        <v>375952.5999999999</v>
      </c>
      <c r="I24" s="5">
        <f>D24-H24</f>
        <v>157519.40000000008</v>
      </c>
      <c r="J24" s="15">
        <f>IF(D24=0,0,H24/D24)</f>
        <v>0.7047278957471056</v>
      </c>
      <c r="K24" s="4" t="str">
        <f>'Base GC'!Q22</f>
        <v>Mayormente comprometido</v>
      </c>
      <c r="L24" s="14" t="str">
        <f>'Base GC'!R22</f>
        <v>Difícil</v>
      </c>
      <c r="M24" s="5">
        <f>'Base GC'!M22</f>
        <v>14499.890000000014</v>
      </c>
      <c r="N24" s="5">
        <f>'Base GC'!S22</f>
        <v>50478.55000000005</v>
      </c>
      <c r="O24" s="5">
        <f>'Base GC'!T22</f>
        <v>415061.0</v>
      </c>
      <c r="P24" s="5">
        <f>'Base GC'!U22</f>
        <v>115411.0</v>
      </c>
      <c r="Q24" s="5">
        <f>'Base GC'!V22</f>
        <v>0.0</v>
      </c>
      <c r="R24" s="5">
        <f>'Base GC'!W22</f>
        <v>3000.0</v>
      </c>
      <c r="S24" s="14" t="str">
        <f>'Base GC'!X22</f>
        <v>s/d</v>
      </c>
      <c r="T24" s="14" t="str">
        <f>'Base GC'!Y22</f>
        <v>s/d</v>
      </c>
      <c r="U24" s="14" t="str">
        <f>'Base GC'!Z22</f>
        <v>s/d</v>
      </c>
      <c r="V24" s="14" t="str">
        <f>'Base GC'!AA22</f>
        <v>s/d</v>
      </c>
      <c r="W24" s="14" t="str">
        <f>'Base GC'!AB22</f>
        <v>s/d</v>
      </c>
      <c r="X24" s="14" t="str">
        <f>'Base GC'!AC22</f>
        <v>s/d</v>
      </c>
      <c r="Y24" s="4" t="str">
        <f>'Base GC'!AD22</f>
        <v>GASTO CORRIENTE</v>
      </c>
    </row>
    <row r="25" spans="1:25">
      <c r="A25" s="14">
        <f>SUBTOTAL(103,$B$6:B25)</f>
        <v>19</v>
      </c>
      <c r="B25" s="14">
        <v>212</v>
      </c>
      <c r="C25" s="4" t="s">
        <v>110</v>
      </c>
      <c r="D25" s="5">
        <f>'Base GC'!H23</f>
        <v>508796.0</v>
      </c>
      <c r="E25" s="5">
        <f>'Base GC'!I23</f>
        <v>490348.45000000007</v>
      </c>
      <c r="F25" s="5">
        <f>D25-E25</f>
        <v>18447.54999999993</v>
      </c>
      <c r="G25" s="5">
        <f>'Base GC'!J23</f>
        <v>487466.8900000001</v>
      </c>
      <c r="H25" s="5">
        <f>'Base GC'!K23</f>
        <v>341815.41000000003</v>
      </c>
      <c r="I25" s="5">
        <f>D25-H25</f>
        <v>166980.58999999997</v>
      </c>
      <c r="J25" s="15">
        <f>IF(D25=0,0,H25/D25)</f>
        <v>0.6718122980526577</v>
      </c>
      <c r="K25" s="4" t="str">
        <f>'Base GC'!Q23</f>
        <v>Mayormente comprometido</v>
      </c>
      <c r="L25" s="14" t="str">
        <f>'Base GC'!R23</f>
        <v>Difícil</v>
      </c>
      <c r="M25" s="5">
        <f>'Base GC'!M23</f>
        <v>2881.5599999999977</v>
      </c>
      <c r="N25" s="5">
        <f>'Base GC'!S23</f>
        <v>21329.109999999928</v>
      </c>
      <c r="O25" s="5">
        <f>'Base GC'!T23</f>
        <v>335275.0</v>
      </c>
      <c r="P25" s="5">
        <f>'Base GC'!U23</f>
        <v>173521.0</v>
      </c>
      <c r="Q25" s="5">
        <f>'Base GC'!V23</f>
        <v>0.0</v>
      </c>
      <c r="R25" s="5">
        <f>'Base GC'!W23</f>
        <v>0</v>
      </c>
      <c r="S25" s="14" t="str">
        <f>'Base GC'!X23</f>
        <v>s/d</v>
      </c>
      <c r="T25" s="14" t="str">
        <f>'Base GC'!Y23</f>
        <v>s/d</v>
      </c>
      <c r="U25" s="14" t="str">
        <f>'Base GC'!Z23</f>
        <v>s/d</v>
      </c>
      <c r="V25" s="14" t="str">
        <f>'Base GC'!AA23</f>
        <v>s/d</v>
      </c>
      <c r="W25" s="14" t="str">
        <f>'Base GC'!AB23</f>
        <v>s/d</v>
      </c>
      <c r="X25" s="14" t="str">
        <f>'Base GC'!AC23</f>
        <v>s/d</v>
      </c>
      <c r="Y25" s="4" t="str">
        <f>'Base GC'!AD23</f>
        <v>GASTO CORRIENTE</v>
      </c>
    </row>
    <row r="26" spans="1:25">
      <c r="A26" s="14">
        <f>SUBTOTAL(103,$B$6:B26)</f>
        <v>20</v>
      </c>
      <c r="B26" s="14">
        <v>312</v>
      </c>
      <c r="C26" s="4" t="s">
        <v>112</v>
      </c>
      <c r="D26" s="5">
        <f>'Base GC'!H24</f>
        <v>306980.0</v>
      </c>
      <c r="E26" s="5">
        <f>'Base GC'!I24</f>
        <v>233409.92</v>
      </c>
      <c r="F26" s="5">
        <f>D26-E26</f>
        <v>73570.07999999999</v>
      </c>
      <c r="G26" s="5">
        <f>'Base GC'!J24</f>
        <v>233409.92</v>
      </c>
      <c r="H26" s="5">
        <f>'Base GC'!K24</f>
        <v>130413.61</v>
      </c>
      <c r="I26" s="5">
        <f>D26-H26</f>
        <v>176566.39</v>
      </c>
      <c r="J26" s="15">
        <f>IF(D26=0,0,H26/D26)</f>
        <v>0.4248277086455144</v>
      </c>
      <c r="K26" s="4" t="str">
        <f>'Base GC'!Q24</f>
        <v>Mayormente comprometido</v>
      </c>
      <c r="L26" s="14" t="str">
        <f>'Base GC'!R24</f>
        <v>Difícil</v>
      </c>
      <c r="M26" s="5">
        <f>'Base GC'!M24</f>
        <v>0.0</v>
      </c>
      <c r="N26" s="5">
        <f>'Base GC'!S24</f>
        <v>73570.07999999999</v>
      </c>
      <c r="O26" s="5">
        <f>'Base GC'!T24</f>
        <v>0.0</v>
      </c>
      <c r="P26" s="5">
        <f>'Base GC'!U24</f>
        <v>306980.0</v>
      </c>
      <c r="Q26" s="5">
        <f>'Base GC'!V24</f>
        <v>0.0</v>
      </c>
      <c r="R26" s="5">
        <f>'Base GC'!W24</f>
        <v>0</v>
      </c>
      <c r="S26" s="14" t="str">
        <f>'Base GC'!X24</f>
        <v>s/d</v>
      </c>
      <c r="T26" s="14" t="str">
        <f>'Base GC'!Y24</f>
        <v>s/d</v>
      </c>
      <c r="U26" s="14" t="str">
        <f>'Base GC'!Z24</f>
        <v>s/d</v>
      </c>
      <c r="V26" s="14" t="str">
        <f>'Base GC'!AA24</f>
        <v>s/d</v>
      </c>
      <c r="W26" s="14" t="str">
        <f>'Base GC'!AB24</f>
        <v>s/d</v>
      </c>
      <c r="X26" s="14" t="str">
        <f>'Base GC'!AC24</f>
        <v>s/d</v>
      </c>
      <c r="Y26" s="4" t="str">
        <f>'Base GC'!AD24</f>
        <v>GASTO CORRIENTE</v>
      </c>
    </row>
    <row r="27" spans="1:25">
      <c r="A27" s="14">
        <f>SUBTOTAL(103,$B$6:B27)</f>
        <v>21</v>
      </c>
      <c r="B27" s="14">
        <v>200</v>
      </c>
      <c r="C27" s="4" t="s">
        <v>114</v>
      </c>
      <c r="D27" s="5">
        <f>'Base GC'!H25</f>
        <v>254990.0</v>
      </c>
      <c r="E27" s="5">
        <f>'Base GC'!I25</f>
        <v>254990.0</v>
      </c>
      <c r="F27" s="5">
        <f>D27-E27</f>
        <v>0.0</v>
      </c>
      <c r="G27" s="5">
        <f>'Base GC'!J25</f>
        <v>254990.0</v>
      </c>
      <c r="H27" s="5">
        <f>'Base GC'!K25</f>
        <v>162678.6</v>
      </c>
      <c r="I27" s="5">
        <f>D27-H27</f>
        <v>92311.4</v>
      </c>
      <c r="J27" s="15">
        <f>IF(D27=0,0,H27/D27)</f>
        <v>0.6379803129534491</v>
      </c>
      <c r="K27" s="4" t="str">
        <f>'Base GC'!Q25</f>
        <v>Mayormente comprometido</v>
      </c>
      <c r="L27" s="14" t="str">
        <f>'Base GC'!R25</f>
        <v>Difícil</v>
      </c>
      <c r="M27" s="5">
        <f>'Base GC'!M25</f>
        <v>0.0</v>
      </c>
      <c r="N27" s="5">
        <f>'Base GC'!S25</f>
        <v>0.0</v>
      </c>
      <c r="O27" s="5">
        <f>'Base GC'!T25</f>
        <v>254990.0</v>
      </c>
      <c r="P27" s="5">
        <f>'Base GC'!U25</f>
        <v>0.0</v>
      </c>
      <c r="Q27" s="5">
        <f>'Base GC'!V25</f>
        <v>0.0</v>
      </c>
      <c r="R27" s="5">
        <f>'Base GC'!W25</f>
        <v>0</v>
      </c>
      <c r="S27" s="14" t="str">
        <f>'Base GC'!X25</f>
        <v>s/d</v>
      </c>
      <c r="T27" s="14" t="str">
        <f>'Base GC'!Y25</f>
        <v>s/d</v>
      </c>
      <c r="U27" s="14" t="str">
        <f>'Base GC'!Z25</f>
        <v>s/d</v>
      </c>
      <c r="V27" s="14" t="str">
        <f>'Base GC'!AA25</f>
        <v>s/d</v>
      </c>
      <c r="W27" s="14" t="str">
        <f>'Base GC'!AB25</f>
        <v>s/d</v>
      </c>
      <c r="X27" s="14" t="str">
        <f>'Base GC'!AC25</f>
        <v>s/d</v>
      </c>
      <c r="Y27" s="4" t="str">
        <f>'Base GC'!AD25</f>
        <v>GASTO CORRIENTE</v>
      </c>
    </row>
    <row r="28" spans="1:25">
      <c r="A28" s="14">
        <f>SUBTOTAL(103,$B$6:B28)</f>
        <v>22</v>
      </c>
      <c r="B28" s="14">
        <v>472</v>
      </c>
      <c r="C28" s="4" t="s">
        <v>116</v>
      </c>
      <c r="D28" s="5">
        <f>'Base GC'!H26</f>
        <v>217664.0</v>
      </c>
      <c r="E28" s="5">
        <f>'Base GC'!I26</f>
        <v>162400.0</v>
      </c>
      <c r="F28" s="5">
        <f>D28-E28</f>
        <v>55264.0</v>
      </c>
      <c r="G28" s="5">
        <f>'Base GC'!J26</f>
        <v>162400.0</v>
      </c>
      <c r="H28" s="5">
        <f>'Base GC'!K26</f>
        <v>114200.0</v>
      </c>
      <c r="I28" s="5">
        <f>D28-H28</f>
        <v>103464.0</v>
      </c>
      <c r="J28" s="15">
        <f>IF(D28=0,0,H28/D28)</f>
        <v>0.5246618641576007</v>
      </c>
      <c r="K28" s="4" t="str">
        <f>'Base GC'!Q26</f>
        <v>Mayormente comprometido</v>
      </c>
      <c r="L28" s="14" t="str">
        <f>'Base GC'!R26</f>
        <v>Difícil</v>
      </c>
      <c r="M28" s="5">
        <f>'Base GC'!M26</f>
        <v>0.0</v>
      </c>
      <c r="N28" s="5">
        <f>'Base GC'!S26</f>
        <v>55264.0</v>
      </c>
      <c r="O28" s="5">
        <f>'Base GC'!T26</f>
        <v>0.0</v>
      </c>
      <c r="P28" s="5">
        <f>'Base GC'!U26</f>
        <v>217664.0</v>
      </c>
      <c r="Q28" s="5">
        <f>'Base GC'!V26</f>
        <v>0.0</v>
      </c>
      <c r="R28" s="5">
        <f>'Base GC'!W26</f>
        <v>0</v>
      </c>
      <c r="S28" s="14" t="str">
        <f>'Base GC'!X26</f>
        <v>s/d</v>
      </c>
      <c r="T28" s="14" t="str">
        <f>'Base GC'!Y26</f>
        <v>s/d</v>
      </c>
      <c r="U28" s="14" t="str">
        <f>'Base GC'!Z26</f>
        <v>s/d</v>
      </c>
      <c r="V28" s="14" t="str">
        <f>'Base GC'!AA26</f>
        <v>s/d</v>
      </c>
      <c r="W28" s="14" t="str">
        <f>'Base GC'!AB26</f>
        <v>s/d</v>
      </c>
      <c r="X28" s="14" t="str">
        <f>'Base GC'!AC26</f>
        <v>s/d</v>
      </c>
      <c r="Y28" s="4" t="str">
        <f>'Base GC'!AD26</f>
        <v>GASTO CORRIENTE</v>
      </c>
    </row>
    <row r="29" spans="1:25">
      <c r="A29" s="14">
        <f>SUBTOTAL(103,$B$6:B29)</f>
        <v>23</v>
      </c>
      <c r="B29" s="14">
        <v>350</v>
      </c>
      <c r="C29" s="4" t="s">
        <v>119</v>
      </c>
      <c r="D29" s="5">
        <f>'Base GC'!H27</f>
        <v>118429.0</v>
      </c>
      <c r="E29" s="5">
        <f>'Base GC'!I27</f>
        <v>102026.4</v>
      </c>
      <c r="F29" s="5">
        <f>D29-E29</f>
        <v>16402.600000000006</v>
      </c>
      <c r="G29" s="5">
        <f>'Base GC'!J27</f>
        <v>101601.2</v>
      </c>
      <c r="H29" s="5">
        <f>'Base GC'!K27</f>
        <v>34391.2</v>
      </c>
      <c r="I29" s="5">
        <f>D29-H29</f>
        <v>84037.8</v>
      </c>
      <c r="J29" s="15">
        <f>IF(D29=0,0,H29/D29)</f>
        <v>0.290395089040691</v>
      </c>
      <c r="K29" s="4" t="str">
        <f>'Base GC'!Q27</f>
        <v>Mayormente comprometido</v>
      </c>
      <c r="L29" s="14" t="str">
        <f>'Base GC'!R27</f>
        <v>Difícil</v>
      </c>
      <c r="M29" s="5">
        <f>'Base GC'!M27</f>
        <v>425.1999999999971</v>
      </c>
      <c r="N29" s="5">
        <f>'Base GC'!S27</f>
        <v>16827.800000000003</v>
      </c>
      <c r="O29" s="5">
        <f>'Base GC'!T27</f>
        <v>0.0</v>
      </c>
      <c r="P29" s="5">
        <f>'Base GC'!U27</f>
        <v>104741.0</v>
      </c>
      <c r="Q29" s="5">
        <f>'Base GC'!V27</f>
        <v>0.0</v>
      </c>
      <c r="R29" s="5">
        <f>'Base GC'!W27</f>
        <v>13688.0</v>
      </c>
      <c r="S29" s="14" t="str">
        <f>'Base GC'!X27</f>
        <v>s/d</v>
      </c>
      <c r="T29" s="14" t="str">
        <f>'Base GC'!Y27</f>
        <v>s/d</v>
      </c>
      <c r="U29" s="14" t="str">
        <f>'Base GC'!Z27</f>
        <v>s/d</v>
      </c>
      <c r="V29" s="14" t="str">
        <f>'Base GC'!AA27</f>
        <v>s/d</v>
      </c>
      <c r="W29" s="14" t="str">
        <f>'Base GC'!AB27</f>
        <v>s/d</v>
      </c>
      <c r="X29" s="14" t="str">
        <f>'Base GC'!AC27</f>
        <v>s/d</v>
      </c>
      <c r="Y29" s="4" t="str">
        <f>'Base GC'!AD27</f>
        <v>GASTO CORRIENTE</v>
      </c>
    </row>
    <row r="30" spans="1:25">
      <c r="A30" s="14">
        <f>SUBTOTAL(103,$B$6:B30)</f>
        <v>24</v>
      </c>
      <c r="B30" s="14">
        <v>205</v>
      </c>
      <c r="C30" s="4" t="s">
        <v>121</v>
      </c>
      <c r="D30" s="5">
        <f>'Base GC'!H28</f>
        <v>114535.0</v>
      </c>
      <c r="E30" s="5">
        <f>'Base GC'!I28</f>
        <v>114535.0</v>
      </c>
      <c r="F30" s="5">
        <f>D30-E30</f>
        <v>0.0</v>
      </c>
      <c r="G30" s="5">
        <f>'Base GC'!J28</f>
        <v>114535.0</v>
      </c>
      <c r="H30" s="5">
        <f>'Base GC'!K28</f>
        <v>85901.13</v>
      </c>
      <c r="I30" s="5">
        <f>D30-H30</f>
        <v>28633.869999999995</v>
      </c>
      <c r="J30" s="15">
        <f>IF(D30=0,0,H30/D30)</f>
        <v>0.7499989522853276</v>
      </c>
      <c r="K30" s="4" t="str">
        <f>'Base GC'!Q28</f>
        <v>Mayormente comprometido</v>
      </c>
      <c r="L30" s="14" t="str">
        <f>'Base GC'!R28</f>
        <v>Difícil</v>
      </c>
      <c r="M30" s="5">
        <f>'Base GC'!M28</f>
        <v>0.0</v>
      </c>
      <c r="N30" s="5">
        <f>'Base GC'!S28</f>
        <v>0.0</v>
      </c>
      <c r="O30" s="5">
        <f>'Base GC'!T28</f>
        <v>114535.0</v>
      </c>
      <c r="P30" s="5">
        <f>'Base GC'!U28</f>
        <v>0.0</v>
      </c>
      <c r="Q30" s="5">
        <f>'Base GC'!V28</f>
        <v>0.0</v>
      </c>
      <c r="R30" s="5">
        <f>'Base GC'!W28</f>
        <v>0</v>
      </c>
      <c r="S30" s="14" t="str">
        <f>'Base GC'!X28</f>
        <v>s/d</v>
      </c>
      <c r="T30" s="14" t="str">
        <f>'Base GC'!Y28</f>
        <v>s/d</v>
      </c>
      <c r="U30" s="14" t="str">
        <f>'Base GC'!Z28</f>
        <v>s/d</v>
      </c>
      <c r="V30" s="14" t="str">
        <f>'Base GC'!AA28</f>
        <v>s/d</v>
      </c>
      <c r="W30" s="14" t="str">
        <f>'Base GC'!AB28</f>
        <v>s/d</v>
      </c>
      <c r="X30" s="14" t="str">
        <f>'Base GC'!AC28</f>
        <v>s/d</v>
      </c>
      <c r="Y30" s="4" t="str">
        <f>'Base GC'!AD28</f>
        <v>GASTO CORRIENTE</v>
      </c>
    </row>
    <row r="31" spans="1:25">
      <c r="A31" s="14">
        <f>SUBTOTAL(103,$B$6:B31)</f>
        <v>25</v>
      </c>
      <c r="B31" s="14">
        <v>292</v>
      </c>
      <c r="C31" s="4" t="s">
        <v>123</v>
      </c>
      <c r="D31" s="5">
        <f>'Base GC'!H29</f>
        <v>83162.0</v>
      </c>
      <c r="E31" s="5">
        <f>'Base GC'!I29</f>
        <v>73936.0</v>
      </c>
      <c r="F31" s="5">
        <f>D31-E31</f>
        <v>9226.0</v>
      </c>
      <c r="G31" s="5">
        <f>'Base GC'!J29</f>
        <v>73936.0</v>
      </c>
      <c r="H31" s="5">
        <f>'Base GC'!K29</f>
        <v>42003.67</v>
      </c>
      <c r="I31" s="5">
        <f>D31-H31</f>
        <v>41158.33</v>
      </c>
      <c r="J31" s="15">
        <f>IF(D31=0,0,H31/D31)</f>
        <v>0.5050824895986147</v>
      </c>
      <c r="K31" s="4" t="str">
        <f>'Base GC'!Q29</f>
        <v>Mayormente comprometido</v>
      </c>
      <c r="L31" s="14" t="str">
        <f>'Base GC'!R29</f>
        <v>Difícil</v>
      </c>
      <c r="M31" s="5">
        <f>'Base GC'!M29</f>
        <v>0.0</v>
      </c>
      <c r="N31" s="5">
        <f>'Base GC'!S29</f>
        <v>9226.0</v>
      </c>
      <c r="O31" s="5">
        <f>'Base GC'!T29</f>
        <v>58601.0</v>
      </c>
      <c r="P31" s="5">
        <f>'Base GC'!U29</f>
        <v>23061.0</v>
      </c>
      <c r="Q31" s="5">
        <f>'Base GC'!V29</f>
        <v>0.0</v>
      </c>
      <c r="R31" s="5">
        <f>'Base GC'!W29</f>
        <v>1500.0</v>
      </c>
      <c r="S31" s="14" t="str">
        <f>'Base GC'!X29</f>
        <v>s/d</v>
      </c>
      <c r="T31" s="14" t="str">
        <f>'Base GC'!Y29</f>
        <v>s/d</v>
      </c>
      <c r="U31" s="14" t="str">
        <f>'Base GC'!Z29</f>
        <v>s/d</v>
      </c>
      <c r="V31" s="14" t="str">
        <f>'Base GC'!AA29</f>
        <v>s/d</v>
      </c>
      <c r="W31" s="14" t="str">
        <f>'Base GC'!AB29</f>
        <v>s/d</v>
      </c>
      <c r="X31" s="14" t="str">
        <f>'Base GC'!AC29</f>
        <v>s/d</v>
      </c>
      <c r="Y31" s="4" t="str">
        <f>'Base GC'!AD29</f>
        <v>GASTO CORRIENTE</v>
      </c>
    </row>
    <row r="32" spans="1:25">
      <c r="A32" s="14">
        <f>SUBTOTAL(103,$B$6:B32)</f>
        <v>26</v>
      </c>
      <c r="B32" s="14">
        <v>210</v>
      </c>
      <c r="C32" s="4" t="s">
        <v>126</v>
      </c>
      <c r="D32" s="5">
        <f>'Base GC'!H30</f>
        <v>77042.0</v>
      </c>
      <c r="E32" s="5">
        <f>'Base GC'!I30</f>
        <v>0.0</v>
      </c>
      <c r="F32" s="5">
        <f>D32-E32</f>
        <v>77042.0</v>
      </c>
      <c r="G32" s="5">
        <f>'Base GC'!J30</f>
        <v>0.0</v>
      </c>
      <c r="H32" s="5">
        <f>'Base GC'!K30</f>
        <v>0.0</v>
      </c>
      <c r="I32" s="5">
        <f>D32-H32</f>
        <v>77042.0</v>
      </c>
      <c r="J32" s="15">
        <f>IF(D32=0,0,H32/D32)</f>
        <v>0.0</v>
      </c>
      <c r="K32" s="4" t="str">
        <f>'Base GC'!Q30</f>
        <v>Sin certificar</v>
      </c>
      <c r="L32" s="14" t="str">
        <f>'Base GC'!R30</f>
        <v>Disponible</v>
      </c>
      <c r="M32" s="5">
        <f>'Base GC'!M30</f>
        <v>0.0</v>
      </c>
      <c r="N32" s="5">
        <f>'Base GC'!S30</f>
        <v>77042.0</v>
      </c>
      <c r="O32" s="5">
        <f>'Base GC'!T30</f>
        <v>0.0</v>
      </c>
      <c r="P32" s="5">
        <f>'Base GC'!U30</f>
        <v>0.0</v>
      </c>
      <c r="Q32" s="5">
        <f>'Base GC'!V30</f>
        <v>77042.0</v>
      </c>
      <c r="R32" s="5">
        <f>'Base GC'!W30</f>
        <v>0</v>
      </c>
      <c r="S32" s="14" t="str">
        <f>'Base GC'!X30</f>
        <v>s/d</v>
      </c>
      <c r="T32" s="14" t="str">
        <f>'Base GC'!Y30</f>
        <v>s/d</v>
      </c>
      <c r="U32" s="14" t="str">
        <f>'Base GC'!Z30</f>
        <v>s/d</v>
      </c>
      <c r="V32" s="14" t="str">
        <f>'Base GC'!AA30</f>
        <v>s/d</v>
      </c>
      <c r="W32" s="14" t="str">
        <f>'Base GC'!AB30</f>
        <v>s/d</v>
      </c>
      <c r="X32" s="14" t="str">
        <f>'Base GC'!AC30</f>
        <v>s/d</v>
      </c>
      <c r="Y32" s="4" t="str">
        <f>'Base GC'!AD30</f>
        <v>GASTO CORRIENTE</v>
      </c>
    </row>
    <row r="33" spans="1:25">
      <c r="A33" s="14">
        <f>SUBTOTAL(103,$B$6:B33)</f>
        <v>27</v>
      </c>
      <c r="B33" s="14">
        <v>204</v>
      </c>
      <c r="C33" s="4" t="s">
        <v>128</v>
      </c>
      <c r="D33" s="5">
        <f>'Base GC'!H31</f>
        <v>27333.0</v>
      </c>
      <c r="E33" s="5">
        <f>'Base GC'!I31</f>
        <v>27333.0</v>
      </c>
      <c r="F33" s="5">
        <f>D33-E33</f>
        <v>0.0</v>
      </c>
      <c r="G33" s="5">
        <f>'Base GC'!J31</f>
        <v>22410.0</v>
      </c>
      <c r="H33" s="5">
        <f>'Base GC'!K31</f>
        <v>0.0</v>
      </c>
      <c r="I33" s="5">
        <f>D33-H33</f>
        <v>27333.0</v>
      </c>
      <c r="J33" s="15">
        <f>IF(D33=0,0,H33/D33)</f>
        <v>0.0</v>
      </c>
      <c r="K33" s="4" t="str">
        <f>'Base GC'!Q31</f>
        <v>Mayormente comprometido</v>
      </c>
      <c r="L33" s="14" t="str">
        <f>'Base GC'!R31</f>
        <v>Difícil</v>
      </c>
      <c r="M33" s="5">
        <f>'Base GC'!M31</f>
        <v>4923.0</v>
      </c>
      <c r="N33" s="5">
        <f>'Base GC'!S31</f>
        <v>4923.0</v>
      </c>
      <c r="O33" s="5">
        <f>'Base GC'!T31</f>
        <v>27333.0</v>
      </c>
      <c r="P33" s="5">
        <f>'Base GC'!U31</f>
        <v>0.0</v>
      </c>
      <c r="Q33" s="5">
        <f>'Base GC'!V31</f>
        <v>0.0</v>
      </c>
      <c r="R33" s="5">
        <f>'Base GC'!W31</f>
        <v>0</v>
      </c>
      <c r="S33" s="14" t="str">
        <f>'Base GC'!X31</f>
        <v>s/d</v>
      </c>
      <c r="T33" s="14" t="str">
        <f>'Base GC'!Y31</f>
        <v>s/d</v>
      </c>
      <c r="U33" s="14" t="str">
        <f>'Base GC'!Z31</f>
        <v>s/d</v>
      </c>
      <c r="V33" s="14" t="str">
        <f>'Base GC'!AA31</f>
        <v>s/d</v>
      </c>
      <c r="W33" s="14" t="str">
        <f>'Base GC'!AB31</f>
        <v>s/d</v>
      </c>
      <c r="X33" s="14" t="str">
        <f>'Base GC'!AC31</f>
        <v>s/d</v>
      </c>
      <c r="Y33" s="4" t="str">
        <f>'Base GC'!AD31</f>
        <v>GASTO CORRIENTE</v>
      </c>
    </row>
    <row r="34" spans="1:25">
      <c r="A34" s="14">
        <f>SUBTOTAL(103,$B$6:B34)</f>
        <v>28</v>
      </c>
      <c r="B34" s="14">
        <v>198</v>
      </c>
      <c r="C34" s="4" t="s">
        <v>130</v>
      </c>
      <c r="D34" s="5">
        <f>'Base GC'!H32</f>
        <v>0.0</v>
      </c>
      <c r="E34" s="5">
        <f>'Base GC'!I32</f>
        <v>0.0</v>
      </c>
      <c r="F34" s="5">
        <f>D34-E34</f>
        <v>0.0</v>
      </c>
      <c r="G34" s="5">
        <f>'Base GC'!J32</f>
        <v>0.0</v>
      </c>
      <c r="H34" s="5">
        <f>'Base GC'!K32</f>
        <v>0.0</v>
      </c>
      <c r="I34" s="5">
        <f>D34-H34</f>
        <v>0.0</v>
      </c>
      <c r="J34" s="15">
        <f>IF(D34=0,0,H34/D34)</f>
        <v>0</v>
      </c>
      <c r="K34" s="4" t="str">
        <f>'Base GC'!Q32</f>
        <v>Sin PIM</v>
      </c>
      <c r="L34" s="14" t="str">
        <f>'Base GC'!R32</f>
        <v>Sin PIM</v>
      </c>
      <c r="M34" s="5">
        <f>'Base GC'!M32</f>
        <v>0.0</v>
      </c>
      <c r="N34" s="5">
        <f>'Base GC'!S32</f>
        <v>0.0</v>
      </c>
      <c r="O34" s="5">
        <f>'Base GC'!T32</f>
        <v>0.0</v>
      </c>
      <c r="P34" s="5">
        <f>'Base GC'!U32</f>
        <v>0.0</v>
      </c>
      <c r="Q34" s="5">
        <f>'Base GC'!V32</f>
        <v>0.0</v>
      </c>
      <c r="R34" s="5">
        <f>'Base GC'!W32</f>
        <v>0</v>
      </c>
      <c r="S34" s="14" t="str">
        <f>'Base GC'!X32</f>
        <v>s/d</v>
      </c>
      <c r="T34" s="14" t="str">
        <f>'Base GC'!Y32</f>
        <v>s/d</v>
      </c>
      <c r="U34" s="14" t="str">
        <f>'Base GC'!Z32</f>
        <v>s/d</v>
      </c>
      <c r="V34" s="14" t="str">
        <f>'Base GC'!AA32</f>
        <v>s/d</v>
      </c>
      <c r="W34" s="14" t="str">
        <f>'Base GC'!AB32</f>
        <v>s/d</v>
      </c>
      <c r="X34" s="14" t="str">
        <f>'Base GC'!AC32</f>
        <v>s/d</v>
      </c>
      <c r="Y34" s="4" t="str">
        <f>'Base GC'!AD32</f>
        <v>GASTO CORRIENTE</v>
      </c>
    </row>
    <row r="35" spans="1:25">
      <c r="A35" s="6" t="s">
        <v>131</v>
      </c>
      <c r="B35" s="6"/>
      <c r="C35" s="6"/>
      <c r="D35" s="7">
        <f>SUM(D36:D43)</f>
        <v>3066466.0</v>
      </c>
      <c r="E35" s="7">
        <f>SUM(E36:E43)</f>
        <v>2624320.9</v>
      </c>
      <c r="F35" s="7">
        <f>D35-E35</f>
        <v>442145.1000000001</v>
      </c>
      <c r="G35" s="7">
        <f>SUM(G36:G43)</f>
        <v>1890446.6800000002</v>
      </c>
      <c r="H35" s="7">
        <f>SUM(H36:H43)</f>
        <v>1404527.18</v>
      </c>
      <c r="I35" s="7">
        <f>D35-H35</f>
        <v>1661938.82</v>
      </c>
      <c r="J35" s="13">
        <f>IF(D35=0,0,H35/D35)</f>
        <v>0.4580279644385426</v>
      </c>
      <c r="K35" s="6"/>
      <c r="L35" s="6"/>
      <c r="M35" s="7">
        <f>SUM(M36:M43)</f>
        <v>733874.2199999999</v>
      </c>
      <c r="N35" s="7">
        <f>SUM(N36:N43)</f>
        <v>1172769.3199999998</v>
      </c>
      <c r="O35" s="7">
        <f>SUM(O36:O43)</f>
        <v>393085.0</v>
      </c>
      <c r="P35" s="7">
        <f>SUM(P36:P43)</f>
        <v>1390227.0</v>
      </c>
      <c r="Q35" s="7">
        <f>SUM(Q36:Q43)</f>
        <v>0.0</v>
      </c>
      <c r="R35" s="7">
        <f>SUM(R36:R43)</f>
        <v>1283154.0</v>
      </c>
      <c r="S35" s="7">
        <f>SUM(S36:S43)</f>
        <v>0.0</v>
      </c>
      <c r="T35" s="7">
        <f>SUM(T36:T43)</f>
        <v>0.0</v>
      </c>
      <c r="U35" s="7">
        <f>SUM(U36:U43)</f>
        <v>0.0</v>
      </c>
      <c r="V35" s="7">
        <f>SUM(V36:V43)</f>
        <v>0.0</v>
      </c>
      <c r="W35" s="7">
        <f>SUM(W36:W43)</f>
        <v>0.0</v>
      </c>
      <c r="X35" s="7">
        <f>SUM(X36:X43)</f>
        <v>0.0</v>
      </c>
      <c r="Y35" s="6"/>
    </row>
    <row r="36" spans="1:25">
      <c r="A36" s="14">
        <f>SUBTOTAL(103,$B$6:B36)</f>
        <v>29</v>
      </c>
      <c r="B36" s="14">
        <v>11</v>
      </c>
      <c r="C36" s="4" t="s">
        <v>135</v>
      </c>
      <c r="D36" s="5">
        <f>'Base GC'!H33</f>
        <v>1428319.0</v>
      </c>
      <c r="E36" s="5">
        <f>'Base GC'!I33</f>
        <v>1363163.72</v>
      </c>
      <c r="F36" s="5">
        <f>D36-E36</f>
        <v>65155.28000000003</v>
      </c>
      <c r="G36" s="5">
        <f>'Base GC'!J33</f>
        <v>645131.4</v>
      </c>
      <c r="H36" s="5">
        <f>'Base GC'!K33</f>
        <v>522691.81</v>
      </c>
      <c r="I36" s="5">
        <f>D36-H36</f>
        <v>905627.19</v>
      </c>
      <c r="J36" s="15">
        <f>IF(D36=0,0,H36/D36)</f>
        <v>0.3659489301759621</v>
      </c>
      <c r="K36" s="4" t="str">
        <f>'Base GC'!Q33</f>
        <v>Parcialmente comprometido</v>
      </c>
      <c r="L36" s="14" t="str">
        <f>'Base GC'!R33</f>
        <v>Parcial</v>
      </c>
      <c r="M36" s="5">
        <f>'Base GC'!M33</f>
        <v>718032.32</v>
      </c>
      <c r="N36" s="5">
        <f>'Base GC'!S33</f>
        <v>783187.6</v>
      </c>
      <c r="O36" s="5">
        <f>'Base GC'!T33</f>
        <v>0.0</v>
      </c>
      <c r="P36" s="5">
        <f>'Base GC'!U33</f>
        <v>148165.0</v>
      </c>
      <c r="Q36" s="5">
        <f>'Base GC'!V33</f>
        <v>0.0</v>
      </c>
      <c r="R36" s="5">
        <f>'Base GC'!W33</f>
        <v>1280154.0</v>
      </c>
      <c r="S36" s="14" t="str">
        <f>'Base GC'!X33</f>
        <v>s/d</v>
      </c>
      <c r="T36" s="14" t="str">
        <f>'Base GC'!Y33</f>
        <v>s/d</v>
      </c>
      <c r="U36" s="14" t="str">
        <f>'Base GC'!Z33</f>
        <v>s/d</v>
      </c>
      <c r="V36" s="14" t="str">
        <f>'Base GC'!AA33</f>
        <v>s/d</v>
      </c>
      <c r="W36" s="14" t="str">
        <f>'Base GC'!AB33</f>
        <v>s/d</v>
      </c>
      <c r="X36" s="14" t="str">
        <f>'Base GC'!AC33</f>
        <v>s/d</v>
      </c>
      <c r="Y36" s="4" t="str">
        <f>'Base GC'!AD33</f>
        <v>GASTO CORRIENTE</v>
      </c>
    </row>
    <row r="37" spans="1:25">
      <c r="A37" s="14">
        <f>SUBTOTAL(103,$B$6:B37)</f>
        <v>30</v>
      </c>
      <c r="B37" s="14">
        <v>12</v>
      </c>
      <c r="C37" s="4" t="s">
        <v>138</v>
      </c>
      <c r="D37" s="5">
        <f>'Base GC'!H34</f>
        <v>1171471.0</v>
      </c>
      <c r="E37" s="5">
        <f>'Base GC'!I34</f>
        <v>912826.1799999999</v>
      </c>
      <c r="F37" s="5">
        <f>D37-E37</f>
        <v>258644.82000000007</v>
      </c>
      <c r="G37" s="5">
        <f>'Base GC'!J34</f>
        <v>896984.28</v>
      </c>
      <c r="H37" s="5">
        <f>'Base GC'!K34</f>
        <v>632174.37</v>
      </c>
      <c r="I37" s="5">
        <f>D37-H37</f>
        <v>539296.63</v>
      </c>
      <c r="J37" s="15">
        <f>IF(D37=0,0,H37/D37)</f>
        <v>0.5396415020090126</v>
      </c>
      <c r="K37" s="4" t="str">
        <f>'Base GC'!Q34</f>
        <v>Mayormente comprometido</v>
      </c>
      <c r="L37" s="14" t="str">
        <f>'Base GC'!R34</f>
        <v>Difícil</v>
      </c>
      <c r="M37" s="5">
        <f>'Base GC'!M34</f>
        <v>15841.899999999907</v>
      </c>
      <c r="N37" s="5">
        <f>'Base GC'!S34</f>
        <v>274486.72</v>
      </c>
      <c r="O37" s="5">
        <f>'Base GC'!T34</f>
        <v>393085.0</v>
      </c>
      <c r="P37" s="5">
        <f>'Base GC'!U34</f>
        <v>775386.0</v>
      </c>
      <c r="Q37" s="5">
        <f>'Base GC'!V34</f>
        <v>0.0</v>
      </c>
      <c r="R37" s="5">
        <f>'Base GC'!W34</f>
        <v>3000.0</v>
      </c>
      <c r="S37" s="14" t="str">
        <f>'Base GC'!X34</f>
        <v>s/d</v>
      </c>
      <c r="T37" s="14" t="str">
        <f>'Base GC'!Y34</f>
        <v>s/d</v>
      </c>
      <c r="U37" s="14" t="str">
        <f>'Base GC'!Z34</f>
        <v>s/d</v>
      </c>
      <c r="V37" s="14" t="str">
        <f>'Base GC'!AA34</f>
        <v>s/d</v>
      </c>
      <c r="W37" s="14" t="str">
        <f>'Base GC'!AB34</f>
        <v>s/d</v>
      </c>
      <c r="X37" s="14" t="str">
        <f>'Base GC'!AC34</f>
        <v>s/d</v>
      </c>
      <c r="Y37" s="4" t="str">
        <f>'Base GC'!AD34</f>
        <v>GASTO CORRIENTE</v>
      </c>
    </row>
    <row r="38" spans="1:25">
      <c r="A38" s="14">
        <f>SUBTOTAL(103,$B$6:B38)</f>
        <v>31</v>
      </c>
      <c r="B38" s="14">
        <v>15</v>
      </c>
      <c r="C38" s="4" t="s">
        <v>142</v>
      </c>
      <c r="D38" s="5">
        <f>'Base GC'!H35</f>
        <v>373040.0</v>
      </c>
      <c r="E38" s="5">
        <f>'Base GC'!I35</f>
        <v>287567.0</v>
      </c>
      <c r="F38" s="5">
        <f>D38-E38</f>
        <v>85473.0</v>
      </c>
      <c r="G38" s="5">
        <f>'Base GC'!J35</f>
        <v>287567.0</v>
      </c>
      <c r="H38" s="5">
        <f>'Base GC'!K35</f>
        <v>193397.0</v>
      </c>
      <c r="I38" s="5">
        <f>D38-H38</f>
        <v>179643.0</v>
      </c>
      <c r="J38" s="15">
        <f>IF(D38=0,0,H38/D38)</f>
        <v>0.5184350203731504</v>
      </c>
      <c r="K38" s="4" t="str">
        <f>'Base GC'!Q35</f>
        <v>Mayormente comprometido</v>
      </c>
      <c r="L38" s="14" t="str">
        <f>'Base GC'!R35</f>
        <v>Difícil</v>
      </c>
      <c r="M38" s="5">
        <f>'Base GC'!M35</f>
        <v>0.0</v>
      </c>
      <c r="N38" s="5">
        <f>'Base GC'!S35</f>
        <v>85473.0</v>
      </c>
      <c r="O38" s="5">
        <f>'Base GC'!T35</f>
        <v>0.0</v>
      </c>
      <c r="P38" s="5">
        <f>'Base GC'!U35</f>
        <v>373040.0</v>
      </c>
      <c r="Q38" s="5">
        <f>'Base GC'!V35</f>
        <v>0.0</v>
      </c>
      <c r="R38" s="5">
        <f>'Base GC'!W35</f>
        <v>0</v>
      </c>
      <c r="S38" s="14" t="str">
        <f>'Base GC'!X35</f>
        <v>s/d</v>
      </c>
      <c r="T38" s="14" t="str">
        <f>'Base GC'!Y35</f>
        <v>s/d</v>
      </c>
      <c r="U38" s="14" t="str">
        <f>'Base GC'!Z35</f>
        <v>s/d</v>
      </c>
      <c r="V38" s="14" t="str">
        <f>'Base GC'!AA35</f>
        <v>s/d</v>
      </c>
      <c r="W38" s="14" t="str">
        <f>'Base GC'!AB35</f>
        <v>s/d</v>
      </c>
      <c r="X38" s="14" t="str">
        <f>'Base GC'!AC35</f>
        <v>s/d</v>
      </c>
      <c r="Y38" s="4" t="str">
        <f>'Base GC'!AD35</f>
        <v>GASTO CORRIENTE</v>
      </c>
    </row>
    <row r="39" spans="1:25">
      <c r="A39" s="14">
        <f>SUBTOTAL(103,$B$6:B39)</f>
        <v>32</v>
      </c>
      <c r="B39" s="14">
        <v>9</v>
      </c>
      <c r="C39" s="4" t="s">
        <v>145</v>
      </c>
      <c r="D39" s="5">
        <f>'Base GC'!H36</f>
        <v>25600.0</v>
      </c>
      <c r="E39" s="5">
        <f>'Base GC'!I36</f>
        <v>12638.0</v>
      </c>
      <c r="F39" s="5">
        <f>D39-E39</f>
        <v>12962.0</v>
      </c>
      <c r="G39" s="5">
        <f>'Base GC'!J36</f>
        <v>12638.0</v>
      </c>
      <c r="H39" s="5">
        <f>'Base GC'!K36</f>
        <v>8138.0</v>
      </c>
      <c r="I39" s="5">
        <f>D39-H39</f>
        <v>17462.0</v>
      </c>
      <c r="J39" s="15">
        <f>IF(D39=0,0,H39/D39)</f>
        <v>0.317890625</v>
      </c>
      <c r="K39" s="4" t="str">
        <f>'Base GC'!Q36</f>
        <v>Parcialmente comprometido</v>
      </c>
      <c r="L39" s="14" t="str">
        <f>'Base GC'!R36</f>
        <v>Parcial</v>
      </c>
      <c r="M39" s="5">
        <f>'Base GC'!M36</f>
        <v>0.0</v>
      </c>
      <c r="N39" s="5">
        <f>'Base GC'!S36</f>
        <v>12962.0</v>
      </c>
      <c r="O39" s="5">
        <f>'Base GC'!T36</f>
        <v>0.0</v>
      </c>
      <c r="P39" s="5">
        <f>'Base GC'!U36</f>
        <v>25600.0</v>
      </c>
      <c r="Q39" s="5">
        <f>'Base GC'!V36</f>
        <v>0.0</v>
      </c>
      <c r="R39" s="5">
        <f>'Base GC'!W36</f>
        <v>0</v>
      </c>
      <c r="S39" s="14" t="str">
        <f>'Base GC'!X36</f>
        <v>s/d</v>
      </c>
      <c r="T39" s="14" t="str">
        <f>'Base GC'!Y36</f>
        <v>s/d</v>
      </c>
      <c r="U39" s="14" t="str">
        <f>'Base GC'!Z36</f>
        <v>s/d</v>
      </c>
      <c r="V39" s="14" t="str">
        <f>'Base GC'!AA36</f>
        <v>s/d</v>
      </c>
      <c r="W39" s="14" t="str">
        <f>'Base GC'!AB36</f>
        <v>s/d</v>
      </c>
      <c r="X39" s="14" t="str">
        <f>'Base GC'!AC36</f>
        <v>s/d</v>
      </c>
      <c r="Y39" s="4" t="str">
        <f>'Base GC'!AD36</f>
        <v>GASTO CORRIENTE</v>
      </c>
    </row>
    <row r="40" spans="1:25">
      <c r="A40" s="14">
        <f>SUBTOTAL(103,$B$6:B40)</f>
        <v>33</v>
      </c>
      <c r="B40" s="14">
        <v>10</v>
      </c>
      <c r="C40" s="4" t="s">
        <v>148</v>
      </c>
      <c r="D40" s="5">
        <f>'Base GC'!H37</f>
        <v>25600.0</v>
      </c>
      <c r="E40" s="5">
        <f>'Base GC'!I37</f>
        <v>8940.0</v>
      </c>
      <c r="F40" s="5">
        <f>D40-E40</f>
        <v>16660.0</v>
      </c>
      <c r="G40" s="5">
        <f>'Base GC'!J37</f>
        <v>8940.0</v>
      </c>
      <c r="H40" s="5">
        <f>'Base GC'!K37</f>
        <v>8940.0</v>
      </c>
      <c r="I40" s="5">
        <f>D40-H40</f>
        <v>16660.0</v>
      </c>
      <c r="J40" s="15">
        <f>IF(D40=0,0,H40/D40)</f>
        <v>0.34921875</v>
      </c>
      <c r="K40" s="4" t="str">
        <f>'Base GC'!Q37</f>
        <v>Parcialmente comprometido</v>
      </c>
      <c r="L40" s="14" t="str">
        <f>'Base GC'!R37</f>
        <v>Parcial</v>
      </c>
      <c r="M40" s="5">
        <f>'Base GC'!M37</f>
        <v>0.0</v>
      </c>
      <c r="N40" s="5">
        <f>'Base GC'!S37</f>
        <v>16660.0</v>
      </c>
      <c r="O40" s="5">
        <f>'Base GC'!T37</f>
        <v>0.0</v>
      </c>
      <c r="P40" s="5">
        <f>'Base GC'!U37</f>
        <v>25600.0</v>
      </c>
      <c r="Q40" s="5">
        <f>'Base GC'!V37</f>
        <v>0.0</v>
      </c>
      <c r="R40" s="5">
        <f>'Base GC'!W37</f>
        <v>0</v>
      </c>
      <c r="S40" s="14" t="str">
        <f>'Base GC'!X37</f>
        <v>s/d</v>
      </c>
      <c r="T40" s="14" t="str">
        <f>'Base GC'!Y37</f>
        <v>s/d</v>
      </c>
      <c r="U40" s="14" t="str">
        <f>'Base GC'!Z37</f>
        <v>s/d</v>
      </c>
      <c r="V40" s="14" t="str">
        <f>'Base GC'!AA37</f>
        <v>s/d</v>
      </c>
      <c r="W40" s="14" t="str">
        <f>'Base GC'!AB37</f>
        <v>s/d</v>
      </c>
      <c r="X40" s="14" t="str">
        <f>'Base GC'!AC37</f>
        <v>s/d</v>
      </c>
      <c r="Y40" s="4" t="str">
        <f>'Base GC'!AD37</f>
        <v>GASTO CORRIENTE</v>
      </c>
    </row>
    <row r="41" spans="1:25">
      <c r="A41" s="14">
        <f>SUBTOTAL(103,$B$6:B41)</f>
        <v>34</v>
      </c>
      <c r="B41" s="14">
        <v>16</v>
      </c>
      <c r="C41" s="4" t="s">
        <v>152</v>
      </c>
      <c r="D41" s="5">
        <f>'Base GC'!H38</f>
        <v>22528.0</v>
      </c>
      <c r="E41" s="5">
        <f>'Base GC'!I38</f>
        <v>20570.0</v>
      </c>
      <c r="F41" s="5">
        <f>D41-E41</f>
        <v>1958.0</v>
      </c>
      <c r="G41" s="5">
        <f>'Base GC'!J38</f>
        <v>20570.0</v>
      </c>
      <c r="H41" s="5">
        <f>'Base GC'!K38</f>
        <v>20570.0</v>
      </c>
      <c r="I41" s="5">
        <f>D41-H41</f>
        <v>1958.0</v>
      </c>
      <c r="J41" s="15">
        <f>IF(D41=0,0,H41/D41)</f>
        <v>0.9130859375</v>
      </c>
      <c r="K41" s="4" t="str">
        <f>'Base GC'!Q38</f>
        <v>Ejecutado</v>
      </c>
      <c r="L41" s="14" t="str">
        <f>'Base GC'!R38</f>
        <v>No usar</v>
      </c>
      <c r="M41" s="5">
        <f>'Base GC'!M38</f>
        <v>0.0</v>
      </c>
      <c r="N41" s="5">
        <f>'Base GC'!S38</f>
        <v>0.0</v>
      </c>
      <c r="O41" s="5">
        <f>'Base GC'!T38</f>
        <v>0.0</v>
      </c>
      <c r="P41" s="5">
        <f>'Base GC'!U38</f>
        <v>22528.0</v>
      </c>
      <c r="Q41" s="5">
        <f>'Base GC'!V38</f>
        <v>0.0</v>
      </c>
      <c r="R41" s="5">
        <f>'Base GC'!W38</f>
        <v>0</v>
      </c>
      <c r="S41" s="14" t="str">
        <f>'Base GC'!X38</f>
        <v>s/d</v>
      </c>
      <c r="T41" s="14" t="str">
        <f>'Base GC'!Y38</f>
        <v>s/d</v>
      </c>
      <c r="U41" s="14" t="str">
        <f>'Base GC'!Z38</f>
        <v>s/d</v>
      </c>
      <c r="V41" s="14" t="str">
        <f>'Base GC'!AA38</f>
        <v>s/d</v>
      </c>
      <c r="W41" s="14" t="str">
        <f>'Base GC'!AB38</f>
        <v>s/d</v>
      </c>
      <c r="X41" s="14" t="str">
        <f>'Base GC'!AC38</f>
        <v>s/d</v>
      </c>
      <c r="Y41" s="4" t="str">
        <f>'Base GC'!AD38</f>
        <v>GASTO CORRIENTE</v>
      </c>
    </row>
    <row r="42" spans="1:25">
      <c r="A42" s="14">
        <f>SUBTOTAL(103,$B$6:B42)</f>
        <v>35</v>
      </c>
      <c r="B42" s="14">
        <v>8</v>
      </c>
      <c r="C42" s="4" t="s">
        <v>156</v>
      </c>
      <c r="D42" s="5">
        <f>'Base GC'!H39</f>
        <v>13047.0</v>
      </c>
      <c r="E42" s="5">
        <f>'Base GC'!I39</f>
        <v>11755.0</v>
      </c>
      <c r="F42" s="5">
        <f>D42-E42</f>
        <v>1292.0</v>
      </c>
      <c r="G42" s="5">
        <f>'Base GC'!J39</f>
        <v>11755.0</v>
      </c>
      <c r="H42" s="5">
        <f>'Base GC'!K39</f>
        <v>11755.0</v>
      </c>
      <c r="I42" s="5">
        <f>D42-H42</f>
        <v>1292.0</v>
      </c>
      <c r="J42" s="15">
        <f>IF(D42=0,0,H42/D42)</f>
        <v>0.9009734038476278</v>
      </c>
      <c r="K42" s="4" t="str">
        <f>'Base GC'!Q39</f>
        <v>Ejecutado</v>
      </c>
      <c r="L42" s="14" t="str">
        <f>'Base GC'!R39</f>
        <v>No usar</v>
      </c>
      <c r="M42" s="5">
        <f>'Base GC'!M39</f>
        <v>0.0</v>
      </c>
      <c r="N42" s="5">
        <f>'Base GC'!S39</f>
        <v>0.0</v>
      </c>
      <c r="O42" s="5">
        <f>'Base GC'!T39</f>
        <v>0.0</v>
      </c>
      <c r="P42" s="5">
        <f>'Base GC'!U39</f>
        <v>13047.0</v>
      </c>
      <c r="Q42" s="5">
        <f>'Base GC'!V39</f>
        <v>0.0</v>
      </c>
      <c r="R42" s="5">
        <f>'Base GC'!W39</f>
        <v>0</v>
      </c>
      <c r="S42" s="14" t="str">
        <f>'Base GC'!X39</f>
        <v>s/d</v>
      </c>
      <c r="T42" s="14" t="str">
        <f>'Base GC'!Y39</f>
        <v>s/d</v>
      </c>
      <c r="U42" s="14" t="str">
        <f>'Base GC'!Z39</f>
        <v>s/d</v>
      </c>
      <c r="V42" s="14" t="str">
        <f>'Base GC'!AA39</f>
        <v>s/d</v>
      </c>
      <c r="W42" s="14" t="str">
        <f>'Base GC'!AB39</f>
        <v>s/d</v>
      </c>
      <c r="X42" s="14" t="str">
        <f>'Base GC'!AC39</f>
        <v>s/d</v>
      </c>
      <c r="Y42" s="4" t="str">
        <f>'Base GC'!AD39</f>
        <v>GASTO CORRIENTE</v>
      </c>
    </row>
    <row r="43" spans="1:25">
      <c r="A43" s="14">
        <f>SUBTOTAL(103,$B$6:B43)</f>
        <v>36</v>
      </c>
      <c r="B43" s="14">
        <v>14</v>
      </c>
      <c r="C43" s="4" t="s">
        <v>159</v>
      </c>
      <c r="D43" s="5">
        <f>'Base GC'!H40</f>
        <v>6861.0</v>
      </c>
      <c r="E43" s="5">
        <f>'Base GC'!I40</f>
        <v>6861.0</v>
      </c>
      <c r="F43" s="5">
        <f>D43-E43</f>
        <v>0.0</v>
      </c>
      <c r="G43" s="5">
        <f>'Base GC'!J40</f>
        <v>6861.0</v>
      </c>
      <c r="H43" s="5">
        <f>'Base GC'!K40</f>
        <v>6861.0</v>
      </c>
      <c r="I43" s="5">
        <f>D43-H43</f>
        <v>0.0</v>
      </c>
      <c r="J43" s="15">
        <f>IF(D43=0,0,H43/D43)</f>
        <v>1.0</v>
      </c>
      <c r="K43" s="4" t="str">
        <f>'Base GC'!Q40</f>
        <v>Ejecutado</v>
      </c>
      <c r="L43" s="14" t="str">
        <f>'Base GC'!R40</f>
        <v>No usar</v>
      </c>
      <c r="M43" s="5">
        <f>'Base GC'!M40</f>
        <v>0.0</v>
      </c>
      <c r="N43" s="5">
        <f>'Base GC'!S40</f>
        <v>0.0</v>
      </c>
      <c r="O43" s="5">
        <f>'Base GC'!T40</f>
        <v>0.0</v>
      </c>
      <c r="P43" s="5">
        <f>'Base GC'!U40</f>
        <v>6861.0</v>
      </c>
      <c r="Q43" s="5">
        <f>'Base GC'!V40</f>
        <v>0.0</v>
      </c>
      <c r="R43" s="5">
        <f>'Base GC'!W40</f>
        <v>0</v>
      </c>
      <c r="S43" s="14" t="str">
        <f>'Base GC'!X40</f>
        <v>s/d</v>
      </c>
      <c r="T43" s="14" t="str">
        <f>'Base GC'!Y40</f>
        <v>s/d</v>
      </c>
      <c r="U43" s="14" t="str">
        <f>'Base GC'!Z40</f>
        <v>s/d</v>
      </c>
      <c r="V43" s="14" t="str">
        <f>'Base GC'!AA40</f>
        <v>s/d</v>
      </c>
      <c r="W43" s="14" t="str">
        <f>'Base GC'!AB40</f>
        <v>s/d</v>
      </c>
      <c r="X43" s="14" t="str">
        <f>'Base GC'!AC40</f>
        <v>s/d</v>
      </c>
      <c r="Y43" s="4" t="str">
        <f>'Base GC'!AD40</f>
        <v>GASTO CORRIENTE</v>
      </c>
    </row>
    <row r="44" spans="1:25">
      <c r="A44" s="6" t="s">
        <v>160</v>
      </c>
      <c r="B44" s="6"/>
      <c r="C44" s="6"/>
      <c r="D44" s="7">
        <f>SUM(D45:D68)</f>
        <v>3494452.0</v>
      </c>
      <c r="E44" s="7">
        <f>SUM(E45:E68)</f>
        <v>2261872.3099999996</v>
      </c>
      <c r="F44" s="7">
        <f>D44-E44</f>
        <v>1232579.6900000004</v>
      </c>
      <c r="G44" s="7">
        <f>SUM(G45:G68)</f>
        <v>2039455.19</v>
      </c>
      <c r="H44" s="7">
        <f>SUM(H45:H68)</f>
        <v>1440842.1899999997</v>
      </c>
      <c r="I44" s="7">
        <f>D44-H44</f>
        <v>2053609.8100000003</v>
      </c>
      <c r="J44" s="13">
        <f>IF(D44=0,0,H44/D44)</f>
        <v>0.41232278766456076</v>
      </c>
      <c r="K44" s="6"/>
      <c r="L44" s="6"/>
      <c r="M44" s="7">
        <f>SUM(M45:M68)</f>
        <v>222417.12000000008</v>
      </c>
      <c r="N44" s="7">
        <f>SUM(N45:N68)</f>
        <v>1454996.81</v>
      </c>
      <c r="O44" s="7">
        <f>SUM(O45:O68)</f>
        <v>1496631.0</v>
      </c>
      <c r="P44" s="7">
        <f>SUM(P45:P68)</f>
        <v>1667131.0</v>
      </c>
      <c r="Q44" s="7">
        <f>SUM(Q45:Q68)</f>
        <v>670.0</v>
      </c>
      <c r="R44" s="7">
        <f>SUM(R45:R68)</f>
        <v>330020.0</v>
      </c>
      <c r="S44" s="7">
        <f>SUM(S45:S68)</f>
        <v>0.0</v>
      </c>
      <c r="T44" s="7">
        <f>SUM(T45:T68)</f>
        <v>0.0</v>
      </c>
      <c r="U44" s="7">
        <f>SUM(U45:U68)</f>
        <v>0.0</v>
      </c>
      <c r="V44" s="7">
        <f>SUM(V45:V68)</f>
        <v>0.0</v>
      </c>
      <c r="W44" s="7">
        <f>SUM(W45:W68)</f>
        <v>0.0</v>
      </c>
      <c r="X44" s="7">
        <f>SUM(X45:X68)</f>
        <v>0.0</v>
      </c>
      <c r="Y44" s="6"/>
    </row>
    <row r="45" spans="1:25">
      <c r="A45" s="14">
        <f>SUBTOTAL(103,$B$6:B45)</f>
        <v>37</v>
      </c>
      <c r="B45" s="14">
        <v>75</v>
      </c>
      <c r="C45" s="4" t="s">
        <v>163</v>
      </c>
      <c r="D45" s="5">
        <f>'Base GC'!H41</f>
        <v>1380688.0</v>
      </c>
      <c r="E45" s="5">
        <f>'Base GC'!I41</f>
        <v>1355769.92</v>
      </c>
      <c r="F45" s="5">
        <f>D45-E45</f>
        <v>24918.080000000075</v>
      </c>
      <c r="G45" s="5">
        <f>'Base GC'!J41</f>
        <v>1154820.3199999998</v>
      </c>
      <c r="H45" s="5">
        <f>'Base GC'!K41</f>
        <v>928988.4099999999</v>
      </c>
      <c r="I45" s="5">
        <f>D45-H45</f>
        <v>451699.5900000001</v>
      </c>
      <c r="J45" s="15">
        <f>IF(D45=0,0,H45/D45)</f>
        <v>0.6728445601033687</v>
      </c>
      <c r="K45" s="4" t="str">
        <f>'Base GC'!Q41</f>
        <v>Mayormente comprometido</v>
      </c>
      <c r="L45" s="14" t="str">
        <f>'Base GC'!R41</f>
        <v>Difícil</v>
      </c>
      <c r="M45" s="5">
        <f>'Base GC'!M41</f>
        <v>200949.6000000001</v>
      </c>
      <c r="N45" s="5">
        <f>'Base GC'!S41</f>
        <v>225867.68000000017</v>
      </c>
      <c r="O45" s="5">
        <f>'Base GC'!T41</f>
        <v>964264.0</v>
      </c>
      <c r="P45" s="5">
        <f>'Base GC'!U41</f>
        <v>415754.0</v>
      </c>
      <c r="Q45" s="5">
        <f>'Base GC'!V41</f>
        <v>670.0</v>
      </c>
      <c r="R45" s="5">
        <f>'Base GC'!W41</f>
        <v>0</v>
      </c>
      <c r="S45" s="14" t="str">
        <f>'Base GC'!X41</f>
        <v>s/d</v>
      </c>
      <c r="T45" s="14" t="str">
        <f>'Base GC'!Y41</f>
        <v>s/d</v>
      </c>
      <c r="U45" s="14" t="str">
        <f>'Base GC'!Z41</f>
        <v>s/d</v>
      </c>
      <c r="V45" s="14" t="str">
        <f>'Base GC'!AA41</f>
        <v>s/d</v>
      </c>
      <c r="W45" s="14" t="str">
        <f>'Base GC'!AB41</f>
        <v>s/d</v>
      </c>
      <c r="X45" s="14" t="str">
        <f>'Base GC'!AC41</f>
        <v>s/d</v>
      </c>
      <c r="Y45" s="4" t="str">
        <f>'Base GC'!AD41</f>
        <v>GASTO CORRIENTE</v>
      </c>
    </row>
    <row r="46" spans="1:25">
      <c r="A46" s="14">
        <f>SUBTOTAL(103,$B$6:B46)</f>
        <v>38</v>
      </c>
      <c r="B46" s="14">
        <v>451</v>
      </c>
      <c r="C46" s="4" t="s">
        <v>163</v>
      </c>
      <c r="D46" s="5">
        <f>'Base GC'!H42</f>
        <v>375920.0</v>
      </c>
      <c r="E46" s="5">
        <f>'Base GC'!I42</f>
        <v>164385.96</v>
      </c>
      <c r="F46" s="5">
        <f>D46-E46</f>
        <v>211534.04</v>
      </c>
      <c r="G46" s="5">
        <f>'Base GC'!J42</f>
        <v>150224.39</v>
      </c>
      <c r="H46" s="5">
        <f>'Base GC'!K42</f>
        <v>82704.39</v>
      </c>
      <c r="I46" s="5">
        <f>D46-H46</f>
        <v>293215.61</v>
      </c>
      <c r="J46" s="15">
        <f>IF(D46=0,0,H46/D46)</f>
        <v>0.22000529367950628</v>
      </c>
      <c r="K46" s="4" t="str">
        <f>'Base GC'!Q42</f>
        <v>Parcialmente comprometido</v>
      </c>
      <c r="L46" s="14" t="str">
        <f>'Base GC'!R42</f>
        <v>Parcial</v>
      </c>
      <c r="M46" s="5">
        <f>'Base GC'!M42</f>
        <v>14161.569999999978</v>
      </c>
      <c r="N46" s="5">
        <f>'Base GC'!S42</f>
        <v>225695.61</v>
      </c>
      <c r="O46" s="5">
        <f>'Base GC'!T42</f>
        <v>154800.0</v>
      </c>
      <c r="P46" s="5">
        <f>'Base GC'!U42</f>
        <v>206120.0</v>
      </c>
      <c r="Q46" s="5">
        <f>'Base GC'!V42</f>
        <v>0.0</v>
      </c>
      <c r="R46" s="5">
        <f>'Base GC'!W42</f>
        <v>15000.0</v>
      </c>
      <c r="S46" s="14" t="str">
        <f>'Base GC'!X42</f>
        <v>s/d</v>
      </c>
      <c r="T46" s="14" t="str">
        <f>'Base GC'!Y42</f>
        <v>s/d</v>
      </c>
      <c r="U46" s="14" t="str">
        <f>'Base GC'!Z42</f>
        <v>s/d</v>
      </c>
      <c r="V46" s="14" t="str">
        <f>'Base GC'!AA42</f>
        <v>s/d</v>
      </c>
      <c r="W46" s="14" t="str">
        <f>'Base GC'!AB42</f>
        <v>s/d</v>
      </c>
      <c r="X46" s="14" t="str">
        <f>'Base GC'!AC42</f>
        <v>s/d</v>
      </c>
      <c r="Y46" s="4" t="str">
        <f>'Base GC'!AD42</f>
        <v>GASTO CORRIENTE</v>
      </c>
    </row>
    <row r="47" spans="1:25">
      <c r="A47" s="14">
        <f>SUBTOTAL(103,$B$6:B47)</f>
        <v>39</v>
      </c>
      <c r="B47" s="14">
        <v>450</v>
      </c>
      <c r="C47" s="4" t="s">
        <v>163</v>
      </c>
      <c r="D47" s="5">
        <f>'Base GC'!H43</f>
        <v>342413.0</v>
      </c>
      <c r="E47" s="5">
        <f>'Base GC'!I43</f>
        <v>37700.0</v>
      </c>
      <c r="F47" s="5">
        <f>D47-E47</f>
        <v>304713.0</v>
      </c>
      <c r="G47" s="5">
        <f>'Base GC'!J43</f>
        <v>37700.0</v>
      </c>
      <c r="H47" s="5">
        <f>'Base GC'!K43</f>
        <v>11600.0</v>
      </c>
      <c r="I47" s="5">
        <f>D47-H47</f>
        <v>330813.0</v>
      </c>
      <c r="J47" s="15">
        <f>IF(D47=0,0,H47/D47)</f>
        <v>0.033877218446729536</v>
      </c>
      <c r="K47" s="4" t="str">
        <f>'Base GC'!Q43</f>
        <v>Parcialmente comprometido</v>
      </c>
      <c r="L47" s="14" t="str">
        <f>'Base GC'!R43</f>
        <v>Parcial</v>
      </c>
      <c r="M47" s="5">
        <f>'Base GC'!M43</f>
        <v>0.0</v>
      </c>
      <c r="N47" s="5">
        <f>'Base GC'!S43</f>
        <v>304713.0</v>
      </c>
      <c r="O47" s="5">
        <f>'Base GC'!T43</f>
        <v>0.0</v>
      </c>
      <c r="P47" s="5">
        <f>'Base GC'!U43</f>
        <v>71413.0</v>
      </c>
      <c r="Q47" s="5">
        <f>'Base GC'!V43</f>
        <v>0.0</v>
      </c>
      <c r="R47" s="5">
        <f>'Base GC'!W43</f>
        <v>271000.0</v>
      </c>
      <c r="S47" s="14" t="str">
        <f>'Base GC'!X43</f>
        <v>s/d</v>
      </c>
      <c r="T47" s="14" t="str">
        <f>'Base GC'!Y43</f>
        <v>s/d</v>
      </c>
      <c r="U47" s="14" t="str">
        <f>'Base GC'!Z43</f>
        <v>s/d</v>
      </c>
      <c r="V47" s="14" t="str">
        <f>'Base GC'!AA43</f>
        <v>s/d</v>
      </c>
      <c r="W47" s="14" t="str">
        <f>'Base GC'!AB43</f>
        <v>s/d</v>
      </c>
      <c r="X47" s="14" t="str">
        <f>'Base GC'!AC43</f>
        <v>s/d</v>
      </c>
      <c r="Y47" s="4" t="str">
        <f>'Base GC'!AD43</f>
        <v>GASTO CORRIENTE</v>
      </c>
    </row>
    <row r="48" spans="1:25">
      <c r="A48" s="14">
        <f>SUBTOTAL(103,$B$6:B48)</f>
        <v>40</v>
      </c>
      <c r="B48" s="14">
        <v>435</v>
      </c>
      <c r="C48" s="4" t="s">
        <v>169</v>
      </c>
      <c r="D48" s="5">
        <f>'Base GC'!H44</f>
        <v>214500.0</v>
      </c>
      <c r="E48" s="5">
        <f>'Base GC'!I44</f>
        <v>141630.0</v>
      </c>
      <c r="F48" s="5">
        <f>D48-E48</f>
        <v>72870.0</v>
      </c>
      <c r="G48" s="5">
        <f>'Base GC'!J44</f>
        <v>141630.0</v>
      </c>
      <c r="H48" s="5">
        <f>'Base GC'!K44</f>
        <v>85710.0</v>
      </c>
      <c r="I48" s="5">
        <f>D48-H48</f>
        <v>128790.0</v>
      </c>
      <c r="J48" s="15">
        <f>IF(D48=0,0,H48/D48)</f>
        <v>0.39958041958041957</v>
      </c>
      <c r="K48" s="4" t="str">
        <f>'Base GC'!Q44</f>
        <v>Mayormente comprometido</v>
      </c>
      <c r="L48" s="14" t="str">
        <f>'Base GC'!R44</f>
        <v>Difícil</v>
      </c>
      <c r="M48" s="5">
        <f>'Base GC'!M44</f>
        <v>0.0</v>
      </c>
      <c r="N48" s="5">
        <f>'Base GC'!S44</f>
        <v>72870.0</v>
      </c>
      <c r="O48" s="5">
        <f>'Base GC'!T44</f>
        <v>0.0</v>
      </c>
      <c r="P48" s="5">
        <f>'Base GC'!U44</f>
        <v>214500.0</v>
      </c>
      <c r="Q48" s="5">
        <f>'Base GC'!V44</f>
        <v>0.0</v>
      </c>
      <c r="R48" s="5">
        <f>'Base GC'!W44</f>
        <v>0</v>
      </c>
      <c r="S48" s="14" t="str">
        <f>'Base GC'!X44</f>
        <v>s/d</v>
      </c>
      <c r="T48" s="14" t="str">
        <f>'Base GC'!Y44</f>
        <v>s/d</v>
      </c>
      <c r="U48" s="14" t="str">
        <f>'Base GC'!Z44</f>
        <v>s/d</v>
      </c>
      <c r="V48" s="14" t="str">
        <f>'Base GC'!AA44</f>
        <v>s/d</v>
      </c>
      <c r="W48" s="14" t="str">
        <f>'Base GC'!AB44</f>
        <v>s/d</v>
      </c>
      <c r="X48" s="14" t="str">
        <f>'Base GC'!AC44</f>
        <v>s/d</v>
      </c>
      <c r="Y48" s="4" t="str">
        <f>'Base GC'!AD44</f>
        <v>GASTO CORRIENTE</v>
      </c>
    </row>
    <row r="49" spans="1:25">
      <c r="A49" s="14">
        <f>SUBTOTAL(103,$B$6:B49)</f>
        <v>41</v>
      </c>
      <c r="B49" s="14">
        <v>438</v>
      </c>
      <c r="C49" s="4" t="s">
        <v>172</v>
      </c>
      <c r="D49" s="5">
        <f>'Base GC'!H45</f>
        <v>181963.0</v>
      </c>
      <c r="E49" s="5">
        <f>'Base GC'!I45</f>
        <v>37586.0</v>
      </c>
      <c r="F49" s="5">
        <f>D49-E49</f>
        <v>144377.0</v>
      </c>
      <c r="G49" s="5">
        <f>'Base GC'!J45</f>
        <v>37586.0</v>
      </c>
      <c r="H49" s="5">
        <f>'Base GC'!K45</f>
        <v>27386.0</v>
      </c>
      <c r="I49" s="5">
        <f>D49-H49</f>
        <v>154577.0</v>
      </c>
      <c r="J49" s="15">
        <f>IF(D49=0,0,H49/D49)</f>
        <v>0.1505031242615257</v>
      </c>
      <c r="K49" s="4" t="str">
        <f>'Base GC'!Q45</f>
        <v>Parcialmente comprometido</v>
      </c>
      <c r="L49" s="14" t="str">
        <f>'Base GC'!R45</f>
        <v>Parcial</v>
      </c>
      <c r="M49" s="5">
        <f>'Base GC'!M45</f>
        <v>0.0</v>
      </c>
      <c r="N49" s="5">
        <f>'Base GC'!S45</f>
        <v>144377.0</v>
      </c>
      <c r="O49" s="5">
        <f>'Base GC'!T45</f>
        <v>71191.0</v>
      </c>
      <c r="P49" s="5">
        <f>'Base GC'!U45</f>
        <v>84372.0</v>
      </c>
      <c r="Q49" s="5">
        <f>'Base GC'!V45</f>
        <v>0.0</v>
      </c>
      <c r="R49" s="5">
        <f>'Base GC'!W45</f>
        <v>26400.0</v>
      </c>
      <c r="S49" s="14" t="str">
        <f>'Base GC'!X45</f>
        <v>s/d</v>
      </c>
      <c r="T49" s="14" t="str">
        <f>'Base GC'!Y45</f>
        <v>s/d</v>
      </c>
      <c r="U49" s="14" t="str">
        <f>'Base GC'!Z45</f>
        <v>s/d</v>
      </c>
      <c r="V49" s="14" t="str">
        <f>'Base GC'!AA45</f>
        <v>s/d</v>
      </c>
      <c r="W49" s="14" t="str">
        <f>'Base GC'!AB45</f>
        <v>s/d</v>
      </c>
      <c r="X49" s="14" t="str">
        <f>'Base GC'!AC45</f>
        <v>s/d</v>
      </c>
      <c r="Y49" s="4" t="str">
        <f>'Base GC'!AD45</f>
        <v>GASTO CORRIENTE</v>
      </c>
    </row>
    <row r="50" spans="1:25">
      <c r="A50" s="14">
        <f>SUBTOTAL(103,$B$6:B50)</f>
        <v>42</v>
      </c>
      <c r="B50" s="14">
        <v>452</v>
      </c>
      <c r="C50" s="4" t="s">
        <v>176</v>
      </c>
      <c r="D50" s="5">
        <f>'Base GC'!H46</f>
        <v>168357.0</v>
      </c>
      <c r="E50" s="5">
        <f>'Base GC'!I46</f>
        <v>56500.0</v>
      </c>
      <c r="F50" s="5">
        <f>D50-E50</f>
        <v>111857.0</v>
      </c>
      <c r="G50" s="5">
        <f>'Base GC'!J46</f>
        <v>56500.0</v>
      </c>
      <c r="H50" s="5">
        <f>'Base GC'!K46</f>
        <v>56500.0</v>
      </c>
      <c r="I50" s="5">
        <f>D50-H50</f>
        <v>111857.0</v>
      </c>
      <c r="J50" s="15">
        <f>IF(D50=0,0,H50/D50)</f>
        <v>0.3355963814988388</v>
      </c>
      <c r="K50" s="4" t="str">
        <f>'Base GC'!Q46</f>
        <v>Parcialmente comprometido</v>
      </c>
      <c r="L50" s="14" t="str">
        <f>'Base GC'!R46</f>
        <v>Parcial</v>
      </c>
      <c r="M50" s="5">
        <f>'Base GC'!M46</f>
        <v>0.0</v>
      </c>
      <c r="N50" s="5">
        <f>'Base GC'!S46</f>
        <v>111857.0</v>
      </c>
      <c r="O50" s="5">
        <f>'Base GC'!T46</f>
        <v>0.0</v>
      </c>
      <c r="P50" s="5">
        <f>'Base GC'!U46</f>
        <v>168357.0</v>
      </c>
      <c r="Q50" s="5">
        <f>'Base GC'!V46</f>
        <v>0.0</v>
      </c>
      <c r="R50" s="5">
        <f>'Base GC'!W46</f>
        <v>0</v>
      </c>
      <c r="S50" s="14" t="str">
        <f>'Base GC'!X46</f>
        <v>s/d</v>
      </c>
      <c r="T50" s="14" t="str">
        <f>'Base GC'!Y46</f>
        <v>s/d</v>
      </c>
      <c r="U50" s="14" t="str">
        <f>'Base GC'!Z46</f>
        <v>s/d</v>
      </c>
      <c r="V50" s="14" t="str">
        <f>'Base GC'!AA46</f>
        <v>s/d</v>
      </c>
      <c r="W50" s="14" t="str">
        <f>'Base GC'!AB46</f>
        <v>s/d</v>
      </c>
      <c r="X50" s="14" t="str">
        <f>'Base GC'!AC46</f>
        <v>s/d</v>
      </c>
      <c r="Y50" s="4" t="str">
        <f>'Base GC'!AD46</f>
        <v>GASTO CORRIENTE</v>
      </c>
    </row>
    <row r="51" spans="1:25">
      <c r="A51" s="14">
        <f>SUBTOTAL(103,$B$6:B51)</f>
        <v>43</v>
      </c>
      <c r="B51" s="14">
        <v>84</v>
      </c>
      <c r="C51" s="4" t="s">
        <v>176</v>
      </c>
      <c r="D51" s="5">
        <f>'Base GC'!H47</f>
        <v>103873.0</v>
      </c>
      <c r="E51" s="5">
        <f>'Base GC'!I47</f>
        <v>98503.0</v>
      </c>
      <c r="F51" s="5">
        <f>D51-E51</f>
        <v>5370.0</v>
      </c>
      <c r="G51" s="5">
        <f>'Base GC'!J47</f>
        <v>98503.0</v>
      </c>
      <c r="H51" s="5">
        <f>'Base GC'!K47</f>
        <v>65331.27</v>
      </c>
      <c r="I51" s="5">
        <f>D51-H51</f>
        <v>38541.73</v>
      </c>
      <c r="J51" s="15">
        <f>IF(D51=0,0,H51/D51)</f>
        <v>0.6289533372483705</v>
      </c>
      <c r="K51" s="4" t="str">
        <f>'Base GC'!Q47</f>
        <v>Mayormente comprometido</v>
      </c>
      <c r="L51" s="14" t="str">
        <f>'Base GC'!R47</f>
        <v>Difícil</v>
      </c>
      <c r="M51" s="5">
        <f>'Base GC'!M47</f>
        <v>0.0</v>
      </c>
      <c r="N51" s="5">
        <f>'Base GC'!S47</f>
        <v>5370.0</v>
      </c>
      <c r="O51" s="5">
        <f>'Base GC'!T47</f>
        <v>85873.0</v>
      </c>
      <c r="P51" s="5">
        <f>'Base GC'!U47</f>
        <v>18000.0</v>
      </c>
      <c r="Q51" s="5">
        <f>'Base GC'!V47</f>
        <v>0.0</v>
      </c>
      <c r="R51" s="5">
        <f>'Base GC'!W47</f>
        <v>0</v>
      </c>
      <c r="S51" s="14" t="str">
        <f>'Base GC'!X47</f>
        <v>s/d</v>
      </c>
      <c r="T51" s="14" t="str">
        <f>'Base GC'!Y47</f>
        <v>s/d</v>
      </c>
      <c r="U51" s="14" t="str">
        <f>'Base GC'!Z47</f>
        <v>s/d</v>
      </c>
      <c r="V51" s="14" t="str">
        <f>'Base GC'!AA47</f>
        <v>s/d</v>
      </c>
      <c r="W51" s="14" t="str">
        <f>'Base GC'!AB47</f>
        <v>s/d</v>
      </c>
      <c r="X51" s="14" t="str">
        <f>'Base GC'!AC47</f>
        <v>s/d</v>
      </c>
      <c r="Y51" s="4" t="str">
        <f>'Base GC'!AD47</f>
        <v>GASTO CORRIENTE</v>
      </c>
    </row>
    <row r="52" spans="1:25">
      <c r="A52" s="14">
        <f>SUBTOTAL(103,$B$6:B52)</f>
        <v>44</v>
      </c>
      <c r="B52" s="14">
        <v>78</v>
      </c>
      <c r="C52" s="4" t="s">
        <v>172</v>
      </c>
      <c r="D52" s="5">
        <f>'Base GC'!H48</f>
        <v>96920.0</v>
      </c>
      <c r="E52" s="5">
        <f>'Base GC'!I48</f>
        <v>93005.68</v>
      </c>
      <c r="F52" s="5">
        <f>D52-E52</f>
        <v>3914.320000000007</v>
      </c>
      <c r="G52" s="5">
        <f>'Base GC'!J48</f>
        <v>92684.06999999999</v>
      </c>
      <c r="H52" s="5">
        <f>'Base GC'!K48</f>
        <v>28863.579999999998</v>
      </c>
      <c r="I52" s="5">
        <f>D52-H52</f>
        <v>68056.42</v>
      </c>
      <c r="J52" s="15">
        <f>IF(D52=0,0,H52/D52)</f>
        <v>0.2978082955014445</v>
      </c>
      <c r="K52" s="4" t="str">
        <f>'Base GC'!Q48</f>
        <v>Mayormente comprometido</v>
      </c>
      <c r="L52" s="14" t="str">
        <f>'Base GC'!R48</f>
        <v>Difícil</v>
      </c>
      <c r="M52" s="5">
        <f>'Base GC'!M48</f>
        <v>321.6100000000006</v>
      </c>
      <c r="N52" s="5">
        <f>'Base GC'!S48</f>
        <v>4235.930000000008</v>
      </c>
      <c r="O52" s="5">
        <f>'Base GC'!T48</f>
        <v>90840.0</v>
      </c>
      <c r="P52" s="5">
        <f>'Base GC'!U48</f>
        <v>6080.0</v>
      </c>
      <c r="Q52" s="5">
        <f>'Base GC'!V48</f>
        <v>0.0</v>
      </c>
      <c r="R52" s="5">
        <f>'Base GC'!W48</f>
        <v>0</v>
      </c>
      <c r="S52" s="14" t="str">
        <f>'Base GC'!X48</f>
        <v>s/d</v>
      </c>
      <c r="T52" s="14" t="str">
        <f>'Base GC'!Y48</f>
        <v>s/d</v>
      </c>
      <c r="U52" s="14" t="str">
        <f>'Base GC'!Z48</f>
        <v>s/d</v>
      </c>
      <c r="V52" s="14" t="str">
        <f>'Base GC'!AA48</f>
        <v>s/d</v>
      </c>
      <c r="W52" s="14" t="str">
        <f>'Base GC'!AB48</f>
        <v>s/d</v>
      </c>
      <c r="X52" s="14" t="str">
        <f>'Base GC'!AC48</f>
        <v>s/d</v>
      </c>
      <c r="Y52" s="4" t="str">
        <f>'Base GC'!AD48</f>
        <v>GASTO CORRIENTE</v>
      </c>
    </row>
    <row r="53" spans="1:25">
      <c r="A53" s="14">
        <f>SUBTOTAL(103,$B$6:B53)</f>
        <v>45</v>
      </c>
      <c r="B53" s="14">
        <v>442</v>
      </c>
      <c r="C53" s="4" t="s">
        <v>172</v>
      </c>
      <c r="D53" s="5">
        <f>'Base GC'!H49</f>
        <v>85775.0</v>
      </c>
      <c r="E53" s="5">
        <f>'Base GC'!I49</f>
        <v>26733.45</v>
      </c>
      <c r="F53" s="5">
        <f>D53-E53</f>
        <v>59041.55</v>
      </c>
      <c r="G53" s="5">
        <f>'Base GC'!J49</f>
        <v>26733.45</v>
      </c>
      <c r="H53" s="5">
        <f>'Base GC'!K49</f>
        <v>14233.45</v>
      </c>
      <c r="I53" s="5">
        <f>D53-H53</f>
        <v>71541.55</v>
      </c>
      <c r="J53" s="15">
        <f>IF(D53=0,0,H53/D53)</f>
        <v>0.16593937627513844</v>
      </c>
      <c r="K53" s="4" t="str">
        <f>'Base GC'!Q49</f>
        <v>Parcialmente comprometido</v>
      </c>
      <c r="L53" s="14" t="str">
        <f>'Base GC'!R49</f>
        <v>Parcial</v>
      </c>
      <c r="M53" s="5">
        <f>'Base GC'!M49</f>
        <v>0.0</v>
      </c>
      <c r="N53" s="5">
        <f>'Base GC'!S49</f>
        <v>59041.55</v>
      </c>
      <c r="O53" s="5">
        <f>'Base GC'!T49</f>
        <v>39568.0</v>
      </c>
      <c r="P53" s="5">
        <f>'Base GC'!U49</f>
        <v>46207.0</v>
      </c>
      <c r="Q53" s="5">
        <f>'Base GC'!V49</f>
        <v>0.0</v>
      </c>
      <c r="R53" s="5">
        <f>'Base GC'!W49</f>
        <v>0</v>
      </c>
      <c r="S53" s="14" t="str">
        <f>'Base GC'!X49</f>
        <v>s/d</v>
      </c>
      <c r="T53" s="14" t="str">
        <f>'Base GC'!Y49</f>
        <v>s/d</v>
      </c>
      <c r="U53" s="14" t="str">
        <f>'Base GC'!Z49</f>
        <v>s/d</v>
      </c>
      <c r="V53" s="14" t="str">
        <f>'Base GC'!AA49</f>
        <v>s/d</v>
      </c>
      <c r="W53" s="14" t="str">
        <f>'Base GC'!AB49</f>
        <v>s/d</v>
      </c>
      <c r="X53" s="14" t="str">
        <f>'Base GC'!AC49</f>
        <v>s/d</v>
      </c>
      <c r="Y53" s="4" t="str">
        <f>'Base GC'!AD49</f>
        <v>GASTO CORRIENTE</v>
      </c>
    </row>
    <row r="54" spans="1:25">
      <c r="A54" s="14">
        <f>SUBTOTAL(103,$B$6:B54)</f>
        <v>46</v>
      </c>
      <c r="B54" s="14">
        <v>79</v>
      </c>
      <c r="C54" s="4" t="s">
        <v>182</v>
      </c>
      <c r="D54" s="5">
        <f>'Base GC'!H50</f>
        <v>83852.0</v>
      </c>
      <c r="E54" s="5">
        <f>'Base GC'!I50</f>
        <v>67041.0</v>
      </c>
      <c r="F54" s="5">
        <f>D54-E54</f>
        <v>16811.0</v>
      </c>
      <c r="G54" s="5">
        <f>'Base GC'!J50</f>
        <v>65651.53</v>
      </c>
      <c r="H54" s="5">
        <f>'Base GC'!K50</f>
        <v>54395.66</v>
      </c>
      <c r="I54" s="5">
        <f>D54-H54</f>
        <v>29456.339999999997</v>
      </c>
      <c r="J54" s="15">
        <f>IF(D54=0,0,H54/D54)</f>
        <v>0.6487103468015074</v>
      </c>
      <c r="K54" s="4" t="str">
        <f>'Base GC'!Q50</f>
        <v>Mayormente comprometido</v>
      </c>
      <c r="L54" s="14" t="str">
        <f>'Base GC'!R50</f>
        <v>Difícil</v>
      </c>
      <c r="M54" s="5">
        <f>'Base GC'!M50</f>
        <v>1389.4700000000012</v>
      </c>
      <c r="N54" s="5">
        <f>'Base GC'!S50</f>
        <v>18200.47</v>
      </c>
      <c r="O54" s="5">
        <f>'Base GC'!T50</f>
        <v>28908.0</v>
      </c>
      <c r="P54" s="5">
        <f>'Base GC'!U50</f>
        <v>54944.0</v>
      </c>
      <c r="Q54" s="5">
        <f>'Base GC'!V50</f>
        <v>0.0</v>
      </c>
      <c r="R54" s="5">
        <f>'Base GC'!W50</f>
        <v>0</v>
      </c>
      <c r="S54" s="14" t="str">
        <f>'Base GC'!X50</f>
        <v>s/d</v>
      </c>
      <c r="T54" s="14" t="str">
        <f>'Base GC'!Y50</f>
        <v>s/d</v>
      </c>
      <c r="U54" s="14" t="str">
        <f>'Base GC'!Z50</f>
        <v>s/d</v>
      </c>
      <c r="V54" s="14" t="str">
        <f>'Base GC'!AA50</f>
        <v>s/d</v>
      </c>
      <c r="W54" s="14" t="str">
        <f>'Base GC'!AB50</f>
        <v>s/d</v>
      </c>
      <c r="X54" s="14" t="str">
        <f>'Base GC'!AC50</f>
        <v>s/d</v>
      </c>
      <c r="Y54" s="4" t="str">
        <f>'Base GC'!AD50</f>
        <v>GASTO CORRIENTE</v>
      </c>
    </row>
    <row r="55" spans="1:25">
      <c r="A55" s="14">
        <f>SUBTOTAL(103,$B$6:B55)</f>
        <v>47</v>
      </c>
      <c r="B55" s="14">
        <v>444</v>
      </c>
      <c r="C55" s="4" t="s">
        <v>182</v>
      </c>
      <c r="D55" s="5">
        <f>'Base GC'!H51</f>
        <v>66358.0</v>
      </c>
      <c r="E55" s="5">
        <f>'Base GC'!I51</f>
        <v>53720.8</v>
      </c>
      <c r="F55" s="5">
        <f>D55-E55</f>
        <v>12637.199999999997</v>
      </c>
      <c r="G55" s="5">
        <f>'Base GC'!J51</f>
        <v>50720.8</v>
      </c>
      <c r="H55" s="5">
        <f>'Base GC'!K51</f>
        <v>25002.8</v>
      </c>
      <c r="I55" s="5">
        <f>D55-H55</f>
        <v>41355.2</v>
      </c>
      <c r="J55" s="15">
        <f>IF(D55=0,0,H55/D55)</f>
        <v>0.37678652159498477</v>
      </c>
      <c r="K55" s="4" t="str">
        <f>'Base GC'!Q51</f>
        <v>Mayormente comprometido</v>
      </c>
      <c r="L55" s="14" t="str">
        <f>'Base GC'!R51</f>
        <v>Difícil</v>
      </c>
      <c r="M55" s="5">
        <f>'Base GC'!M51</f>
        <v>3000.0</v>
      </c>
      <c r="N55" s="5">
        <f>'Base GC'!S51</f>
        <v>15637.199999999997</v>
      </c>
      <c r="O55" s="5">
        <f>'Base GC'!T51</f>
        <v>0.0</v>
      </c>
      <c r="P55" s="5">
        <f>'Base GC'!U51</f>
        <v>65958.0</v>
      </c>
      <c r="Q55" s="5">
        <f>'Base GC'!V51</f>
        <v>0.0</v>
      </c>
      <c r="R55" s="5">
        <f>'Base GC'!W51</f>
        <v>400.0</v>
      </c>
      <c r="S55" s="14" t="str">
        <f>'Base GC'!X51</f>
        <v>s/d</v>
      </c>
      <c r="T55" s="14" t="str">
        <f>'Base GC'!Y51</f>
        <v>s/d</v>
      </c>
      <c r="U55" s="14" t="str">
        <f>'Base GC'!Z51</f>
        <v>s/d</v>
      </c>
      <c r="V55" s="14" t="str">
        <f>'Base GC'!AA51</f>
        <v>s/d</v>
      </c>
      <c r="W55" s="14" t="str">
        <f>'Base GC'!AB51</f>
        <v>s/d</v>
      </c>
      <c r="X55" s="14" t="str">
        <f>'Base GC'!AC51</f>
        <v>s/d</v>
      </c>
      <c r="Y55" s="4" t="str">
        <f>'Base GC'!AD51</f>
        <v>GASTO CORRIENTE</v>
      </c>
    </row>
    <row r="56" spans="1:25">
      <c r="A56" s="14">
        <f>SUBTOTAL(103,$B$6:B56)</f>
        <v>48</v>
      </c>
      <c r="B56" s="14">
        <v>206</v>
      </c>
      <c r="C56" s="4" t="s">
        <v>185</v>
      </c>
      <c r="D56" s="5">
        <f>'Base GC'!H52</f>
        <v>65000.0</v>
      </c>
      <c r="E56" s="5">
        <f>'Base GC'!I52</f>
        <v>12930.0</v>
      </c>
      <c r="F56" s="5">
        <f>D56-E56</f>
        <v>52070.0</v>
      </c>
      <c r="G56" s="5">
        <f>'Base GC'!J52</f>
        <v>12930.0</v>
      </c>
      <c r="H56" s="5">
        <f>'Base GC'!K52</f>
        <v>1450.0</v>
      </c>
      <c r="I56" s="5">
        <f>D56-H56</f>
        <v>63550.0</v>
      </c>
      <c r="J56" s="15">
        <f>IF(D56=0,0,H56/D56)</f>
        <v>0.022307692307692306</v>
      </c>
      <c r="K56" s="4" t="str">
        <f>'Base GC'!Q52</f>
        <v>Parcialmente comprometido</v>
      </c>
      <c r="L56" s="14" t="str">
        <f>'Base GC'!R52</f>
        <v>Parcial</v>
      </c>
      <c r="M56" s="5">
        <f>'Base GC'!M52</f>
        <v>0.0</v>
      </c>
      <c r="N56" s="5">
        <f>'Base GC'!S52</f>
        <v>52070.0</v>
      </c>
      <c r="O56" s="5">
        <f>'Base GC'!T52</f>
        <v>0.0</v>
      </c>
      <c r="P56" s="5">
        <f>'Base GC'!U52</f>
        <v>65000.0</v>
      </c>
      <c r="Q56" s="5">
        <f>'Base GC'!V52</f>
        <v>0.0</v>
      </c>
      <c r="R56" s="5">
        <f>'Base GC'!W52</f>
        <v>0</v>
      </c>
      <c r="S56" s="14" t="str">
        <f>'Base GC'!X52</f>
        <v>s/d</v>
      </c>
      <c r="T56" s="14" t="str">
        <f>'Base GC'!Y52</f>
        <v>s/d</v>
      </c>
      <c r="U56" s="14" t="str">
        <f>'Base GC'!Z52</f>
        <v>s/d</v>
      </c>
      <c r="V56" s="14" t="str">
        <f>'Base GC'!AA52</f>
        <v>s/d</v>
      </c>
      <c r="W56" s="14" t="str">
        <f>'Base GC'!AB52</f>
        <v>s/d</v>
      </c>
      <c r="X56" s="14" t="str">
        <f>'Base GC'!AC52</f>
        <v>s/d</v>
      </c>
      <c r="Y56" s="4" t="str">
        <f>'Base GC'!AD52</f>
        <v>GASTO CORRIENTE</v>
      </c>
    </row>
    <row r="57" spans="1:25">
      <c r="A57" s="14">
        <f>SUBTOTAL(103,$B$6:B57)</f>
        <v>49</v>
      </c>
      <c r="B57" s="14">
        <v>443</v>
      </c>
      <c r="C57" s="4" t="s">
        <v>182</v>
      </c>
      <c r="D57" s="5">
        <f>'Base GC'!H53</f>
        <v>64576.0</v>
      </c>
      <c r="E57" s="5">
        <f>'Base GC'!I53</f>
        <v>21950.0</v>
      </c>
      <c r="F57" s="5">
        <f>D57-E57</f>
        <v>42626.0</v>
      </c>
      <c r="G57" s="5">
        <f>'Base GC'!J53</f>
        <v>21950.0</v>
      </c>
      <c r="H57" s="5">
        <f>'Base GC'!K53</f>
        <v>12600.0</v>
      </c>
      <c r="I57" s="5">
        <f>D57-H57</f>
        <v>51976.0</v>
      </c>
      <c r="J57" s="15">
        <f>IF(D57=0,0,H57/D57)</f>
        <v>0.1951189296333003</v>
      </c>
      <c r="K57" s="4" t="str">
        <f>'Base GC'!Q53</f>
        <v>Parcialmente comprometido</v>
      </c>
      <c r="L57" s="14" t="str">
        <f>'Base GC'!R53</f>
        <v>Parcial</v>
      </c>
      <c r="M57" s="5">
        <f>'Base GC'!M53</f>
        <v>0.0</v>
      </c>
      <c r="N57" s="5">
        <f>'Base GC'!S53</f>
        <v>42626.0</v>
      </c>
      <c r="O57" s="5">
        <f>'Base GC'!T53</f>
        <v>0.0</v>
      </c>
      <c r="P57" s="5">
        <f>'Base GC'!U53</f>
        <v>49496.0</v>
      </c>
      <c r="Q57" s="5">
        <f>'Base GC'!V53</f>
        <v>0.0</v>
      </c>
      <c r="R57" s="5">
        <f>'Base GC'!W53</f>
        <v>15080.0</v>
      </c>
      <c r="S57" s="14" t="str">
        <f>'Base GC'!X53</f>
        <v>s/d</v>
      </c>
      <c r="T57" s="14" t="str">
        <f>'Base GC'!Y53</f>
        <v>s/d</v>
      </c>
      <c r="U57" s="14" t="str">
        <f>'Base GC'!Z53</f>
        <v>s/d</v>
      </c>
      <c r="V57" s="14" t="str">
        <f>'Base GC'!AA53</f>
        <v>s/d</v>
      </c>
      <c r="W57" s="14" t="str">
        <f>'Base GC'!AB53</f>
        <v>s/d</v>
      </c>
      <c r="X57" s="14" t="str">
        <f>'Base GC'!AC53</f>
        <v>s/d</v>
      </c>
      <c r="Y57" s="4" t="str">
        <f>'Base GC'!AD53</f>
        <v>GASTO CORRIENTE</v>
      </c>
    </row>
    <row r="58" spans="1:25">
      <c r="A58" s="14">
        <f>SUBTOTAL(103,$B$6:B58)</f>
        <v>50</v>
      </c>
      <c r="B58" s="14">
        <v>441</v>
      </c>
      <c r="C58" s="4" t="s">
        <v>172</v>
      </c>
      <c r="D58" s="5">
        <f>'Base GC'!H54</f>
        <v>50829.0</v>
      </c>
      <c r="E58" s="5">
        <f>'Base GC'!I54</f>
        <v>21350.0</v>
      </c>
      <c r="F58" s="5">
        <f>D58-E58</f>
        <v>29479.0</v>
      </c>
      <c r="G58" s="5">
        <f>'Base GC'!J54</f>
        <v>21350.0</v>
      </c>
      <c r="H58" s="5">
        <f>'Base GC'!K54</f>
        <v>9000.0</v>
      </c>
      <c r="I58" s="5">
        <f>D58-H58</f>
        <v>41829.0</v>
      </c>
      <c r="J58" s="15">
        <f>IF(D58=0,0,H58/D58)</f>
        <v>0.17706427433158237</v>
      </c>
      <c r="K58" s="4" t="str">
        <f>'Base GC'!Q54</f>
        <v>Parcialmente comprometido</v>
      </c>
      <c r="L58" s="14" t="str">
        <f>'Base GC'!R54</f>
        <v>Parcial</v>
      </c>
      <c r="M58" s="5">
        <f>'Base GC'!M54</f>
        <v>0.0</v>
      </c>
      <c r="N58" s="5">
        <f>'Base GC'!S54</f>
        <v>29479.0</v>
      </c>
      <c r="O58" s="5">
        <f>'Base GC'!T54</f>
        <v>18149.0</v>
      </c>
      <c r="P58" s="5">
        <f>'Base GC'!U54</f>
        <v>32680.0</v>
      </c>
      <c r="Q58" s="5">
        <f>'Base GC'!V54</f>
        <v>0.0</v>
      </c>
      <c r="R58" s="5">
        <f>'Base GC'!W54</f>
        <v>0</v>
      </c>
      <c r="S58" s="14" t="str">
        <f>'Base GC'!X54</f>
        <v>s/d</v>
      </c>
      <c r="T58" s="14" t="str">
        <f>'Base GC'!Y54</f>
        <v>s/d</v>
      </c>
      <c r="U58" s="14" t="str">
        <f>'Base GC'!Z54</f>
        <v>s/d</v>
      </c>
      <c r="V58" s="14" t="str">
        <f>'Base GC'!AA54</f>
        <v>s/d</v>
      </c>
      <c r="W58" s="14" t="str">
        <f>'Base GC'!AB54</f>
        <v>s/d</v>
      </c>
      <c r="X58" s="14" t="str">
        <f>'Base GC'!AC54</f>
        <v>s/d</v>
      </c>
      <c r="Y58" s="4" t="str">
        <f>'Base GC'!AD54</f>
        <v>GASTO CORRIENTE</v>
      </c>
    </row>
    <row r="59" spans="1:25">
      <c r="A59" s="14">
        <f>SUBTOTAL(103,$B$6:B59)</f>
        <v>51</v>
      </c>
      <c r="B59" s="14">
        <v>446</v>
      </c>
      <c r="C59" s="4" t="s">
        <v>190</v>
      </c>
      <c r="D59" s="5">
        <f>'Base GC'!H55</f>
        <v>49477.0</v>
      </c>
      <c r="E59" s="5">
        <f>'Base GC'!I55</f>
        <v>22542.0</v>
      </c>
      <c r="F59" s="5">
        <f>D59-E59</f>
        <v>26935.0</v>
      </c>
      <c r="G59" s="5">
        <f>'Base GC'!J55</f>
        <v>22542.0</v>
      </c>
      <c r="H59" s="5">
        <f>'Base GC'!K55</f>
        <v>7417.0</v>
      </c>
      <c r="I59" s="5">
        <f>D59-H59</f>
        <v>42060.0</v>
      </c>
      <c r="J59" s="15">
        <f>IF(D59=0,0,H59/D59)</f>
        <v>0.149908038078299</v>
      </c>
      <c r="K59" s="4" t="str">
        <f>'Base GC'!Q55</f>
        <v>Parcialmente comprometido</v>
      </c>
      <c r="L59" s="14" t="str">
        <f>'Base GC'!R55</f>
        <v>Parcial</v>
      </c>
      <c r="M59" s="5">
        <f>'Base GC'!M55</f>
        <v>0.0</v>
      </c>
      <c r="N59" s="5">
        <f>'Base GC'!S55</f>
        <v>26935.0</v>
      </c>
      <c r="O59" s="5">
        <f>'Base GC'!T55</f>
        <v>0.0</v>
      </c>
      <c r="P59" s="5">
        <f>'Base GC'!U55</f>
        <v>49077.0</v>
      </c>
      <c r="Q59" s="5">
        <f>'Base GC'!V55</f>
        <v>0.0</v>
      </c>
      <c r="R59" s="5">
        <f>'Base GC'!W55</f>
        <v>400.0</v>
      </c>
      <c r="S59" s="14" t="str">
        <f>'Base GC'!X55</f>
        <v>s/d</v>
      </c>
      <c r="T59" s="14" t="str">
        <f>'Base GC'!Y55</f>
        <v>s/d</v>
      </c>
      <c r="U59" s="14" t="str">
        <f>'Base GC'!Z55</f>
        <v>s/d</v>
      </c>
      <c r="V59" s="14" t="str">
        <f>'Base GC'!AA55</f>
        <v>s/d</v>
      </c>
      <c r="W59" s="14" t="str">
        <f>'Base GC'!AB55</f>
        <v>s/d</v>
      </c>
      <c r="X59" s="14" t="str">
        <f>'Base GC'!AC55</f>
        <v>s/d</v>
      </c>
      <c r="Y59" s="4" t="str">
        <f>'Base GC'!AD55</f>
        <v>GASTO CORRIENTE</v>
      </c>
    </row>
    <row r="60" spans="1:25">
      <c r="A60" s="14">
        <f>SUBTOTAL(103,$B$6:B60)</f>
        <v>52</v>
      </c>
      <c r="B60" s="14">
        <v>445</v>
      </c>
      <c r="C60" s="4" t="s">
        <v>190</v>
      </c>
      <c r="D60" s="5">
        <f>'Base GC'!H56</f>
        <v>44714.0</v>
      </c>
      <c r="E60" s="5">
        <f>'Base GC'!I56</f>
        <v>5450.0</v>
      </c>
      <c r="F60" s="5">
        <f>D60-E60</f>
        <v>39264.0</v>
      </c>
      <c r="G60" s="5">
        <f>'Base GC'!J56</f>
        <v>5450.0</v>
      </c>
      <c r="H60" s="5">
        <f>'Base GC'!K56</f>
        <v>5450.0</v>
      </c>
      <c r="I60" s="5">
        <f>D60-H60</f>
        <v>39264.0</v>
      </c>
      <c r="J60" s="15">
        <f>IF(D60=0,0,H60/D60)</f>
        <v>0.1218857628483249</v>
      </c>
      <c r="K60" s="4" t="str">
        <f>'Base GC'!Q56</f>
        <v>Parcialmente comprometido</v>
      </c>
      <c r="L60" s="14" t="str">
        <f>'Base GC'!R56</f>
        <v>Parcial</v>
      </c>
      <c r="M60" s="5">
        <f>'Base GC'!M56</f>
        <v>0.0</v>
      </c>
      <c r="N60" s="5">
        <f>'Base GC'!S56</f>
        <v>39264.0</v>
      </c>
      <c r="O60" s="5">
        <f>'Base GC'!T56</f>
        <v>20656.0</v>
      </c>
      <c r="P60" s="5">
        <f>'Base GC'!U56</f>
        <v>22318.0</v>
      </c>
      <c r="Q60" s="5">
        <f>'Base GC'!V56</f>
        <v>0.0</v>
      </c>
      <c r="R60" s="5">
        <f>'Base GC'!W56</f>
        <v>1740.0</v>
      </c>
      <c r="S60" s="14" t="str">
        <f>'Base GC'!X56</f>
        <v>s/d</v>
      </c>
      <c r="T60" s="14" t="str">
        <f>'Base GC'!Y56</f>
        <v>s/d</v>
      </c>
      <c r="U60" s="14" t="str">
        <f>'Base GC'!Z56</f>
        <v>s/d</v>
      </c>
      <c r="V60" s="14" t="str">
        <f>'Base GC'!AA56</f>
        <v>s/d</v>
      </c>
      <c r="W60" s="14" t="str">
        <f>'Base GC'!AB56</f>
        <v>s/d</v>
      </c>
      <c r="X60" s="14" t="str">
        <f>'Base GC'!AC56</f>
        <v>s/d</v>
      </c>
      <c r="Y60" s="4" t="str">
        <f>'Base GC'!AD56</f>
        <v>GASTO CORRIENTE</v>
      </c>
    </row>
    <row r="61" spans="1:25">
      <c r="A61" s="14">
        <f>SUBTOTAL(103,$B$6:B61)</f>
        <v>53</v>
      </c>
      <c r="B61" s="14">
        <v>440</v>
      </c>
      <c r="C61" s="4" t="s">
        <v>172</v>
      </c>
      <c r="D61" s="5">
        <f>'Base GC'!H57</f>
        <v>44132.0</v>
      </c>
      <c r="E61" s="5">
        <f>'Base GC'!I57</f>
        <v>14250.0</v>
      </c>
      <c r="F61" s="5">
        <f>D61-E61</f>
        <v>29882.0</v>
      </c>
      <c r="G61" s="5">
        <f>'Base GC'!J57</f>
        <v>14250.0</v>
      </c>
      <c r="H61" s="5">
        <f>'Base GC'!K57</f>
        <v>9250.0</v>
      </c>
      <c r="I61" s="5">
        <f>D61-H61</f>
        <v>34882.0</v>
      </c>
      <c r="J61" s="15">
        <f>IF(D61=0,0,H61/D61)</f>
        <v>0.20959847729538655</v>
      </c>
      <c r="K61" s="4" t="str">
        <f>'Base GC'!Q57</f>
        <v>Parcialmente comprometido</v>
      </c>
      <c r="L61" s="14" t="str">
        <f>'Base GC'!R57</f>
        <v>Parcial</v>
      </c>
      <c r="M61" s="5">
        <f>'Base GC'!M57</f>
        <v>0.0</v>
      </c>
      <c r="N61" s="5">
        <f>'Base GC'!S57</f>
        <v>29882.0</v>
      </c>
      <c r="O61" s="5">
        <f>'Base GC'!T57</f>
        <v>22382.0</v>
      </c>
      <c r="P61" s="5">
        <f>'Base GC'!U57</f>
        <v>21750.0</v>
      </c>
      <c r="Q61" s="5">
        <f>'Base GC'!V57</f>
        <v>0.0</v>
      </c>
      <c r="R61" s="5">
        <f>'Base GC'!W57</f>
        <v>0</v>
      </c>
      <c r="S61" s="14" t="str">
        <f>'Base GC'!X57</f>
        <v>s/d</v>
      </c>
      <c r="T61" s="14" t="str">
        <f>'Base GC'!Y57</f>
        <v>s/d</v>
      </c>
      <c r="U61" s="14" t="str">
        <f>'Base GC'!Z57</f>
        <v>s/d</v>
      </c>
      <c r="V61" s="14" t="str">
        <f>'Base GC'!AA57</f>
        <v>s/d</v>
      </c>
      <c r="W61" s="14" t="str">
        <f>'Base GC'!AB57</f>
        <v>s/d</v>
      </c>
      <c r="X61" s="14" t="str">
        <f>'Base GC'!AC57</f>
        <v>s/d</v>
      </c>
      <c r="Y61" s="4" t="str">
        <f>'Base GC'!AD57</f>
        <v>GASTO CORRIENTE</v>
      </c>
    </row>
    <row r="62" spans="1:25">
      <c r="A62" s="14">
        <f>SUBTOTAL(103,$B$6:B62)</f>
        <v>54</v>
      </c>
      <c r="B62" s="14">
        <v>448</v>
      </c>
      <c r="C62" s="4" t="s">
        <v>163</v>
      </c>
      <c r="D62" s="5">
        <f>'Base GC'!H58</f>
        <v>39665.0</v>
      </c>
      <c r="E62" s="5">
        <f>'Base GC'!I58</f>
        <v>14158.0</v>
      </c>
      <c r="F62" s="5">
        <f>D62-E62</f>
        <v>25507.0</v>
      </c>
      <c r="G62" s="5">
        <f>'Base GC'!J58</f>
        <v>14158.0</v>
      </c>
      <c r="H62" s="5">
        <f>'Base GC'!K58</f>
        <v>3738.0</v>
      </c>
      <c r="I62" s="5">
        <f>D62-H62</f>
        <v>35927.0</v>
      </c>
      <c r="J62" s="15">
        <f>IF(D62=0,0,H62/D62)</f>
        <v>0.09423925375015757</v>
      </c>
      <c r="K62" s="4" t="str">
        <f>'Base GC'!Q58</f>
        <v>Parcialmente comprometido</v>
      </c>
      <c r="L62" s="14" t="str">
        <f>'Base GC'!R58</f>
        <v>Parcial</v>
      </c>
      <c r="M62" s="5">
        <f>'Base GC'!M58</f>
        <v>0.0</v>
      </c>
      <c r="N62" s="5">
        <f>'Base GC'!S58</f>
        <v>25507.0</v>
      </c>
      <c r="O62" s="5">
        <f>'Base GC'!T58</f>
        <v>0.0</v>
      </c>
      <c r="P62" s="5">
        <f>'Base GC'!U58</f>
        <v>39665.0</v>
      </c>
      <c r="Q62" s="5">
        <f>'Base GC'!V58</f>
        <v>0.0</v>
      </c>
      <c r="R62" s="5">
        <f>'Base GC'!W58</f>
        <v>0</v>
      </c>
      <c r="S62" s="14" t="str">
        <f>'Base GC'!X58</f>
        <v>s/d</v>
      </c>
      <c r="T62" s="14" t="str">
        <f>'Base GC'!Y58</f>
        <v>s/d</v>
      </c>
      <c r="U62" s="14" t="str">
        <f>'Base GC'!Z58</f>
        <v>s/d</v>
      </c>
      <c r="V62" s="14" t="str">
        <f>'Base GC'!AA58</f>
        <v>s/d</v>
      </c>
      <c r="W62" s="14" t="str">
        <f>'Base GC'!AB58</f>
        <v>s/d</v>
      </c>
      <c r="X62" s="14" t="str">
        <f>'Base GC'!AC58</f>
        <v>s/d</v>
      </c>
      <c r="Y62" s="4" t="str">
        <f>'Base GC'!AD58</f>
        <v>GASTO CORRIENTE</v>
      </c>
    </row>
    <row r="63" spans="1:25">
      <c r="A63" s="14">
        <f>SUBTOTAL(103,$B$6:B63)</f>
        <v>55</v>
      </c>
      <c r="B63" s="14">
        <v>80</v>
      </c>
      <c r="C63" s="4" t="s">
        <v>169</v>
      </c>
      <c r="D63" s="5">
        <f>'Base GC'!H59</f>
        <v>12023.0</v>
      </c>
      <c r="E63" s="5">
        <f>'Base GC'!I59</f>
        <v>2940.0</v>
      </c>
      <c r="F63" s="5">
        <f>D63-E63</f>
        <v>9083.0</v>
      </c>
      <c r="G63" s="5">
        <f>'Base GC'!J59</f>
        <v>2070.0</v>
      </c>
      <c r="H63" s="5">
        <f>'Base GC'!K59</f>
        <v>2070.0</v>
      </c>
      <c r="I63" s="5">
        <f>D63-H63</f>
        <v>9953.0</v>
      </c>
      <c r="J63" s="15">
        <f>IF(D63=0,0,H63/D63)</f>
        <v>0.1721700074856525</v>
      </c>
      <c r="K63" s="4" t="str">
        <f>'Base GC'!Q59</f>
        <v>Parcialmente comprometido</v>
      </c>
      <c r="L63" s="14" t="str">
        <f>'Base GC'!R59</f>
        <v>Parcial</v>
      </c>
      <c r="M63" s="5">
        <f>'Base GC'!M59</f>
        <v>870.0</v>
      </c>
      <c r="N63" s="5">
        <f>'Base GC'!S59</f>
        <v>9953.0</v>
      </c>
      <c r="O63" s="5">
        <f>'Base GC'!T59</f>
        <v>0.0</v>
      </c>
      <c r="P63" s="5">
        <f>'Base GC'!U59</f>
        <v>12023.0</v>
      </c>
      <c r="Q63" s="5">
        <f>'Base GC'!V59</f>
        <v>0.0</v>
      </c>
      <c r="R63" s="5">
        <f>'Base GC'!W59</f>
        <v>0</v>
      </c>
      <c r="S63" s="14" t="str">
        <f>'Base GC'!X59</f>
        <v>s/d</v>
      </c>
      <c r="T63" s="14" t="str">
        <f>'Base GC'!Y59</f>
        <v>s/d</v>
      </c>
      <c r="U63" s="14" t="str">
        <f>'Base GC'!Z59</f>
        <v>s/d</v>
      </c>
      <c r="V63" s="14" t="str">
        <f>'Base GC'!AA59</f>
        <v>s/d</v>
      </c>
      <c r="W63" s="14" t="str">
        <f>'Base GC'!AB59</f>
        <v>s/d</v>
      </c>
      <c r="X63" s="14" t="str">
        <f>'Base GC'!AC59</f>
        <v>s/d</v>
      </c>
      <c r="Y63" s="4" t="str">
        <f>'Base GC'!AD59</f>
        <v>GASTO CORRIENTE</v>
      </c>
    </row>
    <row r="64" spans="1:25">
      <c r="A64" s="14">
        <f>SUBTOTAL(103,$B$6:B64)</f>
        <v>56</v>
      </c>
      <c r="B64" s="14">
        <v>77</v>
      </c>
      <c r="C64" s="4" t="s">
        <v>163</v>
      </c>
      <c r="D64" s="5">
        <f>'Base GC'!H60</f>
        <v>8082.0</v>
      </c>
      <c r="E64" s="5">
        <f>'Base GC'!I60</f>
        <v>2579.5</v>
      </c>
      <c r="F64" s="5">
        <f>D64-E64</f>
        <v>5502.5</v>
      </c>
      <c r="G64" s="5">
        <f>'Base GC'!J60</f>
        <v>2579.5</v>
      </c>
      <c r="H64" s="5">
        <f>'Base GC'!K60</f>
        <v>2579.5</v>
      </c>
      <c r="I64" s="5">
        <f>D64-H64</f>
        <v>5502.5</v>
      </c>
      <c r="J64" s="15">
        <f>IF(D64=0,0,H64/D64)</f>
        <v>0.3191660480079188</v>
      </c>
      <c r="K64" s="4" t="str">
        <f>'Base GC'!Q60</f>
        <v>Parcialmente comprometido</v>
      </c>
      <c r="L64" s="14" t="str">
        <f>'Base GC'!R60</f>
        <v>Parcial</v>
      </c>
      <c r="M64" s="5">
        <f>'Base GC'!M60</f>
        <v>0.0</v>
      </c>
      <c r="N64" s="5">
        <f>'Base GC'!S60</f>
        <v>5502.5</v>
      </c>
      <c r="O64" s="5">
        <f>'Base GC'!T60</f>
        <v>0.0</v>
      </c>
      <c r="P64" s="5">
        <f>'Base GC'!U60</f>
        <v>8082.0</v>
      </c>
      <c r="Q64" s="5">
        <f>'Base GC'!V60</f>
        <v>0.0</v>
      </c>
      <c r="R64" s="5">
        <f>'Base GC'!W60</f>
        <v>0</v>
      </c>
      <c r="S64" s="14" t="str">
        <f>'Base GC'!X60</f>
        <v>s/d</v>
      </c>
      <c r="T64" s="14" t="str">
        <f>'Base GC'!Y60</f>
        <v>s/d</v>
      </c>
      <c r="U64" s="14" t="str">
        <f>'Base GC'!Z60</f>
        <v>s/d</v>
      </c>
      <c r="V64" s="14" t="str">
        <f>'Base GC'!AA60</f>
        <v>s/d</v>
      </c>
      <c r="W64" s="14" t="str">
        <f>'Base GC'!AB60</f>
        <v>s/d</v>
      </c>
      <c r="X64" s="14" t="str">
        <f>'Base GC'!AC60</f>
        <v>s/d</v>
      </c>
      <c r="Y64" s="4" t="str">
        <f>'Base GC'!AD60</f>
        <v>GASTO CORRIENTE</v>
      </c>
    </row>
    <row r="65" spans="1:25">
      <c r="A65" s="14">
        <f>SUBTOTAL(103,$B$6:B65)</f>
        <v>57</v>
      </c>
      <c r="B65" s="14">
        <v>76</v>
      </c>
      <c r="C65" s="4" t="s">
        <v>163</v>
      </c>
      <c r="D65" s="5">
        <f>'Base GC'!H61</f>
        <v>7434.0</v>
      </c>
      <c r="E65" s="5">
        <f>'Base GC'!I61</f>
        <v>5368.0</v>
      </c>
      <c r="F65" s="5">
        <f>D65-E65</f>
        <v>2066.0</v>
      </c>
      <c r="G65" s="5">
        <f>'Base GC'!J61</f>
        <v>4447.13</v>
      </c>
      <c r="H65" s="5">
        <f>'Base GC'!K61</f>
        <v>4447.13</v>
      </c>
      <c r="I65" s="5">
        <f>D65-H65</f>
        <v>2986.87</v>
      </c>
      <c r="J65" s="15">
        <f>IF(D65=0,0,H65/D65)</f>
        <v>0.5982149582997041</v>
      </c>
      <c r="K65" s="4" t="str">
        <f>'Base GC'!Q61</f>
        <v>Mayormente comprometido</v>
      </c>
      <c r="L65" s="14" t="str">
        <f>'Base GC'!R61</f>
        <v>Difícil</v>
      </c>
      <c r="M65" s="5">
        <f>'Base GC'!M61</f>
        <v>920.8699999999999</v>
      </c>
      <c r="N65" s="5">
        <f>'Base GC'!S61</f>
        <v>2986.87</v>
      </c>
      <c r="O65" s="5">
        <f>'Base GC'!T61</f>
        <v>0.0</v>
      </c>
      <c r="P65" s="5">
        <f>'Base GC'!U61</f>
        <v>7434.0</v>
      </c>
      <c r="Q65" s="5">
        <f>'Base GC'!V61</f>
        <v>0.0</v>
      </c>
      <c r="R65" s="5">
        <f>'Base GC'!W61</f>
        <v>0</v>
      </c>
      <c r="S65" s="14" t="str">
        <f>'Base GC'!X61</f>
        <v>s/d</v>
      </c>
      <c r="T65" s="14" t="str">
        <f>'Base GC'!Y61</f>
        <v>s/d</v>
      </c>
      <c r="U65" s="14" t="str">
        <f>'Base GC'!Z61</f>
        <v>s/d</v>
      </c>
      <c r="V65" s="14" t="str">
        <f>'Base GC'!AA61</f>
        <v>s/d</v>
      </c>
      <c r="W65" s="14" t="str">
        <f>'Base GC'!AB61</f>
        <v>s/d</v>
      </c>
      <c r="X65" s="14" t="str">
        <f>'Base GC'!AC61</f>
        <v>s/d</v>
      </c>
      <c r="Y65" s="4" t="str">
        <f>'Base GC'!AD61</f>
        <v>GASTO CORRIENTE</v>
      </c>
    </row>
    <row r="66" spans="1:25">
      <c r="A66" s="14">
        <f>SUBTOTAL(103,$B$6:B66)</f>
        <v>58</v>
      </c>
      <c r="B66" s="14">
        <v>447</v>
      </c>
      <c r="C66" s="4" t="s">
        <v>190</v>
      </c>
      <c r="D66" s="5">
        <f>'Base GC'!H62</f>
        <v>3693.0</v>
      </c>
      <c r="E66" s="5">
        <f>'Base GC'!I62</f>
        <v>2850.0</v>
      </c>
      <c r="F66" s="5">
        <f>D66-E66</f>
        <v>843.0</v>
      </c>
      <c r="G66" s="5">
        <f>'Base GC'!J62</f>
        <v>2850.0</v>
      </c>
      <c r="H66" s="5">
        <f>'Base GC'!K62</f>
        <v>0.0</v>
      </c>
      <c r="I66" s="5">
        <f>D66-H66</f>
        <v>3693.0</v>
      </c>
      <c r="J66" s="15">
        <f>IF(D66=0,0,H66/D66)</f>
        <v>0.0</v>
      </c>
      <c r="K66" s="4" t="str">
        <f>'Base GC'!Q62</f>
        <v>Mayormente comprometido</v>
      </c>
      <c r="L66" s="14" t="str">
        <f>'Base GC'!R62</f>
        <v>Difícil</v>
      </c>
      <c r="M66" s="5">
        <f>'Base GC'!M62</f>
        <v>0.0</v>
      </c>
      <c r="N66" s="5">
        <f>'Base GC'!S62</f>
        <v>843.0</v>
      </c>
      <c r="O66" s="5">
        <f>'Base GC'!T62</f>
        <v>0.0</v>
      </c>
      <c r="P66" s="5">
        <f>'Base GC'!U62</f>
        <v>3693.0</v>
      </c>
      <c r="Q66" s="5">
        <f>'Base GC'!V62</f>
        <v>0.0</v>
      </c>
      <c r="R66" s="5">
        <f>'Base GC'!W62</f>
        <v>0</v>
      </c>
      <c r="S66" s="14" t="str">
        <f>'Base GC'!X62</f>
        <v>s/d</v>
      </c>
      <c r="T66" s="14" t="str">
        <f>'Base GC'!Y62</f>
        <v>s/d</v>
      </c>
      <c r="U66" s="14" t="str">
        <f>'Base GC'!Z62</f>
        <v>s/d</v>
      </c>
      <c r="V66" s="14" t="str">
        <f>'Base GC'!AA62</f>
        <v>s/d</v>
      </c>
      <c r="W66" s="14" t="str">
        <f>'Base GC'!AB62</f>
        <v>s/d</v>
      </c>
      <c r="X66" s="14" t="str">
        <f>'Base GC'!AC62</f>
        <v>s/d</v>
      </c>
      <c r="Y66" s="4" t="str">
        <f>'Base GC'!AD62</f>
        <v>GASTO CORRIENTE</v>
      </c>
    </row>
    <row r="67" spans="1:25">
      <c r="A67" s="14">
        <f>SUBTOTAL(103,$B$6:B67)</f>
        <v>59</v>
      </c>
      <c r="B67" s="14">
        <v>449</v>
      </c>
      <c r="C67" s="4" t="s">
        <v>163</v>
      </c>
      <c r="D67" s="5">
        <f>'Base GC'!H63</f>
        <v>3150.0</v>
      </c>
      <c r="E67" s="5">
        <f>'Base GC'!I63</f>
        <v>2929.0</v>
      </c>
      <c r="F67" s="5">
        <f>D67-E67</f>
        <v>221.0</v>
      </c>
      <c r="G67" s="5">
        <f>'Base GC'!J63</f>
        <v>2125.0</v>
      </c>
      <c r="H67" s="5">
        <f>'Base GC'!K63</f>
        <v>2125.0</v>
      </c>
      <c r="I67" s="5">
        <f>D67-H67</f>
        <v>1025.0</v>
      </c>
      <c r="J67" s="15">
        <f>IF(D67=0,0,H67/D67)</f>
        <v>0.6746031746031746</v>
      </c>
      <c r="K67" s="4" t="str">
        <f>'Base GC'!Q63</f>
        <v>Mayormente comprometido</v>
      </c>
      <c r="L67" s="14" t="str">
        <f>'Base GC'!R63</f>
        <v>Difícil</v>
      </c>
      <c r="M67" s="5">
        <f>'Base GC'!M63</f>
        <v>804.0</v>
      </c>
      <c r="N67" s="5">
        <f>'Base GC'!S63</f>
        <v>1025.0</v>
      </c>
      <c r="O67" s="5">
        <f>'Base GC'!T63</f>
        <v>0.0</v>
      </c>
      <c r="P67" s="5">
        <f>'Base GC'!U63</f>
        <v>3150.0</v>
      </c>
      <c r="Q67" s="5">
        <f>'Base GC'!V63</f>
        <v>0.0</v>
      </c>
      <c r="R67" s="5">
        <f>'Base GC'!W63</f>
        <v>0</v>
      </c>
      <c r="S67" s="14" t="str">
        <f>'Base GC'!X63</f>
        <v>s/d</v>
      </c>
      <c r="T67" s="14" t="str">
        <f>'Base GC'!Y63</f>
        <v>s/d</v>
      </c>
      <c r="U67" s="14" t="str">
        <f>'Base GC'!Z63</f>
        <v>s/d</v>
      </c>
      <c r="V67" s="14" t="str">
        <f>'Base GC'!AA63</f>
        <v>s/d</v>
      </c>
      <c r="W67" s="14" t="str">
        <f>'Base GC'!AB63</f>
        <v>s/d</v>
      </c>
      <c r="X67" s="14" t="str">
        <f>'Base GC'!AC63</f>
        <v>s/d</v>
      </c>
      <c r="Y67" s="4" t="str">
        <f>'Base GC'!AD63</f>
        <v>GASTO CORRIENTE</v>
      </c>
    </row>
    <row r="68" spans="1:25">
      <c r="A68" s="14">
        <f>SUBTOTAL(103,$B$6:B68)</f>
        <v>60</v>
      </c>
      <c r="B68" s="14">
        <v>439</v>
      </c>
      <c r="C68" s="4" t="s">
        <v>172</v>
      </c>
      <c r="D68" s="5">
        <f>'Base GC'!H64</f>
        <v>1058.0</v>
      </c>
      <c r="E68" s="5">
        <f>'Base GC'!I64</f>
        <v>0.0</v>
      </c>
      <c r="F68" s="5">
        <f>D68-E68</f>
        <v>1058.0</v>
      </c>
      <c r="G68" s="5">
        <f>'Base GC'!J64</f>
        <v>0.0</v>
      </c>
      <c r="H68" s="5">
        <f>'Base GC'!K64</f>
        <v>0.0</v>
      </c>
      <c r="I68" s="5">
        <f>D68-H68</f>
        <v>1058.0</v>
      </c>
      <c r="J68" s="15">
        <f>IF(D68=0,0,H68/D68)</f>
        <v>0.0</v>
      </c>
      <c r="K68" s="4" t="str">
        <f>'Base GC'!Q64</f>
        <v>Sin certificar</v>
      </c>
      <c r="L68" s="14" t="str">
        <f>'Base GC'!R64</f>
        <v>Disponible</v>
      </c>
      <c r="M68" s="5">
        <f>'Base GC'!M64</f>
        <v>0.0</v>
      </c>
      <c r="N68" s="5">
        <f>'Base GC'!S64</f>
        <v>1058.0</v>
      </c>
      <c r="O68" s="5">
        <f>'Base GC'!T64</f>
        <v>0.0</v>
      </c>
      <c r="P68" s="5">
        <f>'Base GC'!U64</f>
        <v>1058.0</v>
      </c>
      <c r="Q68" s="5">
        <f>'Base GC'!V64</f>
        <v>0.0</v>
      </c>
      <c r="R68" s="5">
        <f>'Base GC'!W64</f>
        <v>0</v>
      </c>
      <c r="S68" s="14" t="str">
        <f>'Base GC'!X64</f>
        <v>s/d</v>
      </c>
      <c r="T68" s="14" t="str">
        <f>'Base GC'!Y64</f>
        <v>s/d</v>
      </c>
      <c r="U68" s="14" t="str">
        <f>'Base GC'!Z64</f>
        <v>s/d</v>
      </c>
      <c r="V68" s="14" t="str">
        <f>'Base GC'!AA64</f>
        <v>s/d</v>
      </c>
      <c r="W68" s="14" t="str">
        <f>'Base GC'!AB64</f>
        <v>s/d</v>
      </c>
      <c r="X68" s="14" t="str">
        <f>'Base GC'!AC64</f>
        <v>s/d</v>
      </c>
      <c r="Y68" s="4" t="str">
        <f>'Base GC'!AD64</f>
        <v>GASTO CORRIENTE</v>
      </c>
    </row>
    <row r="69" spans="1:25">
      <c r="A69" s="6" t="s">
        <v>200</v>
      </c>
      <c r="B69" s="6"/>
      <c r="C69" s="6"/>
      <c r="D69" s="7">
        <f>SUM(D70:D71)</f>
        <v>1562035.0</v>
      </c>
      <c r="E69" s="7">
        <f>SUM(E70:E71)</f>
        <v>1439016.9800000002</v>
      </c>
      <c r="F69" s="7">
        <f>D69-E69</f>
        <v>123018.01999999979</v>
      </c>
      <c r="G69" s="7">
        <f>SUM(G70:G71)</f>
        <v>1423536.2900000003</v>
      </c>
      <c r="H69" s="7">
        <f>SUM(H70:H71)</f>
        <v>1104843.2500000005</v>
      </c>
      <c r="I69" s="7">
        <f>D69-H69</f>
        <v>457191.74999999953</v>
      </c>
      <c r="J69" s="13">
        <f>IF(D69=0,0,H69/D69)</f>
        <v>0.7073101755082315</v>
      </c>
      <c r="K69" s="6"/>
      <c r="L69" s="6"/>
      <c r="M69" s="7">
        <f>SUM(M70:M71)</f>
        <v>15480.689999999944</v>
      </c>
      <c r="N69" s="7">
        <f>SUM(N70:N71)</f>
        <v>138498.7099999998</v>
      </c>
      <c r="O69" s="7">
        <f>SUM(O70:O71)</f>
        <v>1069594.0</v>
      </c>
      <c r="P69" s="7">
        <f>SUM(P70:P71)</f>
        <v>489441.0</v>
      </c>
      <c r="Q69" s="7">
        <f>SUM(Q70:Q71)</f>
        <v>0.0</v>
      </c>
      <c r="R69" s="7">
        <f>SUM(R70:R71)</f>
        <v>3000.0</v>
      </c>
      <c r="S69" s="7">
        <f>SUM(S70:S71)</f>
        <v>0.0</v>
      </c>
      <c r="T69" s="7">
        <f>SUM(T70:T71)</f>
        <v>0.0</v>
      </c>
      <c r="U69" s="7">
        <f>SUM(U70:U71)</f>
        <v>0.0</v>
      </c>
      <c r="V69" s="7">
        <f>SUM(V70:V71)</f>
        <v>0.0</v>
      </c>
      <c r="W69" s="7">
        <f>SUM(W70:W71)</f>
        <v>0.0</v>
      </c>
      <c r="X69" s="7">
        <f>SUM(X70:X71)</f>
        <v>0.0</v>
      </c>
      <c r="Y69" s="6"/>
    </row>
    <row r="70" spans="1:25">
      <c r="A70" s="14">
        <f>SUBTOTAL(103,$B$6:B70)</f>
        <v>61</v>
      </c>
      <c r="B70" s="14">
        <v>207</v>
      </c>
      <c r="C70" s="4" t="s">
        <v>69</v>
      </c>
      <c r="D70" s="5">
        <f>'Base GC'!H65</f>
        <v>1324126.0</v>
      </c>
      <c r="E70" s="5">
        <f>'Base GC'!I65</f>
        <v>1238109.1800000002</v>
      </c>
      <c r="F70" s="5">
        <f>D70-E70</f>
        <v>86016.81999999983</v>
      </c>
      <c r="G70" s="5">
        <f>'Base GC'!J65</f>
        <v>1231164.4900000002</v>
      </c>
      <c r="H70" s="5">
        <f>'Base GC'!K65</f>
        <v>971047.2500000003</v>
      </c>
      <c r="I70" s="5">
        <f>D70-H70</f>
        <v>353078.74999999965</v>
      </c>
      <c r="J70" s="15">
        <f>IF(D70=0,0,H70/D70)</f>
        <v>0.7333495830457225</v>
      </c>
      <c r="K70" s="4" t="str">
        <f>'Base GC'!Q65</f>
        <v>Mayormente comprometido</v>
      </c>
      <c r="L70" s="14" t="str">
        <f>'Base GC'!R65</f>
        <v>Difícil</v>
      </c>
      <c r="M70" s="5">
        <f>'Base GC'!M65</f>
        <v>6944.689999999944</v>
      </c>
      <c r="N70" s="5">
        <f>'Base GC'!S65</f>
        <v>92961.50999999978</v>
      </c>
      <c r="O70" s="5">
        <f>'Base GC'!T65</f>
        <v>1069594.0</v>
      </c>
      <c r="P70" s="5">
        <f>'Base GC'!U65</f>
        <v>251532.0</v>
      </c>
      <c r="Q70" s="5">
        <f>'Base GC'!V65</f>
        <v>0.0</v>
      </c>
      <c r="R70" s="5">
        <f>'Base GC'!W65</f>
        <v>3000.0</v>
      </c>
      <c r="S70" s="14" t="str">
        <f>'Base GC'!X65</f>
        <v>s/d</v>
      </c>
      <c r="T70" s="14" t="str">
        <f>'Base GC'!Y65</f>
        <v>s/d</v>
      </c>
      <c r="U70" s="14" t="str">
        <f>'Base GC'!Z65</f>
        <v>s/d</v>
      </c>
      <c r="V70" s="14" t="str">
        <f>'Base GC'!AA65</f>
        <v>s/d</v>
      </c>
      <c r="W70" s="14" t="str">
        <f>'Base GC'!AB65</f>
        <v>s/d</v>
      </c>
      <c r="X70" s="14" t="str">
        <f>'Base GC'!AC65</f>
        <v>s/d</v>
      </c>
      <c r="Y70" s="4" t="str">
        <f>'Base GC'!AD65</f>
        <v>GASTO CORRIENTE</v>
      </c>
    </row>
    <row r="71" spans="1:25">
      <c r="A71" s="14">
        <f>SUBTOTAL(103,$B$6:B71)</f>
        <v>62</v>
      </c>
      <c r="B71" s="14">
        <v>427</v>
      </c>
      <c r="C71" s="4" t="s">
        <v>203</v>
      </c>
      <c r="D71" s="5">
        <f>'Base GC'!H66</f>
        <v>237909.0</v>
      </c>
      <c r="E71" s="5">
        <f>'Base GC'!I66</f>
        <v>200907.8</v>
      </c>
      <c r="F71" s="5">
        <f>D71-E71</f>
        <v>37001.20000000001</v>
      </c>
      <c r="G71" s="5">
        <f>'Base GC'!J66</f>
        <v>192371.8</v>
      </c>
      <c r="H71" s="5">
        <f>'Base GC'!K66</f>
        <v>133796.0</v>
      </c>
      <c r="I71" s="5">
        <f>D71-H71</f>
        <v>104113.0</v>
      </c>
      <c r="J71" s="15">
        <f>IF(D71=0,0,H71/D71)</f>
        <v>0.5623830960577364</v>
      </c>
      <c r="K71" s="4" t="str">
        <f>'Base GC'!Q66</f>
        <v>Mayormente comprometido</v>
      </c>
      <c r="L71" s="14" t="str">
        <f>'Base GC'!R66</f>
        <v>Difícil</v>
      </c>
      <c r="M71" s="5">
        <f>'Base GC'!M66</f>
        <v>8536.0</v>
      </c>
      <c r="N71" s="5">
        <f>'Base GC'!S66</f>
        <v>45537.20000000001</v>
      </c>
      <c r="O71" s="5">
        <f>'Base GC'!T66</f>
        <v>0.0</v>
      </c>
      <c r="P71" s="5">
        <f>'Base GC'!U66</f>
        <v>237909.0</v>
      </c>
      <c r="Q71" s="5">
        <f>'Base GC'!V66</f>
        <v>0.0</v>
      </c>
      <c r="R71" s="5">
        <f>'Base GC'!W66</f>
        <v>0</v>
      </c>
      <c r="S71" s="14" t="str">
        <f>'Base GC'!X66</f>
        <v>s/d</v>
      </c>
      <c r="T71" s="14" t="str">
        <f>'Base GC'!Y66</f>
        <v>s/d</v>
      </c>
      <c r="U71" s="14" t="str">
        <f>'Base GC'!Z66</f>
        <v>s/d</v>
      </c>
      <c r="V71" s="14" t="str">
        <f>'Base GC'!AA66</f>
        <v>s/d</v>
      </c>
      <c r="W71" s="14" t="str">
        <f>'Base GC'!AB66</f>
        <v>s/d</v>
      </c>
      <c r="X71" s="14" t="str">
        <f>'Base GC'!AC66</f>
        <v>s/d</v>
      </c>
      <c r="Y71" s="4" t="str">
        <f>'Base GC'!AD66</f>
        <v>GASTO CORRIENTE</v>
      </c>
    </row>
    <row r="72" spans="1:25">
      <c r="A72" s="6" t="s">
        <v>204</v>
      </c>
      <c r="B72" s="6"/>
      <c r="C72" s="6"/>
      <c r="D72" s="7">
        <f>SUM(D73:D73)</f>
        <v>493043.0</v>
      </c>
      <c r="E72" s="7">
        <f>SUM(E73:E73)</f>
        <v>436035.75</v>
      </c>
      <c r="F72" s="7">
        <f>D72-E72</f>
        <v>57007.25</v>
      </c>
      <c r="G72" s="7">
        <f>SUM(G73:G73)</f>
        <v>44160.0</v>
      </c>
      <c r="H72" s="7">
        <f>SUM(H73:H73)</f>
        <v>23700.0</v>
      </c>
      <c r="I72" s="7">
        <f>D72-H72</f>
        <v>469343.0</v>
      </c>
      <c r="J72" s="13">
        <f>IF(D72=0,0,H72/D72)</f>
        <v>0.04806882969639565</v>
      </c>
      <c r="K72" s="6"/>
      <c r="L72" s="6"/>
      <c r="M72" s="7">
        <f>SUM(M73:M73)</f>
        <v>391875.75</v>
      </c>
      <c r="N72" s="7">
        <f>SUM(N73:N73)</f>
        <v>448883.0</v>
      </c>
      <c r="O72" s="7">
        <f>SUM(O73:O73)</f>
        <v>0.0</v>
      </c>
      <c r="P72" s="7">
        <f>SUM(P73:P73)</f>
        <v>493043.0</v>
      </c>
      <c r="Q72" s="7">
        <f>SUM(Q73:Q73)</f>
        <v>0.0</v>
      </c>
      <c r="R72" s="7">
        <f>SUM(R73:R73)</f>
        <v>0</v>
      </c>
      <c r="S72" s="7">
        <f>SUM(S73:S73)</f>
        <v>0.0</v>
      </c>
      <c r="T72" s="7">
        <f>SUM(T73:T73)</f>
        <v>0.0</v>
      </c>
      <c r="U72" s="7">
        <f>SUM(U73:U73)</f>
        <v>0.0</v>
      </c>
      <c r="V72" s="7">
        <f>SUM(V73:V73)</f>
        <v>0.0</v>
      </c>
      <c r="W72" s="7">
        <f>SUM(W73:W73)</f>
        <v>0.0</v>
      </c>
      <c r="X72" s="7">
        <f>SUM(X73:X73)</f>
        <v>0.0</v>
      </c>
      <c r="Y72" s="6"/>
    </row>
    <row r="73" spans="1:25">
      <c r="A73" s="14">
        <f>SUBTOTAL(103,$B$6:B73)</f>
        <v>63</v>
      </c>
      <c r="B73" s="14">
        <v>13</v>
      </c>
      <c r="C73" s="4" t="s">
        <v>208</v>
      </c>
      <c r="D73" s="5">
        <f>'Base GC'!H67</f>
        <v>493043.0</v>
      </c>
      <c r="E73" s="5">
        <f>'Base GC'!I67</f>
        <v>436035.75</v>
      </c>
      <c r="F73" s="5">
        <f>D73-E73</f>
        <v>57007.25</v>
      </c>
      <c r="G73" s="5">
        <f>'Base GC'!J67</f>
        <v>44160.0</v>
      </c>
      <c r="H73" s="5">
        <f>'Base GC'!K67</f>
        <v>23700.0</v>
      </c>
      <c r="I73" s="5">
        <f>D73-H73</f>
        <v>469343.0</v>
      </c>
      <c r="J73" s="15">
        <f>IF(D73=0,0,H73/D73)</f>
        <v>0.04806882969639565</v>
      </c>
      <c r="K73" s="4" t="str">
        <f>'Base GC'!Q67</f>
        <v>Parcialmente comprometido</v>
      </c>
      <c r="L73" s="14" t="str">
        <f>'Base GC'!R67</f>
        <v>Parcial</v>
      </c>
      <c r="M73" s="5">
        <f>'Base GC'!M67</f>
        <v>391875.75</v>
      </c>
      <c r="N73" s="5">
        <f>'Base GC'!S67</f>
        <v>448883.0</v>
      </c>
      <c r="O73" s="5">
        <f>'Base GC'!T67</f>
        <v>0.0</v>
      </c>
      <c r="P73" s="5">
        <f>'Base GC'!U67</f>
        <v>493043.0</v>
      </c>
      <c r="Q73" s="5">
        <f>'Base GC'!V67</f>
        <v>0.0</v>
      </c>
      <c r="R73" s="5">
        <f>'Base GC'!W67</f>
        <v>0</v>
      </c>
      <c r="S73" s="14" t="str">
        <f>'Base GC'!X67</f>
        <v>s/d</v>
      </c>
      <c r="T73" s="14" t="str">
        <f>'Base GC'!Y67</f>
        <v>s/d</v>
      </c>
      <c r="U73" s="14" t="str">
        <f>'Base GC'!Z67</f>
        <v>s/d</v>
      </c>
      <c r="V73" s="14" t="str">
        <f>'Base GC'!AA67</f>
        <v>s/d</v>
      </c>
      <c r="W73" s="14" t="str">
        <f>'Base GC'!AB67</f>
        <v>s/d</v>
      </c>
      <c r="X73" s="14" t="str">
        <f>'Base GC'!AC67</f>
        <v>s/d</v>
      </c>
      <c r="Y73" s="4" t="str">
        <f>'Base GC'!AD67</f>
        <v>GASTO CORRIENTE</v>
      </c>
    </row>
    <row r="74" spans="1:25">
      <c r="A74" s="6" t="s">
        <v>209</v>
      </c>
      <c r="B74" s="6"/>
      <c r="C74" s="6"/>
      <c r="D74" s="7">
        <f>SUM(D75:D75)</f>
        <v>2489068.0</v>
      </c>
      <c r="E74" s="7">
        <f>SUM(E75:E75)</f>
        <v>1912904.4100000001</v>
      </c>
      <c r="F74" s="7">
        <f>D74-E74</f>
        <v>576163.5899999999</v>
      </c>
      <c r="G74" s="7">
        <f>SUM(G75:G75)</f>
        <v>1902482.44</v>
      </c>
      <c r="H74" s="7">
        <f>SUM(H75:H75)</f>
        <v>1352375.34</v>
      </c>
      <c r="I74" s="7">
        <f>D74-H74</f>
        <v>1136692.66</v>
      </c>
      <c r="J74" s="13">
        <f>IF(D74=0,0,H74/D74)</f>
        <v>0.5433259918973689</v>
      </c>
      <c r="K74" s="6"/>
      <c r="L74" s="6"/>
      <c r="M74" s="7">
        <f>SUM(M75:M75)</f>
        <v>10421.970000000205</v>
      </c>
      <c r="N74" s="7">
        <f>SUM(N75:N75)</f>
        <v>586585.56</v>
      </c>
      <c r="O74" s="7">
        <f>SUM(O75:O75)</f>
        <v>239760.0</v>
      </c>
      <c r="P74" s="7">
        <f>SUM(P75:P75)</f>
        <v>2219308.0</v>
      </c>
      <c r="Q74" s="7">
        <f>SUM(Q75:Q75)</f>
        <v>0.0</v>
      </c>
      <c r="R74" s="7">
        <f>SUM(R75:R75)</f>
        <v>30000.0</v>
      </c>
      <c r="S74" s="7">
        <f>SUM(S75:S75)</f>
        <v>0.0</v>
      </c>
      <c r="T74" s="7">
        <f>SUM(T75:T75)</f>
        <v>0.0</v>
      </c>
      <c r="U74" s="7">
        <f>SUM(U75:U75)</f>
        <v>0.0</v>
      </c>
      <c r="V74" s="7">
        <f>SUM(V75:V75)</f>
        <v>0.0</v>
      </c>
      <c r="W74" s="7">
        <f>SUM(W75:W75)</f>
        <v>0.0</v>
      </c>
      <c r="X74" s="7">
        <f>SUM(X75:X75)</f>
        <v>0.0</v>
      </c>
      <c r="Y74" s="6"/>
    </row>
    <row r="75" spans="1:25">
      <c r="A75" s="14">
        <f>SUBTOTAL(103,$B$6:B75)</f>
        <v>64</v>
      </c>
      <c r="B75" s="14">
        <v>208</v>
      </c>
      <c r="C75" s="4" t="s">
        <v>69</v>
      </c>
      <c r="D75" s="5">
        <f>'Base GC'!H68</f>
        <v>2489068.0</v>
      </c>
      <c r="E75" s="5">
        <f>'Base GC'!I68</f>
        <v>1912904.4100000001</v>
      </c>
      <c r="F75" s="5">
        <f>D75-E75</f>
        <v>576163.5899999999</v>
      </c>
      <c r="G75" s="5">
        <f>'Base GC'!J68</f>
        <v>1902482.44</v>
      </c>
      <c r="H75" s="5">
        <f>'Base GC'!K68</f>
        <v>1352375.34</v>
      </c>
      <c r="I75" s="5">
        <f>D75-H75</f>
        <v>1136692.66</v>
      </c>
      <c r="J75" s="15">
        <f>IF(D75=0,0,H75/D75)</f>
        <v>0.5433259918973689</v>
      </c>
      <c r="K75" s="4" t="str">
        <f>'Base GC'!Q68</f>
        <v>Mayormente comprometido</v>
      </c>
      <c r="L75" s="14" t="str">
        <f>'Base GC'!R68</f>
        <v>Difícil</v>
      </c>
      <c r="M75" s="5">
        <f>'Base GC'!M68</f>
        <v>10421.970000000205</v>
      </c>
      <c r="N75" s="5">
        <f>'Base GC'!S68</f>
        <v>586585.56</v>
      </c>
      <c r="O75" s="5">
        <f>'Base GC'!T68</f>
        <v>239760.0</v>
      </c>
      <c r="P75" s="5">
        <f>'Base GC'!U68</f>
        <v>2219308.0</v>
      </c>
      <c r="Q75" s="5">
        <f>'Base GC'!V68</f>
        <v>0.0</v>
      </c>
      <c r="R75" s="5">
        <f>'Base GC'!W68</f>
        <v>30000.0</v>
      </c>
      <c r="S75" s="14" t="str">
        <f>'Base GC'!X68</f>
        <v>s/d</v>
      </c>
      <c r="T75" s="14" t="str">
        <f>'Base GC'!Y68</f>
        <v>s/d</v>
      </c>
      <c r="U75" s="14" t="str">
        <f>'Base GC'!Z68</f>
        <v>s/d</v>
      </c>
      <c r="V75" s="14" t="str">
        <f>'Base GC'!AA68</f>
        <v>s/d</v>
      </c>
      <c r="W75" s="14" t="str">
        <f>'Base GC'!AB68</f>
        <v>s/d</v>
      </c>
      <c r="X75" s="14" t="str">
        <f>'Base GC'!AC68</f>
        <v>s/d</v>
      </c>
      <c r="Y75" s="4" t="str">
        <f>'Base GC'!AD68</f>
        <v>GASTO CORRIENTE</v>
      </c>
    </row>
    <row r="76" spans="1:25">
      <c r="A76" s="6" t="s">
        <v>211</v>
      </c>
      <c r="B76" s="6"/>
      <c r="C76" s="6"/>
      <c r="D76" s="7">
        <f>SUM(D77:D77)</f>
        <v>435935.0</v>
      </c>
      <c r="E76" s="7">
        <f>SUM(E77:E77)</f>
        <v>0.0</v>
      </c>
      <c r="F76" s="7">
        <f>D76-E76</f>
        <v>435935.0</v>
      </c>
      <c r="G76" s="7">
        <f>SUM(G77:G77)</f>
        <v>0.0</v>
      </c>
      <c r="H76" s="7">
        <f>SUM(H77:H77)</f>
        <v>0.0</v>
      </c>
      <c r="I76" s="7">
        <f>D76-H76</f>
        <v>435935.0</v>
      </c>
      <c r="J76" s="13">
        <f>IF(D76=0,0,H76/D76)</f>
        <v>0.0</v>
      </c>
      <c r="K76" s="6"/>
      <c r="L76" s="6"/>
      <c r="M76" s="7">
        <f>SUM(M77:M77)</f>
        <v>0.0</v>
      </c>
      <c r="N76" s="7">
        <f>SUM(N77:N77)</f>
        <v>435935.0</v>
      </c>
      <c r="O76" s="7">
        <f>SUM(O77:O77)</f>
        <v>0.0</v>
      </c>
      <c r="P76" s="7">
        <f>SUM(P77:P77)</f>
        <v>435935.0</v>
      </c>
      <c r="Q76" s="7">
        <f>SUM(Q77:Q77)</f>
        <v>0.0</v>
      </c>
      <c r="R76" s="7">
        <f>SUM(R77:R77)</f>
        <v>0</v>
      </c>
      <c r="S76" s="7">
        <f>SUM(S77:S77)</f>
        <v>0.0</v>
      </c>
      <c r="T76" s="7">
        <f>SUM(T77:T77)</f>
        <v>0.0</v>
      </c>
      <c r="U76" s="7">
        <f>SUM(U77:U77)</f>
        <v>0.0</v>
      </c>
      <c r="V76" s="7">
        <f>SUM(V77:V77)</f>
        <v>0.0</v>
      </c>
      <c r="W76" s="7">
        <f>SUM(W77:W77)</f>
        <v>0.0</v>
      </c>
      <c r="X76" s="7">
        <f>SUM(X77:X77)</f>
        <v>0.0</v>
      </c>
      <c r="Y76" s="6"/>
    </row>
    <row r="77" spans="1:25">
      <c r="A77" s="14">
        <f>SUBTOTAL(103,$B$6:B77)</f>
        <v>65</v>
      </c>
      <c r="B77" s="14">
        <v>295</v>
      </c>
      <c r="C77" s="4" t="s">
        <v>214</v>
      </c>
      <c r="D77" s="5">
        <f>'Base GC'!H69</f>
        <v>435935.0</v>
      </c>
      <c r="E77" s="5">
        <f>'Base GC'!I69</f>
        <v>0.0</v>
      </c>
      <c r="F77" s="5">
        <f>D77-E77</f>
        <v>435935.0</v>
      </c>
      <c r="G77" s="5">
        <f>'Base GC'!J69</f>
        <v>0.0</v>
      </c>
      <c r="H77" s="5">
        <f>'Base GC'!K69</f>
        <v>0.0</v>
      </c>
      <c r="I77" s="5">
        <f>D77-H77</f>
        <v>435935.0</v>
      </c>
      <c r="J77" s="15">
        <f>IF(D77=0,0,H77/D77)</f>
        <v>0.0</v>
      </c>
      <c r="K77" s="4" t="str">
        <f>'Base GC'!Q69</f>
        <v>Sin certificar</v>
      </c>
      <c r="L77" s="14" t="str">
        <f>'Base GC'!R69</f>
        <v>Disponible</v>
      </c>
      <c r="M77" s="5">
        <f>'Base GC'!M69</f>
        <v>0.0</v>
      </c>
      <c r="N77" s="5">
        <f>'Base GC'!S69</f>
        <v>435935.0</v>
      </c>
      <c r="O77" s="5">
        <f>'Base GC'!T69</f>
        <v>0.0</v>
      </c>
      <c r="P77" s="5">
        <f>'Base GC'!U69</f>
        <v>435935.0</v>
      </c>
      <c r="Q77" s="5">
        <f>'Base GC'!V69</f>
        <v>0.0</v>
      </c>
      <c r="R77" s="5">
        <f>'Base GC'!W69</f>
        <v>0</v>
      </c>
      <c r="S77" s="14" t="str">
        <f>'Base GC'!X69</f>
        <v>s/d</v>
      </c>
      <c r="T77" s="14" t="str">
        <f>'Base GC'!Y69</f>
        <v>s/d</v>
      </c>
      <c r="U77" s="14" t="str">
        <f>'Base GC'!Z69</f>
        <v>s/d</v>
      </c>
      <c r="V77" s="14" t="str">
        <f>'Base GC'!AA69</f>
        <v>s/d</v>
      </c>
      <c r="W77" s="14" t="str">
        <f>'Base GC'!AB69</f>
        <v>s/d</v>
      </c>
      <c r="X77" s="14" t="str">
        <f>'Base GC'!AC69</f>
        <v>s/d</v>
      </c>
      <c r="Y77" s="4" t="str">
        <f>'Base GC'!AD69</f>
        <v>GASTO CORRIENTE</v>
      </c>
    </row>
    <row r="78" spans="1:25">
      <c r="A78" s="6" t="s">
        <v>215</v>
      </c>
      <c r="B78" s="6"/>
      <c r="C78" s="6"/>
      <c r="D78" s="7">
        <f>SUM(D79:D79)</f>
        <v>17500.0</v>
      </c>
      <c r="E78" s="7">
        <f>SUM(E79:E79)</f>
        <v>0.0</v>
      </c>
      <c r="F78" s="7">
        <f>D78-E78</f>
        <v>17500.0</v>
      </c>
      <c r="G78" s="7">
        <f>SUM(G79:G79)</f>
        <v>0.0</v>
      </c>
      <c r="H78" s="7">
        <f>SUM(H79:H79)</f>
        <v>0.0</v>
      </c>
      <c r="I78" s="7">
        <f>D78-H78</f>
        <v>17500.0</v>
      </c>
      <c r="J78" s="13">
        <f>IF(D78=0,0,H78/D78)</f>
        <v>0.0</v>
      </c>
      <c r="K78" s="6"/>
      <c r="L78" s="6"/>
      <c r="M78" s="7">
        <f>SUM(M79:M79)</f>
        <v>0.0</v>
      </c>
      <c r="N78" s="7">
        <f>SUM(N79:N79)</f>
        <v>17500.0</v>
      </c>
      <c r="O78" s="7">
        <f>SUM(O79:O79)</f>
        <v>0.0</v>
      </c>
      <c r="P78" s="7">
        <f>SUM(P79:P79)</f>
        <v>17500.0</v>
      </c>
      <c r="Q78" s="7">
        <f>SUM(Q79:Q79)</f>
        <v>0.0</v>
      </c>
      <c r="R78" s="7">
        <f>SUM(R79:R79)</f>
        <v>0</v>
      </c>
      <c r="S78" s="7">
        <f>SUM(S79:S79)</f>
        <v>0.0</v>
      </c>
      <c r="T78" s="7">
        <f>SUM(T79:T79)</f>
        <v>0.0</v>
      </c>
      <c r="U78" s="7">
        <f>SUM(U79:U79)</f>
        <v>0.0</v>
      </c>
      <c r="V78" s="7">
        <f>SUM(V79:V79)</f>
        <v>0.0</v>
      </c>
      <c r="W78" s="7">
        <f>SUM(W79:W79)</f>
        <v>0.0</v>
      </c>
      <c r="X78" s="7">
        <f>SUM(X79:X79)</f>
        <v>0.0</v>
      </c>
      <c r="Y78" s="6"/>
    </row>
    <row r="79" spans="1:25">
      <c r="A79" s="14">
        <f>SUBTOTAL(103,$B$6:B79)</f>
        <v>66</v>
      </c>
      <c r="B79" s="14">
        <v>527</v>
      </c>
      <c r="C79" s="4" t="s">
        <v>219</v>
      </c>
      <c r="D79" s="5">
        <f>'Base GC'!H70</f>
        <v>17500.0</v>
      </c>
      <c r="E79" s="5">
        <f>'Base GC'!I70</f>
        <v>0.0</v>
      </c>
      <c r="F79" s="5">
        <f>D79-E79</f>
        <v>17500.0</v>
      </c>
      <c r="G79" s="5">
        <f>'Base GC'!J70</f>
        <v>0.0</v>
      </c>
      <c r="H79" s="5">
        <f>'Base GC'!K70</f>
        <v>0.0</v>
      </c>
      <c r="I79" s="5">
        <f>D79-H79</f>
        <v>17500.0</v>
      </c>
      <c r="J79" s="15">
        <f>IF(D79=0,0,H79/D79)</f>
        <v>0.0</v>
      </c>
      <c r="K79" s="4" t="str">
        <f>'Base GC'!Q70</f>
        <v>Sin certificar</v>
      </c>
      <c r="L79" s="14" t="str">
        <f>'Base GC'!R70</f>
        <v>Disponible</v>
      </c>
      <c r="M79" s="5">
        <f>'Base GC'!M70</f>
        <v>0.0</v>
      </c>
      <c r="N79" s="5">
        <f>'Base GC'!S70</f>
        <v>17500.0</v>
      </c>
      <c r="O79" s="5">
        <f>'Base GC'!T70</f>
        <v>0.0</v>
      </c>
      <c r="P79" s="5">
        <f>'Base GC'!U70</f>
        <v>17500.0</v>
      </c>
      <c r="Q79" s="5">
        <f>'Base GC'!V70</f>
        <v>0.0</v>
      </c>
      <c r="R79" s="5">
        <f>'Base GC'!W70</f>
        <v>0</v>
      </c>
      <c r="S79" s="14" t="str">
        <f>'Base GC'!X70</f>
        <v>s/d</v>
      </c>
      <c r="T79" s="14" t="str">
        <f>'Base GC'!Y70</f>
        <v>s/d</v>
      </c>
      <c r="U79" s="14" t="str">
        <f>'Base GC'!Z70</f>
        <v>s/d</v>
      </c>
      <c r="V79" s="14" t="str">
        <f>'Base GC'!AA70</f>
        <v>s/d</v>
      </c>
      <c r="W79" s="14" t="str">
        <f>'Base GC'!AB70</f>
        <v>s/d</v>
      </c>
      <c r="X79" s="14" t="str">
        <f>'Base GC'!AC70</f>
        <v>s/d</v>
      </c>
      <c r="Y79" s="4">
        <f>'Base GC'!AD70</f>
        <v/>
      </c>
    </row>
    <row r="80" spans="1:25">
      <c r="A80" s="6" t="s">
        <v>220</v>
      </c>
      <c r="B80" s="6"/>
      <c r="C80" s="6"/>
      <c r="D80" s="7">
        <f>SUM(D81:D84)</f>
        <v>1516146.0</v>
      </c>
      <c r="E80" s="7">
        <f>SUM(E81:E84)</f>
        <v>1392267.4</v>
      </c>
      <c r="F80" s="7">
        <f>D80-E80</f>
        <v>123878.6000000001</v>
      </c>
      <c r="G80" s="7">
        <f>SUM(G81:G84)</f>
        <v>1398267.4</v>
      </c>
      <c r="H80" s="7">
        <f>SUM(H81:H84)</f>
        <v>347898.28</v>
      </c>
      <c r="I80" s="7">
        <f>D80-H80</f>
        <v>1168247.72</v>
      </c>
      <c r="J80" s="13">
        <f>IF(D80=0,0,H80/D80)</f>
        <v>0.2294622549543382</v>
      </c>
      <c r="K80" s="6"/>
      <c r="L80" s="6"/>
      <c r="M80" s="7">
        <f>SUM(M81:M84)</f>
        <v>-6000.0</v>
      </c>
      <c r="N80" s="7">
        <f>SUM(N81:N84)</f>
        <v>117878.6</v>
      </c>
      <c r="O80" s="7">
        <f>SUM(O81:O84)</f>
        <v>0.0</v>
      </c>
      <c r="P80" s="7">
        <f>SUM(P81:P84)</f>
        <v>1035274.0</v>
      </c>
      <c r="Q80" s="7">
        <f>SUM(Q81:Q84)</f>
        <v>0.0</v>
      </c>
      <c r="R80" s="7">
        <f>SUM(R81:R84)</f>
        <v>480872.0</v>
      </c>
      <c r="S80" s="7">
        <f>SUM(S81:S84)</f>
        <v>0.0</v>
      </c>
      <c r="T80" s="7">
        <f>SUM(T81:T84)</f>
        <v>0.0</v>
      </c>
      <c r="U80" s="7">
        <f>SUM(U81:U84)</f>
        <v>0.0</v>
      </c>
      <c r="V80" s="7">
        <f>SUM(V81:V84)</f>
        <v>0.0</v>
      </c>
      <c r="W80" s="7">
        <f>SUM(W81:W84)</f>
        <v>0.0</v>
      </c>
      <c r="X80" s="7">
        <f>SUM(X81:X84)</f>
        <v>0.0</v>
      </c>
      <c r="Y80" s="6"/>
    </row>
    <row r="81" spans="1:25">
      <c r="A81" s="14">
        <f>SUBTOTAL(103,$B$6:B81)</f>
        <v>67</v>
      </c>
      <c r="B81" s="14">
        <v>17</v>
      </c>
      <c r="C81" s="4" t="s">
        <v>224</v>
      </c>
      <c r="D81" s="5">
        <f>'Base GC'!H71</f>
        <v>685373.0</v>
      </c>
      <c r="E81" s="5">
        <f>'Base GC'!I71</f>
        <v>621850.0</v>
      </c>
      <c r="F81" s="5">
        <f>D81-E81</f>
        <v>63523.0</v>
      </c>
      <c r="G81" s="5">
        <f>'Base GC'!J71</f>
        <v>627850.0</v>
      </c>
      <c r="H81" s="5">
        <f>'Base GC'!K71</f>
        <v>108850.0</v>
      </c>
      <c r="I81" s="5">
        <f>D81-H81</f>
        <v>576523.0</v>
      </c>
      <c r="J81" s="15">
        <f>IF(D81=0,0,H81/D81)</f>
        <v>0.15881862868832008</v>
      </c>
      <c r="K81" s="4" t="str">
        <f>'Base GC'!Q71</f>
        <v>Mayormente comprometido</v>
      </c>
      <c r="L81" s="14" t="str">
        <f>'Base GC'!R71</f>
        <v>Difícil</v>
      </c>
      <c r="M81" s="5">
        <f>'Base GC'!M71</f>
        <v>-6000.0</v>
      </c>
      <c r="N81" s="5">
        <f>'Base GC'!S71</f>
        <v>57523.0</v>
      </c>
      <c r="O81" s="5">
        <f>'Base GC'!T71</f>
        <v>0.0</v>
      </c>
      <c r="P81" s="5">
        <f>'Base GC'!U71</f>
        <v>204501.0</v>
      </c>
      <c r="Q81" s="5">
        <f>'Base GC'!V71</f>
        <v>0.0</v>
      </c>
      <c r="R81" s="5">
        <f>'Base GC'!W71</f>
        <v>480872.0</v>
      </c>
      <c r="S81" s="14" t="str">
        <f>'Base GC'!X71</f>
        <v>s/d</v>
      </c>
      <c r="T81" s="14" t="str">
        <f>'Base GC'!Y71</f>
        <v>s/d</v>
      </c>
      <c r="U81" s="14" t="str">
        <f>'Base GC'!Z71</f>
        <v>s/d</v>
      </c>
      <c r="V81" s="14" t="str">
        <f>'Base GC'!AA71</f>
        <v>s/d</v>
      </c>
      <c r="W81" s="14" t="str">
        <f>'Base GC'!AB71</f>
        <v>s/d</v>
      </c>
      <c r="X81" s="14" t="str">
        <f>'Base GC'!AC71</f>
        <v>s/d</v>
      </c>
      <c r="Y81" s="4" t="str">
        <f>'Base GC'!AD71</f>
        <v>GASTO CORRIENTE</v>
      </c>
    </row>
    <row r="82" spans="1:25">
      <c r="A82" s="14">
        <f>SUBTOTAL(103,$B$6:B82)</f>
        <v>68</v>
      </c>
      <c r="B82" s="14">
        <v>18</v>
      </c>
      <c r="C82" s="4" t="s">
        <v>227</v>
      </c>
      <c r="D82" s="5">
        <f>'Base GC'!H72</f>
        <v>483570.0</v>
      </c>
      <c r="E82" s="5">
        <f>'Base GC'!I72</f>
        <v>446040.0</v>
      </c>
      <c r="F82" s="5">
        <f>D82-E82</f>
        <v>37530.0</v>
      </c>
      <c r="G82" s="5">
        <f>'Base GC'!J72</f>
        <v>446040.0</v>
      </c>
      <c r="H82" s="5">
        <f>'Base GC'!K72</f>
        <v>89208.0</v>
      </c>
      <c r="I82" s="5">
        <f>D82-H82</f>
        <v>394362.0</v>
      </c>
      <c r="J82" s="15">
        <f>IF(D82=0,0,H82/D82)</f>
        <v>0.18447794528196537</v>
      </c>
      <c r="K82" s="4" t="str">
        <f>'Base GC'!Q72</f>
        <v>Mayormente comprometido</v>
      </c>
      <c r="L82" s="14" t="str">
        <f>'Base GC'!R72</f>
        <v>Difícil</v>
      </c>
      <c r="M82" s="5">
        <f>'Base GC'!M72</f>
        <v>0.0</v>
      </c>
      <c r="N82" s="5">
        <f>'Base GC'!S72</f>
        <v>37530.0</v>
      </c>
      <c r="O82" s="5">
        <f>'Base GC'!T72</f>
        <v>0.0</v>
      </c>
      <c r="P82" s="5">
        <f>'Base GC'!U72</f>
        <v>483570.0</v>
      </c>
      <c r="Q82" s="5">
        <f>'Base GC'!V72</f>
        <v>0.0</v>
      </c>
      <c r="R82" s="5">
        <f>'Base GC'!W72</f>
        <v>0</v>
      </c>
      <c r="S82" s="14" t="str">
        <f>'Base GC'!X72</f>
        <v>s/d</v>
      </c>
      <c r="T82" s="14" t="str">
        <f>'Base GC'!Y72</f>
        <v>s/d</v>
      </c>
      <c r="U82" s="14" t="str">
        <f>'Base GC'!Z72</f>
        <v>s/d</v>
      </c>
      <c r="V82" s="14" t="str">
        <f>'Base GC'!AA72</f>
        <v>s/d</v>
      </c>
      <c r="W82" s="14" t="str">
        <f>'Base GC'!AB72</f>
        <v>s/d</v>
      </c>
      <c r="X82" s="14" t="str">
        <f>'Base GC'!AC72</f>
        <v>s/d</v>
      </c>
      <c r="Y82" s="4" t="str">
        <f>'Base GC'!AD72</f>
        <v>GASTO CORRIENTE</v>
      </c>
    </row>
    <row r="83" spans="1:25">
      <c r="A83" s="14">
        <f>SUBTOTAL(103,$B$6:B83)</f>
        <v>69</v>
      </c>
      <c r="B83" s="14">
        <v>466</v>
      </c>
      <c r="C83" s="4" t="s">
        <v>230</v>
      </c>
      <c r="D83" s="5">
        <f>'Base GC'!H73</f>
        <v>198613.0</v>
      </c>
      <c r="E83" s="5">
        <f>'Base GC'!I73</f>
        <v>190176.0</v>
      </c>
      <c r="F83" s="5">
        <f>D83-E83</f>
        <v>8437.0</v>
      </c>
      <c r="G83" s="5">
        <f>'Base GC'!J73</f>
        <v>190176.0</v>
      </c>
      <c r="H83" s="5">
        <f>'Base GC'!K73</f>
        <v>123000.0</v>
      </c>
      <c r="I83" s="5">
        <f>D83-H83</f>
        <v>75613.0</v>
      </c>
      <c r="J83" s="15">
        <f>IF(D83=0,0,H83/D83)</f>
        <v>0.6192948095039096</v>
      </c>
      <c r="K83" s="4" t="str">
        <f>'Base GC'!Q73</f>
        <v>Mayormente comprometido</v>
      </c>
      <c r="L83" s="14" t="str">
        <f>'Base GC'!R73</f>
        <v>Difícil</v>
      </c>
      <c r="M83" s="5">
        <f>'Base GC'!M73</f>
        <v>0.0</v>
      </c>
      <c r="N83" s="5">
        <f>'Base GC'!S73</f>
        <v>8437.0</v>
      </c>
      <c r="O83" s="5">
        <f>'Base GC'!T73</f>
        <v>0.0</v>
      </c>
      <c r="P83" s="5">
        <f>'Base GC'!U73</f>
        <v>198613.0</v>
      </c>
      <c r="Q83" s="5">
        <f>'Base GC'!V73</f>
        <v>0.0</v>
      </c>
      <c r="R83" s="5">
        <f>'Base GC'!W73</f>
        <v>0</v>
      </c>
      <c r="S83" s="14" t="str">
        <f>'Base GC'!X73</f>
        <v>s/d</v>
      </c>
      <c r="T83" s="14" t="str">
        <f>'Base GC'!Y73</f>
        <v>s/d</v>
      </c>
      <c r="U83" s="14" t="str">
        <f>'Base GC'!Z73</f>
        <v>s/d</v>
      </c>
      <c r="V83" s="14" t="str">
        <f>'Base GC'!AA73</f>
        <v>s/d</v>
      </c>
      <c r="W83" s="14" t="str">
        <f>'Base GC'!AB73</f>
        <v>s/d</v>
      </c>
      <c r="X83" s="14" t="str">
        <f>'Base GC'!AC73</f>
        <v>s/d</v>
      </c>
      <c r="Y83" s="4" t="str">
        <f>'Base GC'!AD73</f>
        <v>GASTO CORRIENTE</v>
      </c>
    </row>
    <row r="84" spans="1:25">
      <c r="A84" s="14">
        <f>SUBTOTAL(103,$B$6:B84)</f>
        <v>70</v>
      </c>
      <c r="B84" s="14">
        <v>19</v>
      </c>
      <c r="C84" s="4" t="s">
        <v>232</v>
      </c>
      <c r="D84" s="5">
        <f>'Base GC'!H74</f>
        <v>148590.0</v>
      </c>
      <c r="E84" s="5">
        <f>'Base GC'!I74</f>
        <v>134201.4</v>
      </c>
      <c r="F84" s="5">
        <f>D84-E84</f>
        <v>14388.600000000006</v>
      </c>
      <c r="G84" s="5">
        <f>'Base GC'!J74</f>
        <v>134201.4</v>
      </c>
      <c r="H84" s="5">
        <f>'Base GC'!K74</f>
        <v>26840.28</v>
      </c>
      <c r="I84" s="5">
        <f>D84-H84</f>
        <v>121749.72</v>
      </c>
      <c r="J84" s="15">
        <f>IF(D84=0,0,H84/D84)</f>
        <v>0.1806331516252776</v>
      </c>
      <c r="K84" s="4" t="str">
        <f>'Base GC'!Q74</f>
        <v>Mayormente comprometido</v>
      </c>
      <c r="L84" s="14" t="str">
        <f>'Base GC'!R74</f>
        <v>Difícil</v>
      </c>
      <c r="M84" s="5">
        <f>'Base GC'!M74</f>
        <v>0.0</v>
      </c>
      <c r="N84" s="5">
        <f>'Base GC'!S74</f>
        <v>14388.600000000006</v>
      </c>
      <c r="O84" s="5">
        <f>'Base GC'!T74</f>
        <v>0.0</v>
      </c>
      <c r="P84" s="5">
        <f>'Base GC'!U74</f>
        <v>148590.0</v>
      </c>
      <c r="Q84" s="5">
        <f>'Base GC'!V74</f>
        <v>0.0</v>
      </c>
      <c r="R84" s="5">
        <f>'Base GC'!W74</f>
        <v>0</v>
      </c>
      <c r="S84" s="14" t="str">
        <f>'Base GC'!X74</f>
        <v>s/d</v>
      </c>
      <c r="T84" s="14" t="str">
        <f>'Base GC'!Y74</f>
        <v>s/d</v>
      </c>
      <c r="U84" s="14" t="str">
        <f>'Base GC'!Z74</f>
        <v>s/d</v>
      </c>
      <c r="V84" s="14" t="str">
        <f>'Base GC'!AA74</f>
        <v>s/d</v>
      </c>
      <c r="W84" s="14" t="str">
        <f>'Base GC'!AB74</f>
        <v>s/d</v>
      </c>
      <c r="X84" s="14" t="str">
        <f>'Base GC'!AC74</f>
        <v>s/d</v>
      </c>
      <c r="Y84" s="4" t="str">
        <f>'Base GC'!AD74</f>
        <v>GASTO CORRIENTE</v>
      </c>
    </row>
    <row r="85" spans="1:25">
      <c r="A85" s="6" t="s">
        <v>233</v>
      </c>
      <c r="B85" s="6"/>
      <c r="C85" s="6"/>
      <c r="D85" s="7">
        <f>SUM(D86:D89)</f>
        <v>827796.0</v>
      </c>
      <c r="E85" s="7">
        <f>SUM(E86:E89)</f>
        <v>523242.0</v>
      </c>
      <c r="F85" s="7">
        <f>D85-E85</f>
        <v>304554.0</v>
      </c>
      <c r="G85" s="7">
        <f>SUM(G86:G89)</f>
        <v>224145.26</v>
      </c>
      <c r="H85" s="7">
        <f>SUM(H86:H89)</f>
        <v>170767.76</v>
      </c>
      <c r="I85" s="7">
        <f>D85-H85</f>
        <v>657028.24</v>
      </c>
      <c r="J85" s="13">
        <f>IF(D85=0,0,H85/D85)</f>
        <v>0.206292081623975</v>
      </c>
      <c r="K85" s="6"/>
      <c r="L85" s="6"/>
      <c r="M85" s="7">
        <f>SUM(M86:M89)</f>
        <v>299096.74</v>
      </c>
      <c r="N85" s="7">
        <f>SUM(N86:N89)</f>
        <v>603650.74</v>
      </c>
      <c r="O85" s="7">
        <f>SUM(O86:O89)</f>
        <v>0.0</v>
      </c>
      <c r="P85" s="7">
        <f>SUM(P86:P89)</f>
        <v>424596.0</v>
      </c>
      <c r="Q85" s="7">
        <f>SUM(Q86:Q89)</f>
        <v>0.0</v>
      </c>
      <c r="R85" s="7">
        <f>SUM(R86:R89)</f>
        <v>403200.0</v>
      </c>
      <c r="S85" s="7">
        <f>SUM(S86:S89)</f>
        <v>0.0</v>
      </c>
      <c r="T85" s="7">
        <f>SUM(T86:T89)</f>
        <v>0.0</v>
      </c>
      <c r="U85" s="7">
        <f>SUM(U86:U89)</f>
        <v>0.0</v>
      </c>
      <c r="V85" s="7">
        <f>SUM(V86:V89)</f>
        <v>0.0</v>
      </c>
      <c r="W85" s="7">
        <f>SUM(W86:W89)</f>
        <v>0.0</v>
      </c>
      <c r="X85" s="7">
        <f>SUM(X86:X89)</f>
        <v>0.0</v>
      </c>
      <c r="Y85" s="6"/>
    </row>
    <row r="86" spans="1:25">
      <c r="A86" s="14">
        <f>SUBTOTAL(103,$B$6:B86)</f>
        <v>71</v>
      </c>
      <c r="B86" s="14">
        <v>468</v>
      </c>
      <c r="C86" s="4" t="s">
        <v>237</v>
      </c>
      <c r="D86" s="5">
        <f>'Base GC'!H75</f>
        <v>295200.0</v>
      </c>
      <c r="E86" s="5">
        <f>'Base GC'!I75</f>
        <v>295200.0</v>
      </c>
      <c r="F86" s="5">
        <f>D86-E86</f>
        <v>0.0</v>
      </c>
      <c r="G86" s="5">
        <f>'Base GC'!J75</f>
        <v>0.0</v>
      </c>
      <c r="H86" s="5">
        <f>'Base GC'!K75</f>
        <v>0.0</v>
      </c>
      <c r="I86" s="5">
        <f>D86-H86</f>
        <v>295200.0</v>
      </c>
      <c r="J86" s="15">
        <f>IF(D86=0,0,H86/D86)</f>
        <v>0.0</v>
      </c>
      <c r="K86" s="4" t="str">
        <f>'Base GC'!Q75</f>
        <v>Solo certificado</v>
      </c>
      <c r="L86" s="14" t="str">
        <f>'Base GC'!R75</f>
        <v>Posible</v>
      </c>
      <c r="M86" s="5">
        <f>'Base GC'!M75</f>
        <v>295200.0</v>
      </c>
      <c r="N86" s="5">
        <f>'Base GC'!S75</f>
        <v>295200.0</v>
      </c>
      <c r="O86" s="5">
        <f>'Base GC'!T75</f>
        <v>0.0</v>
      </c>
      <c r="P86" s="5">
        <f>'Base GC'!U75</f>
        <v>0.0</v>
      </c>
      <c r="Q86" s="5">
        <f>'Base GC'!V75</f>
        <v>0.0</v>
      </c>
      <c r="R86" s="5">
        <f>'Base GC'!W75</f>
        <v>295200.0</v>
      </c>
      <c r="S86" s="14" t="str">
        <f>'Base GC'!X75</f>
        <v>s/d</v>
      </c>
      <c r="T86" s="14" t="str">
        <f>'Base GC'!Y75</f>
        <v>s/d</v>
      </c>
      <c r="U86" s="14" t="str">
        <f>'Base GC'!Z75</f>
        <v>s/d</v>
      </c>
      <c r="V86" s="14" t="str">
        <f>'Base GC'!AA75</f>
        <v>s/d</v>
      </c>
      <c r="W86" s="14" t="str">
        <f>'Base GC'!AB75</f>
        <v>s/d</v>
      </c>
      <c r="X86" s="14" t="str">
        <f>'Base GC'!AC75</f>
        <v>s/d</v>
      </c>
      <c r="Y86" s="4">
        <f>'Base GC'!AD75</f>
        <v/>
      </c>
    </row>
    <row r="87" spans="1:25">
      <c r="A87" s="14">
        <f>SUBTOTAL(103,$B$6:B87)</f>
        <v>72</v>
      </c>
      <c r="B87" s="14">
        <v>296</v>
      </c>
      <c r="C87" s="4" t="s">
        <v>239</v>
      </c>
      <c r="D87" s="5">
        <f>'Base GC'!H76</f>
        <v>276933.0</v>
      </c>
      <c r="E87" s="5">
        <f>'Base GC'!I76</f>
        <v>0.0</v>
      </c>
      <c r="F87" s="5">
        <f>D87-E87</f>
        <v>276933.0</v>
      </c>
      <c r="G87" s="5">
        <f>'Base GC'!J76</f>
        <v>0.0</v>
      </c>
      <c r="H87" s="5">
        <f>'Base GC'!K76</f>
        <v>0.0</v>
      </c>
      <c r="I87" s="5">
        <f>D87-H87</f>
        <v>276933.0</v>
      </c>
      <c r="J87" s="15">
        <f>IF(D87=0,0,H87/D87)</f>
        <v>0.0</v>
      </c>
      <c r="K87" s="4" t="str">
        <f>'Base GC'!Q76</f>
        <v>Sin certificar</v>
      </c>
      <c r="L87" s="14" t="str">
        <f>'Base GC'!R76</f>
        <v>Disponible</v>
      </c>
      <c r="M87" s="5">
        <f>'Base GC'!M76</f>
        <v>0.0</v>
      </c>
      <c r="N87" s="5">
        <f>'Base GC'!S76</f>
        <v>276933.0</v>
      </c>
      <c r="O87" s="5">
        <f>'Base GC'!T76</f>
        <v>0.0</v>
      </c>
      <c r="P87" s="5">
        <f>'Base GC'!U76</f>
        <v>276933.0</v>
      </c>
      <c r="Q87" s="5">
        <f>'Base GC'!V76</f>
        <v>0.0</v>
      </c>
      <c r="R87" s="5">
        <f>'Base GC'!W76</f>
        <v>0</v>
      </c>
      <c r="S87" s="14" t="str">
        <f>'Base GC'!X76</f>
        <v>s/d</v>
      </c>
      <c r="T87" s="14" t="str">
        <f>'Base GC'!Y76</f>
        <v>s/d</v>
      </c>
      <c r="U87" s="14" t="str">
        <f>'Base GC'!Z76</f>
        <v>s/d</v>
      </c>
      <c r="V87" s="14" t="str">
        <f>'Base GC'!AA76</f>
        <v>s/d</v>
      </c>
      <c r="W87" s="14" t="str">
        <f>'Base GC'!AB76</f>
        <v>s/d</v>
      </c>
      <c r="X87" s="14" t="str">
        <f>'Base GC'!AC76</f>
        <v>s/d</v>
      </c>
      <c r="Y87" s="4" t="str">
        <f>'Base GC'!AD76</f>
        <v>GASTO CORRIENTE</v>
      </c>
    </row>
    <row r="88" spans="1:25">
      <c r="A88" s="14">
        <f>SUBTOTAL(103,$B$6:B88)</f>
        <v>73</v>
      </c>
      <c r="B88" s="14">
        <v>469</v>
      </c>
      <c r="C88" s="4" t="s">
        <v>242</v>
      </c>
      <c r="D88" s="5">
        <f>'Base GC'!H77</f>
        <v>147663.0</v>
      </c>
      <c r="E88" s="5">
        <f>'Base GC'!I77</f>
        <v>120042.0</v>
      </c>
      <c r="F88" s="5">
        <f>D88-E88</f>
        <v>27621.0</v>
      </c>
      <c r="G88" s="5">
        <f>'Base GC'!J77</f>
        <v>116145.26000000001</v>
      </c>
      <c r="H88" s="5">
        <f>'Base GC'!K77</f>
        <v>62767.76</v>
      </c>
      <c r="I88" s="5">
        <f>D88-H88</f>
        <v>84895.23999999999</v>
      </c>
      <c r="J88" s="15">
        <f>IF(D88=0,0,H88/D88)</f>
        <v>0.4250743923664019</v>
      </c>
      <c r="K88" s="4" t="str">
        <f>'Base GC'!Q77</f>
        <v>Mayormente comprometido</v>
      </c>
      <c r="L88" s="14" t="str">
        <f>'Base GC'!R77</f>
        <v>Difícil</v>
      </c>
      <c r="M88" s="5">
        <f>'Base GC'!M77</f>
        <v>3896.7399999999907</v>
      </c>
      <c r="N88" s="5">
        <f>'Base GC'!S77</f>
        <v>31517.73999999999</v>
      </c>
      <c r="O88" s="5">
        <f>'Base GC'!T77</f>
        <v>0.0</v>
      </c>
      <c r="P88" s="5">
        <f>'Base GC'!U77</f>
        <v>147663.0</v>
      </c>
      <c r="Q88" s="5">
        <f>'Base GC'!V77</f>
        <v>0.0</v>
      </c>
      <c r="R88" s="5">
        <f>'Base GC'!W77</f>
        <v>0</v>
      </c>
      <c r="S88" s="14" t="str">
        <f>'Base GC'!X77</f>
        <v>s/d</v>
      </c>
      <c r="T88" s="14" t="str">
        <f>'Base GC'!Y77</f>
        <v>s/d</v>
      </c>
      <c r="U88" s="14" t="str">
        <f>'Base GC'!Z77</f>
        <v>s/d</v>
      </c>
      <c r="V88" s="14" t="str">
        <f>'Base GC'!AA77</f>
        <v>s/d</v>
      </c>
      <c r="W88" s="14" t="str">
        <f>'Base GC'!AB77</f>
        <v>s/d</v>
      </c>
      <c r="X88" s="14" t="str">
        <f>'Base GC'!AC77</f>
        <v>s/d</v>
      </c>
      <c r="Y88" s="4">
        <f>'Base GC'!AD77</f>
        <v/>
      </c>
    </row>
    <row r="89" spans="1:25">
      <c r="A89" s="14">
        <f>SUBTOTAL(103,$B$6:B89)</f>
        <v>74</v>
      </c>
      <c r="B89" s="14">
        <v>467</v>
      </c>
      <c r="C89" s="4" t="s">
        <v>246</v>
      </c>
      <c r="D89" s="5">
        <f>'Base GC'!H78</f>
        <v>108000.0</v>
      </c>
      <c r="E89" s="5">
        <f>'Base GC'!I78</f>
        <v>108000.0</v>
      </c>
      <c r="F89" s="5">
        <f>D89-E89</f>
        <v>0.0</v>
      </c>
      <c r="G89" s="5">
        <f>'Base GC'!J78</f>
        <v>108000.0</v>
      </c>
      <c r="H89" s="5">
        <f>'Base GC'!K78</f>
        <v>108000.0</v>
      </c>
      <c r="I89" s="5">
        <f>D89-H89</f>
        <v>0.0</v>
      </c>
      <c r="J89" s="15">
        <f>IF(D89=0,0,H89/D89)</f>
        <v>1.0</v>
      </c>
      <c r="K89" s="4" t="str">
        <f>'Base GC'!Q78</f>
        <v>Ejecutado</v>
      </c>
      <c r="L89" s="14" t="str">
        <f>'Base GC'!R78</f>
        <v>No usar</v>
      </c>
      <c r="M89" s="5">
        <f>'Base GC'!M78</f>
        <v>0.0</v>
      </c>
      <c r="N89" s="5">
        <f>'Base GC'!S78</f>
        <v>0.0</v>
      </c>
      <c r="O89" s="5">
        <f>'Base GC'!T78</f>
        <v>0.0</v>
      </c>
      <c r="P89" s="5">
        <f>'Base GC'!U78</f>
        <v>0.0</v>
      </c>
      <c r="Q89" s="5">
        <f>'Base GC'!V78</f>
        <v>0.0</v>
      </c>
      <c r="R89" s="5">
        <f>'Base GC'!W78</f>
        <v>108000.0</v>
      </c>
      <c r="S89" s="14" t="str">
        <f>'Base GC'!X78</f>
        <v>s/d</v>
      </c>
      <c r="T89" s="14" t="str">
        <f>'Base GC'!Y78</f>
        <v>s/d</v>
      </c>
      <c r="U89" s="14" t="str">
        <f>'Base GC'!Z78</f>
        <v>s/d</v>
      </c>
      <c r="V89" s="14" t="str">
        <f>'Base GC'!AA78</f>
        <v>s/d</v>
      </c>
      <c r="W89" s="14" t="str">
        <f>'Base GC'!AB78</f>
        <v>s/d</v>
      </c>
      <c r="X89" s="14" t="str">
        <f>'Base GC'!AC78</f>
        <v>s/d</v>
      </c>
      <c r="Y89" s="4">
        <f>'Base GC'!AD78</f>
        <v/>
      </c>
    </row>
    <row r="90" spans="1:25">
      <c r="A90" s="6" t="s">
        <v>247</v>
      </c>
      <c r="B90" s="6"/>
      <c r="C90" s="6"/>
      <c r="D90" s="7">
        <f>SUM(D91:D94)</f>
        <v>2310603.0</v>
      </c>
      <c r="E90" s="7">
        <f>SUM(E91:E94)</f>
        <v>2093004.23</v>
      </c>
      <c r="F90" s="7">
        <f>D90-E90</f>
        <v>217598.77000000002</v>
      </c>
      <c r="G90" s="7">
        <f>SUM(G91:G94)</f>
        <v>2066307.9300000002</v>
      </c>
      <c r="H90" s="7">
        <f>SUM(H91:H94)</f>
        <v>1425517.05</v>
      </c>
      <c r="I90" s="7">
        <f>D90-H90</f>
        <v>885085.95</v>
      </c>
      <c r="J90" s="13">
        <f>IF(D90=0,0,H90/D90)</f>
        <v>0.6169459011348986</v>
      </c>
      <c r="K90" s="6"/>
      <c r="L90" s="6"/>
      <c r="M90" s="7">
        <f>SUM(M91:M94)</f>
        <v>26696.29999999993</v>
      </c>
      <c r="N90" s="7">
        <f>SUM(N91:N94)</f>
        <v>244295.06999999983</v>
      </c>
      <c r="O90" s="7">
        <f>SUM(O91:O94)</f>
        <v>819196.0</v>
      </c>
      <c r="P90" s="7">
        <f>SUM(P91:P94)</f>
        <v>1059244.0</v>
      </c>
      <c r="Q90" s="7">
        <f>SUM(Q91:Q94)</f>
        <v>0.0</v>
      </c>
      <c r="R90" s="7">
        <f>SUM(R91:R94)</f>
        <v>432163.0</v>
      </c>
      <c r="S90" s="7">
        <f>SUM(S91:S94)</f>
        <v>0.0</v>
      </c>
      <c r="T90" s="7">
        <f>SUM(T91:T94)</f>
        <v>0.0</v>
      </c>
      <c r="U90" s="7">
        <f>SUM(U91:U94)</f>
        <v>0.0</v>
      </c>
      <c r="V90" s="7">
        <f>SUM(V91:V94)</f>
        <v>0.0</v>
      </c>
      <c r="W90" s="7">
        <f>SUM(W91:W94)</f>
        <v>0.0</v>
      </c>
      <c r="X90" s="7">
        <f>SUM(X91:X94)</f>
        <v>0.0</v>
      </c>
      <c r="Y90" s="6"/>
    </row>
    <row r="91" spans="1:25">
      <c r="A91" s="14">
        <f>SUBTOTAL(103,$B$6:B91)</f>
        <v>75</v>
      </c>
      <c r="B91" s="14">
        <v>85</v>
      </c>
      <c r="C91" s="4" t="s">
        <v>251</v>
      </c>
      <c r="D91" s="5">
        <f>'Base GC'!H79</f>
        <v>1146585.0</v>
      </c>
      <c r="E91" s="5">
        <f>'Base GC'!I79</f>
        <v>1046247.6000000001</v>
      </c>
      <c r="F91" s="5">
        <f>D91-E91</f>
        <v>100337.3999999999</v>
      </c>
      <c r="G91" s="5">
        <f>'Base GC'!J79</f>
        <v>1025365.9000000001</v>
      </c>
      <c r="H91" s="5">
        <f>'Base GC'!K79</f>
        <v>744832.4200000002</v>
      </c>
      <c r="I91" s="5">
        <f>D91-H91</f>
        <v>401752.57999999984</v>
      </c>
      <c r="J91" s="15">
        <f>IF(D91=0,0,H91/D91)</f>
        <v>0.6496094227641214</v>
      </c>
      <c r="K91" s="4" t="str">
        <f>'Base GC'!Q79</f>
        <v>Mayormente comprometido</v>
      </c>
      <c r="L91" s="14" t="str">
        <f>'Base GC'!R79</f>
        <v>Difícil</v>
      </c>
      <c r="M91" s="5">
        <f>'Base GC'!M79</f>
        <v>20881.699999999953</v>
      </c>
      <c r="N91" s="5">
        <f>'Base GC'!S79</f>
        <v>121219.09999999986</v>
      </c>
      <c r="O91" s="5">
        <f>'Base GC'!T79</f>
        <v>599215.0</v>
      </c>
      <c r="P91" s="5">
        <f>'Base GC'!U79</f>
        <v>337040.0</v>
      </c>
      <c r="Q91" s="5">
        <f>'Base GC'!V79</f>
        <v>0.0</v>
      </c>
      <c r="R91" s="5">
        <f>'Base GC'!W79</f>
        <v>210330.0</v>
      </c>
      <c r="S91" s="14" t="str">
        <f>'Base GC'!X79</f>
        <v>s/d</v>
      </c>
      <c r="T91" s="14" t="str">
        <f>'Base GC'!Y79</f>
        <v>s/d</v>
      </c>
      <c r="U91" s="14" t="str">
        <f>'Base GC'!Z79</f>
        <v>s/d</v>
      </c>
      <c r="V91" s="14" t="str">
        <f>'Base GC'!AA79</f>
        <v>s/d</v>
      </c>
      <c r="W91" s="14" t="str">
        <f>'Base GC'!AB79</f>
        <v>s/d</v>
      </c>
      <c r="X91" s="14" t="str">
        <f>'Base GC'!AC79</f>
        <v>s/d</v>
      </c>
      <c r="Y91" s="4" t="str">
        <f>'Base GC'!AD79</f>
        <v>GASTO CORRIENTE</v>
      </c>
    </row>
    <row r="92" spans="1:25">
      <c r="A92" s="14">
        <f>SUBTOTAL(103,$B$6:B92)</f>
        <v>76</v>
      </c>
      <c r="B92" s="14">
        <v>86</v>
      </c>
      <c r="C92" s="4" t="s">
        <v>251</v>
      </c>
      <c r="D92" s="5">
        <f>'Base GC'!H80</f>
        <v>774018.0</v>
      </c>
      <c r="E92" s="5">
        <f>'Base GC'!I80</f>
        <v>700313.5</v>
      </c>
      <c r="F92" s="5">
        <f>D92-E92</f>
        <v>73704.5</v>
      </c>
      <c r="G92" s="5">
        <f>'Base GC'!J80</f>
        <v>694498.9</v>
      </c>
      <c r="H92" s="5">
        <f>'Base GC'!K80</f>
        <v>447191.7</v>
      </c>
      <c r="I92" s="5">
        <f>D92-H92</f>
        <v>326826.3</v>
      </c>
      <c r="J92" s="15">
        <f>IF(D92=0,0,H92/D92)</f>
        <v>0.5777536181329117</v>
      </c>
      <c r="K92" s="4" t="str">
        <f>'Base GC'!Q80</f>
        <v>Mayormente comprometido</v>
      </c>
      <c r="L92" s="14" t="str">
        <f>'Base GC'!R80</f>
        <v>Difícil</v>
      </c>
      <c r="M92" s="5">
        <f>'Base GC'!M80</f>
        <v>5814.599999999977</v>
      </c>
      <c r="N92" s="5">
        <f>'Base GC'!S80</f>
        <v>79519.09999999998</v>
      </c>
      <c r="O92" s="5">
        <f>'Base GC'!T80</f>
        <v>219981.0</v>
      </c>
      <c r="P92" s="5">
        <f>'Base GC'!U80</f>
        <v>346706.0</v>
      </c>
      <c r="Q92" s="5">
        <f>'Base GC'!V80</f>
        <v>0.0</v>
      </c>
      <c r="R92" s="5">
        <f>'Base GC'!W80</f>
        <v>207331.0</v>
      </c>
      <c r="S92" s="14" t="str">
        <f>'Base GC'!X80</f>
        <v>s/d</v>
      </c>
      <c r="T92" s="14" t="str">
        <f>'Base GC'!Y80</f>
        <v>s/d</v>
      </c>
      <c r="U92" s="14" t="str">
        <f>'Base GC'!Z80</f>
        <v>s/d</v>
      </c>
      <c r="V92" s="14" t="str">
        <f>'Base GC'!AA80</f>
        <v>s/d</v>
      </c>
      <c r="W92" s="14" t="str">
        <f>'Base GC'!AB80</f>
        <v>s/d</v>
      </c>
      <c r="X92" s="14" t="str">
        <f>'Base GC'!AC80</f>
        <v>s/d</v>
      </c>
      <c r="Y92" s="4" t="str">
        <f>'Base GC'!AD80</f>
        <v>GASTO CORRIENTE</v>
      </c>
    </row>
    <row r="93" spans="1:25">
      <c r="A93" s="14">
        <f>SUBTOTAL(103,$B$6:B93)</f>
        <v>77</v>
      </c>
      <c r="B93" s="14">
        <v>302</v>
      </c>
      <c r="C93" s="4" t="s">
        <v>255</v>
      </c>
      <c r="D93" s="5">
        <f>'Base GC'!H81</f>
        <v>290000.0</v>
      </c>
      <c r="E93" s="5">
        <f>'Base GC'!I81</f>
        <v>284643.13</v>
      </c>
      <c r="F93" s="5">
        <f>D93-E93</f>
        <v>5356.869999999995</v>
      </c>
      <c r="G93" s="5">
        <f>'Base GC'!J81</f>
        <v>284643.13</v>
      </c>
      <c r="H93" s="5">
        <f>'Base GC'!K81</f>
        <v>191992.93</v>
      </c>
      <c r="I93" s="5">
        <f>D93-H93</f>
        <v>98007.07</v>
      </c>
      <c r="J93" s="15">
        <f>IF(D93=0,0,H93/D93)</f>
        <v>0.6620445862068965</v>
      </c>
      <c r="K93" s="4" t="str">
        <f>'Base GC'!Q81</f>
        <v>Mayormente comprometido</v>
      </c>
      <c r="L93" s="14" t="str">
        <f>'Base GC'!R81</f>
        <v>Difícil</v>
      </c>
      <c r="M93" s="5">
        <f>'Base GC'!M81</f>
        <v>0.0</v>
      </c>
      <c r="N93" s="5">
        <f>'Base GC'!S81</f>
        <v>5356.869999999995</v>
      </c>
      <c r="O93" s="5">
        <f>'Base GC'!T81</f>
        <v>0.0</v>
      </c>
      <c r="P93" s="5">
        <f>'Base GC'!U81</f>
        <v>275498.0</v>
      </c>
      <c r="Q93" s="5">
        <f>'Base GC'!V81</f>
        <v>0.0</v>
      </c>
      <c r="R93" s="5">
        <f>'Base GC'!W81</f>
        <v>14502.0</v>
      </c>
      <c r="S93" s="14" t="str">
        <f>'Base GC'!X81</f>
        <v>s/d</v>
      </c>
      <c r="T93" s="14" t="str">
        <f>'Base GC'!Y81</f>
        <v>s/d</v>
      </c>
      <c r="U93" s="14" t="str">
        <f>'Base GC'!Z81</f>
        <v>s/d</v>
      </c>
      <c r="V93" s="14" t="str">
        <f>'Base GC'!AA81</f>
        <v>s/d</v>
      </c>
      <c r="W93" s="14" t="str">
        <f>'Base GC'!AB81</f>
        <v>s/d</v>
      </c>
      <c r="X93" s="14" t="str">
        <f>'Base GC'!AC81</f>
        <v>s/d</v>
      </c>
      <c r="Y93" s="4" t="str">
        <f>'Base GC'!AD81</f>
        <v>GASTO CORRIENTE</v>
      </c>
    </row>
    <row r="94" spans="1:25">
      <c r="A94" s="14">
        <f>SUBTOTAL(103,$B$6:B94)</f>
        <v>78</v>
      </c>
      <c r="B94" s="14">
        <v>299</v>
      </c>
      <c r="C94" s="4" t="s">
        <v>258</v>
      </c>
      <c r="D94" s="5">
        <f>'Base GC'!H82</f>
        <v>100000.0</v>
      </c>
      <c r="E94" s="5">
        <f>'Base GC'!I82</f>
        <v>61800.0</v>
      </c>
      <c r="F94" s="5">
        <f>D94-E94</f>
        <v>38200.0</v>
      </c>
      <c r="G94" s="5">
        <f>'Base GC'!J82</f>
        <v>61800.0</v>
      </c>
      <c r="H94" s="5">
        <f>'Base GC'!K82</f>
        <v>41500.0</v>
      </c>
      <c r="I94" s="5">
        <f>D94-H94</f>
        <v>58500.0</v>
      </c>
      <c r="J94" s="15">
        <f>IF(D94=0,0,H94/D94)</f>
        <v>0.415</v>
      </c>
      <c r="K94" s="4" t="str">
        <f>'Base GC'!Q82</f>
        <v>Mayormente comprometido</v>
      </c>
      <c r="L94" s="14" t="str">
        <f>'Base GC'!R82</f>
        <v>Difícil</v>
      </c>
      <c r="M94" s="5">
        <f>'Base GC'!M82</f>
        <v>0.0</v>
      </c>
      <c r="N94" s="5">
        <f>'Base GC'!S82</f>
        <v>38200.0</v>
      </c>
      <c r="O94" s="5">
        <f>'Base GC'!T82</f>
        <v>0.0</v>
      </c>
      <c r="P94" s="5">
        <f>'Base GC'!U82</f>
        <v>100000.0</v>
      </c>
      <c r="Q94" s="5">
        <f>'Base GC'!V82</f>
        <v>0.0</v>
      </c>
      <c r="R94" s="5">
        <f>'Base GC'!W82</f>
        <v>0</v>
      </c>
      <c r="S94" s="14" t="str">
        <f>'Base GC'!X82</f>
        <v>s/d</v>
      </c>
      <c r="T94" s="14" t="str">
        <f>'Base GC'!Y82</f>
        <v>s/d</v>
      </c>
      <c r="U94" s="14" t="str">
        <f>'Base GC'!Z82</f>
        <v>s/d</v>
      </c>
      <c r="V94" s="14" t="str">
        <f>'Base GC'!AA82</f>
        <v>s/d</v>
      </c>
      <c r="W94" s="14" t="str">
        <f>'Base GC'!AB82</f>
        <v>s/d</v>
      </c>
      <c r="X94" s="14" t="str">
        <f>'Base GC'!AC82</f>
        <v>s/d</v>
      </c>
      <c r="Y94" s="4" t="str">
        <f>'Base GC'!AD82</f>
        <v>GASTO CORRIENTE</v>
      </c>
    </row>
    <row r="95" spans="1:25">
      <c r="A95" s="6" t="s">
        <v>259</v>
      </c>
      <c r="B95" s="6"/>
      <c r="C95" s="6"/>
      <c r="D95" s="7">
        <f>SUM(D96:D96)</f>
        <v>2491773.0</v>
      </c>
      <c r="E95" s="7">
        <f>SUM(E96:E96)</f>
        <v>2491773.0</v>
      </c>
      <c r="F95" s="7">
        <f>D95-E95</f>
        <v>0.0</v>
      </c>
      <c r="G95" s="7">
        <f>SUM(G96:G96)</f>
        <v>2491773.0</v>
      </c>
      <c r="H95" s="7">
        <f>SUM(H96:H96)</f>
        <v>1895535.64</v>
      </c>
      <c r="I95" s="7">
        <f>D95-H95</f>
        <v>596237.3600000001</v>
      </c>
      <c r="J95" s="13">
        <f>IF(D95=0,0,H95/D95)</f>
        <v>0.7607176255622</v>
      </c>
      <c r="K95" s="6"/>
      <c r="L95" s="6"/>
      <c r="M95" s="7">
        <f>SUM(M96:M96)</f>
        <v>0.0</v>
      </c>
      <c r="N95" s="7">
        <f>SUM(N96:N96)</f>
        <v>0.0</v>
      </c>
      <c r="O95" s="7">
        <f>SUM(O96:O96)</f>
        <v>0.0</v>
      </c>
      <c r="P95" s="7">
        <f>SUM(P96:P96)</f>
        <v>0.0</v>
      </c>
      <c r="Q95" s="7">
        <f>SUM(Q96:Q96)</f>
        <v>0.0</v>
      </c>
      <c r="R95" s="7">
        <f>SUM(R96:R96)</f>
        <v>2491773.0</v>
      </c>
      <c r="S95" s="7">
        <f>SUM(S96:S96)</f>
        <v>0.0</v>
      </c>
      <c r="T95" s="7">
        <f>SUM(T96:T96)</f>
        <v>0.0</v>
      </c>
      <c r="U95" s="7">
        <f>SUM(U96:U96)</f>
        <v>0.0</v>
      </c>
      <c r="V95" s="7">
        <f>SUM(V96:V96)</f>
        <v>0.0</v>
      </c>
      <c r="W95" s="7">
        <f>SUM(W96:W96)</f>
        <v>0.0</v>
      </c>
      <c r="X95" s="7">
        <f>SUM(X96:X96)</f>
        <v>0.0</v>
      </c>
      <c r="Y95" s="6"/>
    </row>
    <row r="96" spans="1:25">
      <c r="A96" s="14">
        <f>SUBTOTAL(103,$B$6:B96)</f>
        <v>79</v>
      </c>
      <c r="B96" s="14">
        <v>297</v>
      </c>
      <c r="C96" s="4" t="s">
        <v>262</v>
      </c>
      <c r="D96" s="5">
        <f>'Base GC'!H83</f>
        <v>2491773.0</v>
      </c>
      <c r="E96" s="5">
        <f>'Base GC'!I83</f>
        <v>2491773.0</v>
      </c>
      <c r="F96" s="5">
        <f>D96-E96</f>
        <v>0.0</v>
      </c>
      <c r="G96" s="5">
        <f>'Base GC'!J83</f>
        <v>2491773.0</v>
      </c>
      <c r="H96" s="5">
        <f>'Base GC'!K83</f>
        <v>1895535.64</v>
      </c>
      <c r="I96" s="5">
        <f>D96-H96</f>
        <v>596237.3600000001</v>
      </c>
      <c r="J96" s="15">
        <f>IF(D96=0,0,H96/D96)</f>
        <v>0.7607176255622</v>
      </c>
      <c r="K96" s="4" t="str">
        <f>'Base GC'!Q83</f>
        <v>Mayormente comprometido</v>
      </c>
      <c r="L96" s="14" t="str">
        <f>'Base GC'!R83</f>
        <v>Difícil</v>
      </c>
      <c r="M96" s="5">
        <f>'Base GC'!M83</f>
        <v>0.0</v>
      </c>
      <c r="N96" s="5">
        <f>'Base GC'!S83</f>
        <v>0.0</v>
      </c>
      <c r="O96" s="5">
        <f>'Base GC'!T83</f>
        <v>0.0</v>
      </c>
      <c r="P96" s="5">
        <f>'Base GC'!U83</f>
        <v>0.0</v>
      </c>
      <c r="Q96" s="5">
        <f>'Base GC'!V83</f>
        <v>0.0</v>
      </c>
      <c r="R96" s="5">
        <f>'Base GC'!W83</f>
        <v>2491773.0</v>
      </c>
      <c r="S96" s="14" t="str">
        <f>'Base GC'!X83</f>
        <v>s/d</v>
      </c>
      <c r="T96" s="14" t="str">
        <f>'Base GC'!Y83</f>
        <v>s/d</v>
      </c>
      <c r="U96" s="14" t="str">
        <f>'Base GC'!Z83</f>
        <v>s/d</v>
      </c>
      <c r="V96" s="14" t="str">
        <f>'Base GC'!AA83</f>
        <v>s/d</v>
      </c>
      <c r="W96" s="14" t="str">
        <f>'Base GC'!AB83</f>
        <v>s/d</v>
      </c>
      <c r="X96" s="14" t="str">
        <f>'Base GC'!AC83</f>
        <v>s/d</v>
      </c>
      <c r="Y96" s="4" t="str">
        <f>'Base GC'!AD83</f>
        <v>GASTO CORRIENTE</v>
      </c>
    </row>
    <row r="97" spans="1:25">
      <c r="A97" s="6" t="s">
        <v>263</v>
      </c>
      <c r="B97" s="6"/>
      <c r="C97" s="6"/>
      <c r="D97" s="7">
        <f>SUM(D98:D98)</f>
        <v>1594115.0</v>
      </c>
      <c r="E97" s="7">
        <f>SUM(E98:E98)</f>
        <v>0.0</v>
      </c>
      <c r="F97" s="7">
        <f>D97-E97</f>
        <v>1594115.0</v>
      </c>
      <c r="G97" s="7">
        <f>SUM(G98:G98)</f>
        <v>0.0</v>
      </c>
      <c r="H97" s="7">
        <f>SUM(H98:H98)</f>
        <v>0.0</v>
      </c>
      <c r="I97" s="7">
        <f>D97-H97</f>
        <v>1594115.0</v>
      </c>
      <c r="J97" s="13">
        <f>IF(D97=0,0,H97/D97)</f>
        <v>0.0</v>
      </c>
      <c r="K97" s="6"/>
      <c r="L97" s="6"/>
      <c r="M97" s="7">
        <f>SUM(M98:M98)</f>
        <v>0.0</v>
      </c>
      <c r="N97" s="7">
        <f>SUM(N98:N98)</f>
        <v>1594115.0</v>
      </c>
      <c r="O97" s="7">
        <f>SUM(O98:O98)</f>
        <v>0.0</v>
      </c>
      <c r="P97" s="7">
        <f>SUM(P98:P98)</f>
        <v>0.0</v>
      </c>
      <c r="Q97" s="7">
        <f>SUM(Q98:Q98)</f>
        <v>0.0</v>
      </c>
      <c r="R97" s="7">
        <f>SUM(R98:R98)</f>
        <v>1594115.0</v>
      </c>
      <c r="S97" s="7">
        <f>SUM(S98:S98)</f>
        <v>0.0</v>
      </c>
      <c r="T97" s="7">
        <f>SUM(T98:T98)</f>
        <v>0.0</v>
      </c>
      <c r="U97" s="7">
        <f>SUM(U98:U98)</f>
        <v>0.0</v>
      </c>
      <c r="V97" s="7">
        <f>SUM(V98:V98)</f>
        <v>0.0</v>
      </c>
      <c r="W97" s="7">
        <f>SUM(W98:W98)</f>
        <v>0.0</v>
      </c>
      <c r="X97" s="7">
        <f>SUM(X98:X98)</f>
        <v>0.0</v>
      </c>
      <c r="Y97" s="6"/>
    </row>
    <row r="98" spans="1:25">
      <c r="A98" s="14">
        <f>SUBTOTAL(103,$B$6:B98)</f>
        <v>80</v>
      </c>
      <c r="B98" s="14">
        <v>288</v>
      </c>
      <c r="C98" s="4" t="s">
        <v>266</v>
      </c>
      <c r="D98" s="5">
        <f>'Base GC'!H84</f>
        <v>1594115.0</v>
      </c>
      <c r="E98" s="5">
        <f>'Base GC'!I84</f>
        <v>0.0</v>
      </c>
      <c r="F98" s="5">
        <f>D98-E98</f>
        <v>1594115.0</v>
      </c>
      <c r="G98" s="5">
        <f>'Base GC'!J84</f>
        <v>0.0</v>
      </c>
      <c r="H98" s="5">
        <f>'Base GC'!K84</f>
        <v>0.0</v>
      </c>
      <c r="I98" s="5">
        <f>D98-H98</f>
        <v>1594115.0</v>
      </c>
      <c r="J98" s="15">
        <f>IF(D98=0,0,H98/D98)</f>
        <v>0.0</v>
      </c>
      <c r="K98" s="4" t="str">
        <f>'Base GC'!Q84</f>
        <v>Sin certificar</v>
      </c>
      <c r="L98" s="14" t="str">
        <f>'Base GC'!R84</f>
        <v>Disponible</v>
      </c>
      <c r="M98" s="5">
        <f>'Base GC'!M84</f>
        <v>0.0</v>
      </c>
      <c r="N98" s="5">
        <f>'Base GC'!S84</f>
        <v>1594115.0</v>
      </c>
      <c r="O98" s="5">
        <f>'Base GC'!T84</f>
        <v>0.0</v>
      </c>
      <c r="P98" s="5">
        <f>'Base GC'!U84</f>
        <v>0.0</v>
      </c>
      <c r="Q98" s="5">
        <f>'Base GC'!V84</f>
        <v>0.0</v>
      </c>
      <c r="R98" s="5">
        <f>'Base GC'!W84</f>
        <v>1594115.0</v>
      </c>
      <c r="S98" s="14" t="str">
        <f>'Base GC'!X84</f>
        <v>s/d</v>
      </c>
      <c r="T98" s="14" t="str">
        <f>'Base GC'!Y84</f>
        <v>s/d</v>
      </c>
      <c r="U98" s="14" t="str">
        <f>'Base GC'!Z84</f>
        <v>s/d</v>
      </c>
      <c r="V98" s="14" t="str">
        <f>'Base GC'!AA84</f>
        <v>s/d</v>
      </c>
      <c r="W98" s="14" t="str">
        <f>'Base GC'!AB84</f>
        <v>s/d</v>
      </c>
      <c r="X98" s="14" t="str">
        <f>'Base GC'!AC84</f>
        <v>s/d</v>
      </c>
      <c r="Y98" s="4" t="str">
        <f>'Base GC'!AD84</f>
        <v>GASTO CORRIENTE</v>
      </c>
    </row>
    <row r="100" spans="1:25">
      <c r="A100" s="16" t="s">
        <v>294</v>
      </c>
      <c r="B100" s="16"/>
      <c r="C100" s="16"/>
      <c r="D100" s="17">
        <f>D5</f>
        <v>99795382.0</v>
      </c>
      <c r="E100" s="17">
        <f>E5</f>
        <v>81255205.76000002</v>
      </c>
      <c r="F100" s="17">
        <f>D100-E100</f>
        <v>18540176.23999998</v>
      </c>
      <c r="G100" s="17">
        <f>G5</f>
        <v>72637604.12</v>
      </c>
      <c r="H100" s="17">
        <f>H5</f>
        <v>56814242.85000001</v>
      </c>
      <c r="I100" s="17">
        <f>D100-H100</f>
        <v>42981139.14999999</v>
      </c>
      <c r="J100" s="18">
        <f>IF(D100=0,0,H100/D100)</f>
        <v>0.5693073337802346</v>
      </c>
      <c r="K100" s="16"/>
      <c r="L100" s="16"/>
      <c r="M100" s="17">
        <f>M5</f>
        <v>8617601.640000002</v>
      </c>
      <c r="N100" s="17">
        <f>N5</f>
        <v>27100844.88</v>
      </c>
      <c r="O100" s="17">
        <f>O5</f>
        <v>20504461.0</v>
      </c>
      <c r="P100" s="17">
        <f>P5</f>
        <v>40283830.0</v>
      </c>
      <c r="Q100" s="17">
        <f>Q5</f>
        <v>136213.0</v>
      </c>
      <c r="R100" s="17">
        <f>R5</f>
        <v>38870878.0</v>
      </c>
      <c r="S100" s="17">
        <f>S5</f>
        <v>0.0</v>
      </c>
      <c r="T100" s="17">
        <f>T5</f>
        <v>0.0</v>
      </c>
      <c r="U100" s="17">
        <f>U5</f>
        <v>0.0</v>
      </c>
      <c r="V100" s="17">
        <f>V5</f>
        <v>0.0</v>
      </c>
      <c r="W100" s="17">
        <f>W5</f>
        <v>0.0</v>
      </c>
      <c r="X100" s="17">
        <f>X5</f>
        <v>0.0</v>
      </c>
      <c r="Y100" s="16"/>
    </row>
  </sheetData>
  <conditionalFormatting sqref="L5:L100">
    <cfRule type="cellIs" dxfId="0" priority="1" operator="equal">
      <formula>"Disponible"</formula>
    </cfRule>
    <cfRule type="cellIs" dxfId="1" priority="2" operator="equal">
      <formula>"Posible"</formula>
    </cfRule>
    <cfRule type="cellIs" dxfId="2" priority="3" operator="equal">
      <formula>"Parcial"</formula>
    </cfRule>
    <cfRule type="cellIs" dxfId="3" priority="4" operator="equal">
      <formula>"Difícil"</formula>
    </cfRule>
    <cfRule type="cellIs" dxfId="4" priority="5" operator="equal">
      <formula>"No usar"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84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6" width="10.7109375" customWidth="1"/>
    <col min="7" max="7" width="70.7109375" customWidth="1"/>
    <col min="8" max="16" width="14.7109375" customWidth="1"/>
    <col min="17" max="18" width="22.7109375" customWidth="1"/>
    <col min="19" max="29" width="14.7109375" customWidth="1"/>
    <col min="30" max="31" width="34.7109375" customWidth="1"/>
  </cols>
  <sheetData>
    <row r="1" spans="1:31">
      <c r="A1" s="1" t="s">
        <v>19</v>
      </c>
    </row>
    <row r="2" spans="1:31">
      <c r="A2" s="2" t="s">
        <v>20</v>
      </c>
    </row>
    <row r="4" spans="1:31" ht="40" customHeight="1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  <c r="M4" s="3" t="s">
        <v>33</v>
      </c>
      <c r="N4" s="3" t="s">
        <v>34</v>
      </c>
      <c r="O4" s="3" t="s">
        <v>35</v>
      </c>
      <c r="P4" s="3" t="s">
        <v>36</v>
      </c>
      <c r="Q4" s="3" t="s">
        <v>37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42</v>
      </c>
      <c r="W4" s="3" t="s">
        <v>43</v>
      </c>
      <c r="X4" s="3" t="s">
        <v>44</v>
      </c>
      <c r="Y4" s="3" t="s">
        <v>45</v>
      </c>
      <c r="Z4" s="3" t="s">
        <v>46</v>
      </c>
      <c r="AA4" s="3" t="s">
        <v>47</v>
      </c>
      <c r="AB4" s="3" t="s">
        <v>48</v>
      </c>
      <c r="AC4" s="3" t="s">
        <v>49</v>
      </c>
      <c r="AD4" s="3" t="s">
        <v>50</v>
      </c>
      <c r="AE4" s="3" t="s">
        <v>51</v>
      </c>
    </row>
    <row r="5" spans="1:31">
      <c r="A5" s="19" t="s">
        <v>52</v>
      </c>
      <c r="B5" s="19" t="s">
        <v>53</v>
      </c>
      <c r="C5" s="19" t="s">
        <v>54</v>
      </c>
      <c r="D5" s="19" t="s">
        <v>55</v>
      </c>
      <c r="E5" s="19" t="s">
        <v>56</v>
      </c>
      <c r="F5" s="19" t="s">
        <v>57</v>
      </c>
      <c r="G5" s="20" t="s">
        <v>58</v>
      </c>
      <c r="H5" s="21">
        <v>21854668</v>
      </c>
      <c r="I5" s="21">
        <v>21854668</v>
      </c>
      <c r="J5" s="21">
        <v>21800985</v>
      </c>
      <c r="K5" s="21">
        <v>21800985</v>
      </c>
      <c r="L5" s="22">
        <f>H5-I5</f>
        <v>0.0</v>
      </c>
      <c r="M5" s="22">
        <f>I5-J5</f>
        <v>53683.0</v>
      </c>
      <c r="N5" s="22">
        <f>H5-K5</f>
        <v>53683.0</v>
      </c>
      <c r="O5" s="23">
        <f>IF(H5&gt;0,K5/H5,0)</f>
        <v>0.9975436369017365</v>
      </c>
      <c r="P5" s="23">
        <f>IF(H5&gt;0,J5/H5,0)</f>
        <v>0.9975436369017365</v>
      </c>
      <c r="Q5" s="19" t="str">
        <f>IF(H5&lt;=0,"Sin PIM",IF(K5/H5&gt;=Config!$B$5,"Ejecutado",IF(J5/H5&gt;=Config!$B$6,"Mayormente comprometido",IF(J5&gt;0.005,"Parcialmente comprometido",IF(I5&gt;0.005,"Solo certificado","Sin certificar")))))</f>
        <v>Ejecutado</v>
      </c>
      <c r="R5" s="19" t="str">
        <f>IF(Q5="Sin certificar","Disponible",IF(Q5="Solo certificado","Posible",IF(Q5="Parcialmente comprometido","Parcial",IF(Q5="Mayormente comprometido","Difícil",IF(Q5="Ejecutado","No usar","Sin PIM")))))</f>
        <v>No usar</v>
      </c>
      <c r="S5" s="22">
        <f>IF(OR(H5&lt;=0,Q5="Ejecutado"),0,MAX(0,H5-J5))</f>
        <v>0.0</v>
      </c>
      <c r="T5" s="21">
        <v>0</v>
      </c>
      <c r="U5" s="21">
        <v>0</v>
      </c>
      <c r="V5" s="21">
        <v>0</v>
      </c>
      <c r="W5" s="21">
        <v>21854668</v>
      </c>
      <c r="X5" s="24" t="s">
        <v>59</v>
      </c>
      <c r="Y5" s="24" t="s">
        <v>59</v>
      </c>
      <c r="Z5" s="24" t="s">
        <v>59</v>
      </c>
      <c r="AA5" s="24" t="s">
        <v>59</v>
      </c>
      <c r="AB5" s="24" t="s">
        <v>59</v>
      </c>
      <c r="AC5" s="24" t="s">
        <v>59</v>
      </c>
      <c r="AD5" s="19" t="s">
        <v>60</v>
      </c>
      <c r="AE5" s="19" t="s">
        <v>60</v>
      </c>
    </row>
    <row r="6" spans="1:31">
      <c r="A6" s="19" t="s">
        <v>52</v>
      </c>
      <c r="B6" s="19" t="s">
        <v>53</v>
      </c>
      <c r="C6" s="19" t="s">
        <v>54</v>
      </c>
      <c r="D6" s="19" t="s">
        <v>55</v>
      </c>
      <c r="E6" s="19" t="s">
        <v>61</v>
      </c>
      <c r="F6" s="19" t="s">
        <v>62</v>
      </c>
      <c r="G6" s="20" t="s">
        <v>63</v>
      </c>
      <c r="H6" s="21">
        <v>14397156</v>
      </c>
      <c r="I6" s="21">
        <v>8698687.580000002</v>
      </c>
      <c r="J6" s="21">
        <v>6321785.790000001</v>
      </c>
      <c r="K6" s="21">
        <v>1694723.01</v>
      </c>
      <c r="L6" s="22">
        <f>H6-I6</f>
        <v>5698468.419999998</v>
      </c>
      <c r="M6" s="22">
        <f>I6-J6</f>
        <v>2376901.790000001</v>
      </c>
      <c r="N6" s="22">
        <f>H6-K6</f>
        <v>12702432.99</v>
      </c>
      <c r="O6" s="23">
        <f>IF(H6&gt;0,K6/H6,0)</f>
        <v>0.11771234610502243</v>
      </c>
      <c r="P6" s="23">
        <f>IF(H6&gt;0,J6/H6,0)</f>
        <v>0.4390996242591246</v>
      </c>
      <c r="Q6" s="19" t="str">
        <f>IF(H6&lt;=0,"Sin PIM",IF(K6/H6&gt;=Config!$B$5,"Ejecutado",IF(J6/H6&gt;=Config!$B$6,"Mayormente comprometido",IF(J6&gt;0.005,"Parcialmente comprometido",IF(I6&gt;0.005,"Solo certificado","Sin certificar")))))</f>
        <v>Parcialmente comprometido</v>
      </c>
      <c r="R6" s="19" t="str">
        <f>IF(Q6="Sin certificar","Disponible",IF(Q6="Solo certificado","Posible",IF(Q6="Parcialmente comprometido","Parcial",IF(Q6="Mayormente comprometido","Difícil",IF(Q6="Ejecutado","No usar","Sin PIM")))))</f>
        <v>Parcial</v>
      </c>
      <c r="S6" s="22">
        <f>IF(OR(H6&lt;=0,Q6="Ejecutado"),0,MAX(0,H6-J6))</f>
        <v>8075370.209999999</v>
      </c>
      <c r="T6" s="21">
        <v>5491591</v>
      </c>
      <c r="U6" s="21">
        <v>6984992</v>
      </c>
      <c r="V6" s="21">
        <v>0</v>
      </c>
      <c r="W6" s="21">
        <v>1920573</v>
      </c>
      <c r="X6" s="24" t="s">
        <v>59</v>
      </c>
      <c r="Y6" s="24" t="s">
        <v>59</v>
      </c>
      <c r="Z6" s="24" t="s">
        <v>59</v>
      </c>
      <c r="AA6" s="24" t="s">
        <v>59</v>
      </c>
      <c r="AB6" s="24" t="s">
        <v>59</v>
      </c>
      <c r="AC6" s="24" t="s">
        <v>59</v>
      </c>
      <c r="AD6" s="19" t="s">
        <v>64</v>
      </c>
      <c r="AE6" s="19" t="s">
        <v>60</v>
      </c>
    </row>
    <row r="7" spans="1:31">
      <c r="A7" s="19" t="s">
        <v>52</v>
      </c>
      <c r="B7" s="19" t="s">
        <v>53</v>
      </c>
      <c r="C7" s="19" t="s">
        <v>54</v>
      </c>
      <c r="D7" s="19" t="s">
        <v>55</v>
      </c>
      <c r="E7" s="19" t="s">
        <v>65</v>
      </c>
      <c r="F7" s="19" t="s">
        <v>66</v>
      </c>
      <c r="G7" s="20" t="s">
        <v>67</v>
      </c>
      <c r="H7" s="21">
        <v>11561677</v>
      </c>
      <c r="I7" s="21">
        <v>10764476.73</v>
      </c>
      <c r="J7" s="21">
        <v>6753457.11</v>
      </c>
      <c r="K7" s="21">
        <v>5863914.17</v>
      </c>
      <c r="L7" s="22">
        <f>H7-I7</f>
        <v>797200.2699999996</v>
      </c>
      <c r="M7" s="22">
        <f>I7-J7</f>
        <v>4011019.62</v>
      </c>
      <c r="N7" s="22">
        <f>H7-K7</f>
        <v>5697762.83</v>
      </c>
      <c r="O7" s="23">
        <f>IF(H7&gt;0,K7/H7,0)</f>
        <v>0.5071854342583693</v>
      </c>
      <c r="P7" s="23">
        <f>IF(H7&gt;0,J7/H7,0)</f>
        <v>0.5841243541053777</v>
      </c>
      <c r="Q7" s="19" t="str">
        <f>IF(H7&lt;=0,"Sin PIM",IF(K7/H7&gt;=Config!$B$5,"Ejecutado",IF(J7/H7&gt;=Config!$B$6,"Mayormente comprometido",IF(J7&gt;0.005,"Parcialmente comprometido",IF(I7&gt;0.005,"Solo certificado","Sin certificar")))))</f>
        <v>Mayormente comprometido</v>
      </c>
      <c r="R7" s="19" t="str">
        <f>IF(Q7="Sin certificar","Disponible",IF(Q7="Solo certificado","Posible",IF(Q7="Parcialmente comprometido","Parcial",IF(Q7="Mayormente comprometido","Difícil",IF(Q7="Ejecutado","No usar","Sin PIM")))))</f>
        <v>Difícil</v>
      </c>
      <c r="S7" s="22">
        <f>IF(OR(H7&lt;=0,Q7="Ejecutado"),0,MAX(0,H7-J7))</f>
        <v>4808219.89</v>
      </c>
      <c r="T7" s="21">
        <v>0</v>
      </c>
      <c r="U7" s="21">
        <v>11442377</v>
      </c>
      <c r="V7" s="21">
        <v>0</v>
      </c>
      <c r="W7" s="21">
        <v>119300</v>
      </c>
      <c r="X7" s="24" t="s">
        <v>59</v>
      </c>
      <c r="Y7" s="24" t="s">
        <v>59</v>
      </c>
      <c r="Z7" s="24" t="s">
        <v>59</v>
      </c>
      <c r="AA7" s="24" t="s">
        <v>59</v>
      </c>
      <c r="AB7" s="24" t="s">
        <v>59</v>
      </c>
      <c r="AC7" s="24" t="s">
        <v>59</v>
      </c>
      <c r="AD7" s="19" t="s">
        <v>64</v>
      </c>
      <c r="AE7" s="19" t="s">
        <v>60</v>
      </c>
    </row>
    <row r="8" spans="1:31">
      <c r="A8" s="19" t="s">
        <v>52</v>
      </c>
      <c r="B8" s="19" t="s">
        <v>53</v>
      </c>
      <c r="C8" s="19" t="s">
        <v>54</v>
      </c>
      <c r="D8" s="19" t="s">
        <v>55</v>
      </c>
      <c r="E8" s="19" t="s">
        <v>65</v>
      </c>
      <c r="F8" s="19" t="s">
        <v>68</v>
      </c>
      <c r="G8" s="20" t="s">
        <v>69</v>
      </c>
      <c r="H8" s="21">
        <v>8960842</v>
      </c>
      <c r="I8" s="21">
        <v>8663998.970000001</v>
      </c>
      <c r="J8" s="21">
        <v>8547567.59</v>
      </c>
      <c r="K8" s="21">
        <v>6519476.560000001</v>
      </c>
      <c r="L8" s="22">
        <f>H8-I8</f>
        <v>296843.02999999933</v>
      </c>
      <c r="M8" s="22">
        <f>I8-J8</f>
        <v>116431.38000000082</v>
      </c>
      <c r="N8" s="22">
        <f>H8-K8</f>
        <v>2441365.4399999985</v>
      </c>
      <c r="O8" s="23">
        <f>IF(H8&gt;0,K8/H8,0)</f>
        <v>0.7275517814062564</v>
      </c>
      <c r="P8" s="23">
        <f>IF(H8&gt;0,J8/H8,0)</f>
        <v>0.9538799579325247</v>
      </c>
      <c r="Q8" s="19" t="str">
        <f>IF(H8&lt;=0,"Sin PIM",IF(K8/H8&gt;=Config!$B$5,"Ejecutado",IF(J8/H8&gt;=Config!$B$6,"Mayormente comprometido",IF(J8&gt;0.005,"Parcialmente comprometido",IF(I8&gt;0.005,"Solo certificado","Sin certificar")))))</f>
        <v>Mayormente comprometido</v>
      </c>
      <c r="R8" s="19" t="str">
        <f>IF(Q8="Sin certificar","Disponible",IF(Q8="Solo certificado","Posible",IF(Q8="Parcialmente comprometido","Parcial",IF(Q8="Mayormente comprometido","Difícil",IF(Q8="Ejecutado","No usar","Sin PIM")))))</f>
        <v>Difícil</v>
      </c>
      <c r="S8" s="22">
        <f>IF(OR(H8&lt;=0,Q8="Ejecutado"),0,MAX(0,H8-J8))</f>
        <v>413274.41000000015</v>
      </c>
      <c r="T8" s="21">
        <v>3202893</v>
      </c>
      <c r="U8" s="21">
        <v>4644868</v>
      </c>
      <c r="V8" s="21">
        <v>58501</v>
      </c>
      <c r="W8" s="21">
        <v>1054580</v>
      </c>
      <c r="X8" s="24" t="s">
        <v>59</v>
      </c>
      <c r="Y8" s="24" t="s">
        <v>59</v>
      </c>
      <c r="Z8" s="24" t="s">
        <v>59</v>
      </c>
      <c r="AA8" s="24" t="s">
        <v>59</v>
      </c>
      <c r="AB8" s="24" t="s">
        <v>59</v>
      </c>
      <c r="AC8" s="24" t="s">
        <v>59</v>
      </c>
      <c r="AD8" s="19" t="s">
        <v>64</v>
      </c>
      <c r="AE8" s="19" t="s">
        <v>60</v>
      </c>
    </row>
    <row r="9" spans="1:31">
      <c r="A9" s="19" t="s">
        <v>52</v>
      </c>
      <c r="B9" s="19" t="s">
        <v>53</v>
      </c>
      <c r="C9" s="19" t="s">
        <v>54</v>
      </c>
      <c r="D9" s="19" t="s">
        <v>55</v>
      </c>
      <c r="E9" s="19" t="s">
        <v>70</v>
      </c>
      <c r="F9" s="19" t="s">
        <v>71</v>
      </c>
      <c r="G9" s="20" t="s">
        <v>72</v>
      </c>
      <c r="H9" s="21">
        <v>4661250</v>
      </c>
      <c r="I9" s="21">
        <v>0</v>
      </c>
      <c r="J9" s="21">
        <v>0</v>
      </c>
      <c r="K9" s="21">
        <v>0</v>
      </c>
      <c r="L9" s="22">
        <f>H9-I9</f>
        <v>4661250.0</v>
      </c>
      <c r="M9" s="22">
        <f>I9-J9</f>
        <v>0.0</v>
      </c>
      <c r="N9" s="22">
        <f>H9-K9</f>
        <v>4661250.0</v>
      </c>
      <c r="O9" s="23">
        <f>IF(H9&gt;0,K9/H9,0)</f>
        <v>0.0</v>
      </c>
      <c r="P9" s="23">
        <f>IF(H9&gt;0,J9/H9,0)</f>
        <v>0.0</v>
      </c>
      <c r="Q9" s="19" t="str">
        <f>IF(H9&lt;=0,"Sin PIM",IF(K9/H9&gt;=Config!$B$5,"Ejecutado",IF(J9/H9&gt;=Config!$B$6,"Mayormente comprometido",IF(J9&gt;0.005,"Parcialmente comprometido",IF(I9&gt;0.005,"Solo certificado","Sin certificar")))))</f>
        <v>Sin certificar</v>
      </c>
      <c r="R9" s="19" t="str">
        <f>IF(Q9="Sin certificar","Disponible",IF(Q9="Solo certificado","Posible",IF(Q9="Parcialmente comprometido","Parcial",IF(Q9="Mayormente comprometido","Difícil",IF(Q9="Ejecutado","No usar","Sin PIM")))))</f>
        <v>Disponible</v>
      </c>
      <c r="S9" s="22">
        <f>IF(OR(H9&lt;=0,Q9="Ejecutado"),0,MAX(0,H9-J9))</f>
        <v>4661250.0</v>
      </c>
      <c r="T9" s="21">
        <v>0</v>
      </c>
      <c r="U9" s="21">
        <v>0</v>
      </c>
      <c r="V9" s="21">
        <v>0</v>
      </c>
      <c r="W9" s="21">
        <v>4661250</v>
      </c>
      <c r="X9" s="24" t="s">
        <v>59</v>
      </c>
      <c r="Y9" s="24" t="s">
        <v>59</v>
      </c>
      <c r="Z9" s="24" t="s">
        <v>59</v>
      </c>
      <c r="AA9" s="24" t="s">
        <v>59</v>
      </c>
      <c r="AB9" s="24" t="s">
        <v>59</v>
      </c>
      <c r="AC9" s="24" t="s">
        <v>59</v>
      </c>
      <c r="AD9" s="19" t="s">
        <v>60</v>
      </c>
      <c r="AE9" s="19" t="s">
        <v>60</v>
      </c>
    </row>
    <row r="10" spans="1:31">
      <c r="A10" s="19" t="s">
        <v>52</v>
      </c>
      <c r="B10" s="19" t="s">
        <v>53</v>
      </c>
      <c r="C10" s="19" t="s">
        <v>54</v>
      </c>
      <c r="D10" s="19" t="s">
        <v>55</v>
      </c>
      <c r="E10" s="19" t="s">
        <v>73</v>
      </c>
      <c r="F10" s="19" t="s">
        <v>74</v>
      </c>
      <c r="G10" s="20" t="s">
        <v>75</v>
      </c>
      <c r="H10" s="21">
        <v>3003455</v>
      </c>
      <c r="I10" s="21">
        <v>2361957.32</v>
      </c>
      <c r="J10" s="21">
        <v>2312089.66</v>
      </c>
      <c r="K10" s="21">
        <v>1164173.14</v>
      </c>
      <c r="L10" s="22">
        <f>H10-I10</f>
        <v>641497.6799999997</v>
      </c>
      <c r="M10" s="22">
        <f>I10-J10</f>
        <v>49867.66000000015</v>
      </c>
      <c r="N10" s="22">
        <f>H10-K10</f>
        <v>1839281.86</v>
      </c>
      <c r="O10" s="23">
        <f>IF(H10&gt;0,K10/H10,0)</f>
        <v>0.38761131430302764</v>
      </c>
      <c r="P10" s="23">
        <f>IF(H10&gt;0,J10/H10,0)</f>
        <v>0.7698099888295313</v>
      </c>
      <c r="Q10" s="19" t="str">
        <f>IF(H10&lt;=0,"Sin PIM",IF(K10/H10&gt;=Config!$B$5,"Ejecutado",IF(J10/H10&gt;=Config!$B$6,"Mayormente comprometido",IF(J10&gt;0.005,"Parcialmente comprometido",IF(I10&gt;0.005,"Solo certificado","Sin certificar")))))</f>
        <v>Mayormente comprometido</v>
      </c>
      <c r="R10" s="19" t="str">
        <f>IF(Q10="Sin certificar","Disponible",IF(Q10="Solo certificado","Posible",IF(Q10="Parcialmente comprometido","Parcial",IF(Q10="Mayormente comprometido","Difícil",IF(Q10="Ejecutado","No usar","Sin PIM")))))</f>
        <v>Difícil</v>
      </c>
      <c r="S10" s="22">
        <f>IF(OR(H10&lt;=0,Q10="Ejecutado"),0,MAX(0,H10-J10))</f>
        <v>691365.3399999999</v>
      </c>
      <c r="T10" s="21">
        <v>1074678</v>
      </c>
      <c r="U10" s="21">
        <v>1928777</v>
      </c>
      <c r="V10" s="21">
        <v>0</v>
      </c>
      <c r="W10" s="21">
        <v>0</v>
      </c>
      <c r="X10" s="24" t="s">
        <v>59</v>
      </c>
      <c r="Y10" s="24" t="s">
        <v>59</v>
      </c>
      <c r="Z10" s="24" t="s">
        <v>59</v>
      </c>
      <c r="AA10" s="24" t="s">
        <v>59</v>
      </c>
      <c r="AB10" s="24" t="s">
        <v>59</v>
      </c>
      <c r="AC10" s="24" t="s">
        <v>59</v>
      </c>
      <c r="AD10" s="19" t="s">
        <v>64</v>
      </c>
      <c r="AE10" s="19" t="s">
        <v>60</v>
      </c>
    </row>
    <row r="11" spans="1:31">
      <c r="A11" s="19" t="s">
        <v>52</v>
      </c>
      <c r="B11" s="19" t="s">
        <v>53</v>
      </c>
      <c r="C11" s="19" t="s">
        <v>54</v>
      </c>
      <c r="D11" s="19" t="s">
        <v>55</v>
      </c>
      <c r="E11" s="19" t="s">
        <v>76</v>
      </c>
      <c r="F11" s="19" t="s">
        <v>77</v>
      </c>
      <c r="G11" s="20" t="s">
        <v>78</v>
      </c>
      <c r="H11" s="21">
        <v>2564683</v>
      </c>
      <c r="I11" s="21">
        <v>2101980.75</v>
      </c>
      <c r="J11" s="21">
        <v>2022558.75</v>
      </c>
      <c r="K11" s="21">
        <v>1443358.53</v>
      </c>
      <c r="L11" s="22">
        <f>H11-I11</f>
        <v>462702.25</v>
      </c>
      <c r="M11" s="22">
        <f>I11-J11</f>
        <v>79422.00000000023</v>
      </c>
      <c r="N11" s="22">
        <f>H11-K11</f>
        <v>1121324.4700000002</v>
      </c>
      <c r="O11" s="23">
        <f>IF(H11&gt;0,K11/H11,0)</f>
        <v>0.562782429641402</v>
      </c>
      <c r="P11" s="23">
        <f>IF(H11&gt;0,J11/H11,0)</f>
        <v>0.788619392728068</v>
      </c>
      <c r="Q11" s="19" t="str">
        <f>IF(H11&lt;=0,"Sin PIM",IF(K11/H11&gt;=Config!$B$5,"Ejecutado",IF(J11/H11&gt;=Config!$B$6,"Mayormente comprometido",IF(J11&gt;0.005,"Parcialmente comprometido",IF(I11&gt;0.005,"Solo certificado","Sin certificar")))))</f>
        <v>Mayormente comprometido</v>
      </c>
      <c r="R11" s="19" t="str">
        <f>IF(Q11="Sin certificar","Disponible",IF(Q11="Solo certificado","Posible",IF(Q11="Parcialmente comprometido","Parcial",IF(Q11="Mayormente comprometido","Difícil",IF(Q11="Ejecutado","No usar","Sin PIM")))))</f>
        <v>Difícil</v>
      </c>
      <c r="S11" s="22">
        <f>IF(OR(H11&lt;=0,Q11="Ejecutado"),0,MAX(0,H11-J11))</f>
        <v>542124.2500000002</v>
      </c>
      <c r="T11" s="21">
        <v>502598</v>
      </c>
      <c r="U11" s="21">
        <v>2037085</v>
      </c>
      <c r="V11" s="21">
        <v>0</v>
      </c>
      <c r="W11" s="21">
        <v>25000</v>
      </c>
      <c r="X11" s="24" t="s">
        <v>59</v>
      </c>
      <c r="Y11" s="24" t="s">
        <v>59</v>
      </c>
      <c r="Z11" s="24" t="s">
        <v>59</v>
      </c>
      <c r="AA11" s="24" t="s">
        <v>59</v>
      </c>
      <c r="AB11" s="24" t="s">
        <v>59</v>
      </c>
      <c r="AC11" s="24" t="s">
        <v>59</v>
      </c>
      <c r="AD11" s="19" t="s">
        <v>64</v>
      </c>
      <c r="AE11" s="19" t="s">
        <v>60</v>
      </c>
    </row>
    <row r="12" spans="1:31">
      <c r="A12" s="19" t="s">
        <v>52</v>
      </c>
      <c r="B12" s="19" t="s">
        <v>53</v>
      </c>
      <c r="C12" s="19" t="s">
        <v>54</v>
      </c>
      <c r="D12" s="19" t="s">
        <v>55</v>
      </c>
      <c r="E12" s="19" t="s">
        <v>79</v>
      </c>
      <c r="F12" s="19" t="s">
        <v>80</v>
      </c>
      <c r="G12" s="20" t="s">
        <v>81</v>
      </c>
      <c r="H12" s="21">
        <v>1623842</v>
      </c>
      <c r="I12" s="21">
        <v>1611611.28</v>
      </c>
      <c r="J12" s="21">
        <v>1583926.54</v>
      </c>
      <c r="K12" s="21">
        <v>1213592.75</v>
      </c>
      <c r="L12" s="22">
        <f>H12-I12</f>
        <v>12230.719999999972</v>
      </c>
      <c r="M12" s="22">
        <f>I12-J12</f>
        <v>27684.73999999999</v>
      </c>
      <c r="N12" s="22">
        <f>H12-K12</f>
        <v>410249.25</v>
      </c>
      <c r="O12" s="23">
        <f>IF(H12&gt;0,K12/H12,0)</f>
        <v>0.7473588871331078</v>
      </c>
      <c r="P12" s="23">
        <f>IF(H12&gt;0,J12/H12,0)</f>
        <v>0.9754191232890885</v>
      </c>
      <c r="Q12" s="19" t="str">
        <f>IF(H12&lt;=0,"Sin PIM",IF(K12/H12&gt;=Config!$B$5,"Ejecutado",IF(J12/H12&gt;=Config!$B$6,"Mayormente comprometido",IF(J12&gt;0.005,"Parcialmente comprometido",IF(I12&gt;0.005,"Solo certificado","Sin certificar")))))</f>
        <v>Mayormente comprometido</v>
      </c>
      <c r="R12" s="19" t="str">
        <f>IF(Q12="Sin certificar","Disponible",IF(Q12="Solo certificado","Posible",IF(Q12="Parcialmente comprometido","Parcial",IF(Q12="Mayormente comprometido","Difícil",IF(Q12="Ejecutado","No usar","Sin PIM")))))</f>
        <v>Difícil</v>
      </c>
      <c r="S12" s="22">
        <f>IF(OR(H12&lt;=0,Q12="Ejecutado"),0,MAX(0,H12-J12))</f>
        <v>39915.45999999996</v>
      </c>
      <c r="T12" s="21">
        <v>1076197</v>
      </c>
      <c r="U12" s="21">
        <v>540945</v>
      </c>
      <c r="V12" s="21">
        <v>0</v>
      </c>
      <c r="W12" s="21">
        <v>6700</v>
      </c>
      <c r="X12" s="24" t="s">
        <v>59</v>
      </c>
      <c r="Y12" s="24" t="s">
        <v>59</v>
      </c>
      <c r="Z12" s="24" t="s">
        <v>59</v>
      </c>
      <c r="AA12" s="24" t="s">
        <v>59</v>
      </c>
      <c r="AB12" s="24" t="s">
        <v>59</v>
      </c>
      <c r="AC12" s="24" t="s">
        <v>59</v>
      </c>
      <c r="AD12" s="19" t="s">
        <v>64</v>
      </c>
      <c r="AE12" s="19" t="s">
        <v>60</v>
      </c>
    </row>
    <row r="13" spans="1:31">
      <c r="A13" s="19" t="s">
        <v>52</v>
      </c>
      <c r="B13" s="19" t="s">
        <v>53</v>
      </c>
      <c r="C13" s="19" t="s">
        <v>54</v>
      </c>
      <c r="D13" s="19" t="s">
        <v>55</v>
      </c>
      <c r="E13" s="19" t="s">
        <v>82</v>
      </c>
      <c r="F13" s="19" t="s">
        <v>83</v>
      </c>
      <c r="G13" s="20" t="s">
        <v>84</v>
      </c>
      <c r="H13" s="21">
        <v>1255771</v>
      </c>
      <c r="I13" s="21">
        <v>1182688.86</v>
      </c>
      <c r="J13" s="21">
        <v>1102818.98</v>
      </c>
      <c r="K13" s="21">
        <v>800666.1100000001</v>
      </c>
      <c r="L13" s="22">
        <f>H13-I13</f>
        <v>73082.1399999999</v>
      </c>
      <c r="M13" s="22">
        <f>I13-J13</f>
        <v>79869.88000000012</v>
      </c>
      <c r="N13" s="22">
        <f>H13-K13</f>
        <v>455104.8899999999</v>
      </c>
      <c r="O13" s="23">
        <f>IF(H13&gt;0,K13/H13,0)</f>
        <v>0.6375892658772978</v>
      </c>
      <c r="P13" s="23">
        <f>IF(H13&gt;0,J13/H13,0)</f>
        <v>0.878200706976033</v>
      </c>
      <c r="Q13" s="19" t="str">
        <f>IF(H13&lt;=0,"Sin PIM",IF(K13/H13&gt;=Config!$B$5,"Ejecutado",IF(J13/H13&gt;=Config!$B$6,"Mayormente comprometido",IF(J13&gt;0.005,"Parcialmente comprometido",IF(I13&gt;0.005,"Solo certificado","Sin certificar")))))</f>
        <v>Mayormente comprometido</v>
      </c>
      <c r="R13" s="19" t="str">
        <f>IF(Q13="Sin certificar","Disponible",IF(Q13="Solo certificado","Posible",IF(Q13="Parcialmente comprometido","Parcial",IF(Q13="Mayormente comprometido","Difícil",IF(Q13="Ejecutado","No usar","Sin PIM")))))</f>
        <v>Difícil</v>
      </c>
      <c r="S13" s="22">
        <f>IF(OR(H13&lt;=0,Q13="Ejecutado"),0,MAX(0,H13-J13))</f>
        <v>152952.02000000002</v>
      </c>
      <c r="T13" s="21">
        <v>493713</v>
      </c>
      <c r="U13" s="21">
        <v>692246</v>
      </c>
      <c r="V13" s="21">
        <v>0</v>
      </c>
      <c r="W13" s="21">
        <v>69812</v>
      </c>
      <c r="X13" s="24" t="s">
        <v>59</v>
      </c>
      <c r="Y13" s="24" t="s">
        <v>59</v>
      </c>
      <c r="Z13" s="24" t="s">
        <v>59</v>
      </c>
      <c r="AA13" s="24" t="s">
        <v>59</v>
      </c>
      <c r="AB13" s="24" t="s">
        <v>59</v>
      </c>
      <c r="AC13" s="24" t="s">
        <v>59</v>
      </c>
      <c r="AD13" s="19" t="s">
        <v>64</v>
      </c>
      <c r="AE13" s="19" t="s">
        <v>60</v>
      </c>
    </row>
    <row r="14" spans="1:31">
      <c r="A14" s="19" t="s">
        <v>52</v>
      </c>
      <c r="B14" s="19" t="s">
        <v>53</v>
      </c>
      <c r="C14" s="19" t="s">
        <v>54</v>
      </c>
      <c r="D14" s="19" t="s">
        <v>55</v>
      </c>
      <c r="E14" s="19" t="s">
        <v>56</v>
      </c>
      <c r="F14" s="19" t="s">
        <v>85</v>
      </c>
      <c r="G14" s="20" t="s">
        <v>58</v>
      </c>
      <c r="H14" s="21">
        <v>1210000</v>
      </c>
      <c r="I14" s="21">
        <v>1210000</v>
      </c>
      <c r="J14" s="21">
        <v>1210000</v>
      </c>
      <c r="K14" s="21">
        <v>1210000</v>
      </c>
      <c r="L14" s="22">
        <f>H14-I14</f>
        <v>0.0</v>
      </c>
      <c r="M14" s="22">
        <f>I14-J14</f>
        <v>0.0</v>
      </c>
      <c r="N14" s="22">
        <f>H14-K14</f>
        <v>0.0</v>
      </c>
      <c r="O14" s="23">
        <f>IF(H14&gt;0,K14/H14,0)</f>
        <v>1.0</v>
      </c>
      <c r="P14" s="23">
        <f>IF(H14&gt;0,J14/H14,0)</f>
        <v>1.0</v>
      </c>
      <c r="Q14" s="19" t="str">
        <f>IF(H14&lt;=0,"Sin PIM",IF(K14/H14&gt;=Config!$B$5,"Ejecutado",IF(J14/H14&gt;=Config!$B$6,"Mayormente comprometido",IF(J14&gt;0.005,"Parcialmente comprometido",IF(I14&gt;0.005,"Solo certificado","Sin certificar")))))</f>
        <v>Ejecutado</v>
      </c>
      <c r="R14" s="19" t="str">
        <f>IF(Q14="Sin certificar","Disponible",IF(Q14="Solo certificado","Posible",IF(Q14="Parcialmente comprometido","Parcial",IF(Q14="Mayormente comprometido","Difícil",IF(Q14="Ejecutado","No usar","Sin PIM")))))</f>
        <v>No usar</v>
      </c>
      <c r="S14" s="22">
        <f>IF(OR(H14&lt;=0,Q14="Ejecutado"),0,MAX(0,H14-J14))</f>
        <v>0.0</v>
      </c>
      <c r="T14" s="21">
        <v>0</v>
      </c>
      <c r="U14" s="21">
        <v>0</v>
      </c>
      <c r="V14" s="21">
        <v>0</v>
      </c>
      <c r="W14" s="21">
        <v>1210000</v>
      </c>
      <c r="X14" s="24" t="s">
        <v>59</v>
      </c>
      <c r="Y14" s="24" t="s">
        <v>59</v>
      </c>
      <c r="Z14" s="24" t="s">
        <v>59</v>
      </c>
      <c r="AA14" s="24" t="s">
        <v>59</v>
      </c>
      <c r="AB14" s="24" t="s">
        <v>59</v>
      </c>
      <c r="AC14" s="24" t="s">
        <v>59</v>
      </c>
      <c r="AD14" s="19" t="s">
        <v>60</v>
      </c>
      <c r="AE14" s="19" t="s">
        <v>60</v>
      </c>
    </row>
    <row r="15" spans="1:31">
      <c r="A15" s="19" t="s">
        <v>52</v>
      </c>
      <c r="B15" s="19" t="s">
        <v>53</v>
      </c>
      <c r="C15" s="19" t="s">
        <v>54</v>
      </c>
      <c r="D15" s="19" t="s">
        <v>55</v>
      </c>
      <c r="E15" s="19" t="s">
        <v>86</v>
      </c>
      <c r="F15" s="19" t="s">
        <v>87</v>
      </c>
      <c r="G15" s="20" t="s">
        <v>88</v>
      </c>
      <c r="H15" s="21">
        <v>1103261</v>
      </c>
      <c r="I15" s="21">
        <v>1059124.8</v>
      </c>
      <c r="J15" s="21">
        <v>1024183.29</v>
      </c>
      <c r="K15" s="21">
        <v>825567.54</v>
      </c>
      <c r="L15" s="22">
        <f>H15-I15</f>
        <v>44136.200000000186</v>
      </c>
      <c r="M15" s="22">
        <f>I15-J15</f>
        <v>34941.50999999978</v>
      </c>
      <c r="N15" s="22">
        <f>H15-K15</f>
        <v>277693.45999999996</v>
      </c>
      <c r="O15" s="23">
        <f>IF(H15&gt;0,K15/H15,0)</f>
        <v>0.7482975832554581</v>
      </c>
      <c r="P15" s="23">
        <f>IF(H15&gt;0,J15/H15,0)</f>
        <v>0.9283236604937545</v>
      </c>
      <c r="Q15" s="19" t="str">
        <f>IF(H15&lt;=0,"Sin PIM",IF(K15/H15&gt;=Config!$B$5,"Ejecutado",IF(J15/H15&gt;=Config!$B$6,"Mayormente comprometido",IF(J15&gt;0.005,"Parcialmente comprometido",IF(I15&gt;0.005,"Solo certificado","Sin certificar")))))</f>
        <v>Mayormente comprometido</v>
      </c>
      <c r="R15" s="19" t="str">
        <f>IF(Q15="Sin certificar","Disponible",IF(Q15="Solo certificado","Posible",IF(Q15="Parcialmente comprometido","Parcial",IF(Q15="Mayormente comprometido","Difícil",IF(Q15="Ejecutado","No usar","Sin PIM")))))</f>
        <v>Difícil</v>
      </c>
      <c r="S15" s="22">
        <f>IF(OR(H15&lt;=0,Q15="Ejecutado"),0,MAX(0,H15-J15))</f>
        <v>79077.70999999996</v>
      </c>
      <c r="T15" s="21">
        <v>881261</v>
      </c>
      <c r="U15" s="21">
        <v>222000</v>
      </c>
      <c r="V15" s="21">
        <v>0</v>
      </c>
      <c r="W15" s="21">
        <v>0</v>
      </c>
      <c r="X15" s="24" t="s">
        <v>59</v>
      </c>
      <c r="Y15" s="24" t="s">
        <v>59</v>
      </c>
      <c r="Z15" s="24" t="s">
        <v>59</v>
      </c>
      <c r="AA15" s="24" t="s">
        <v>59</v>
      </c>
      <c r="AB15" s="24" t="s">
        <v>59</v>
      </c>
      <c r="AC15" s="24" t="s">
        <v>59</v>
      </c>
      <c r="AD15" s="19" t="s">
        <v>64</v>
      </c>
      <c r="AE15" s="19" t="s">
        <v>60</v>
      </c>
    </row>
    <row r="16" spans="1:31">
      <c r="A16" s="19" t="s">
        <v>52</v>
      </c>
      <c r="B16" s="19" t="s">
        <v>53</v>
      </c>
      <c r="C16" s="19" t="s">
        <v>54</v>
      </c>
      <c r="D16" s="19" t="s">
        <v>55</v>
      </c>
      <c r="E16" s="19" t="s">
        <v>89</v>
      </c>
      <c r="F16" s="19" t="s">
        <v>90</v>
      </c>
      <c r="G16" s="20" t="s">
        <v>91</v>
      </c>
      <c r="H16" s="21">
        <v>993332</v>
      </c>
      <c r="I16" s="21">
        <v>906092.54</v>
      </c>
      <c r="J16" s="21">
        <v>901270.6799999999</v>
      </c>
      <c r="K16" s="21">
        <v>644188.6200000001</v>
      </c>
      <c r="L16" s="22">
        <f>H16-I16</f>
        <v>87239.45999999996</v>
      </c>
      <c r="M16" s="22">
        <f>I16-J16</f>
        <v>4821.860000000102</v>
      </c>
      <c r="N16" s="22">
        <f>H16-K16</f>
        <v>349143.3799999999</v>
      </c>
      <c r="O16" s="23">
        <f>IF(H16&gt;0,K16/H16,0)</f>
        <v>0.6485129040441666</v>
      </c>
      <c r="P16" s="23">
        <f>IF(H16&gt;0,J16/H16,0)</f>
        <v>0.9073206943901937</v>
      </c>
      <c r="Q16" s="19" t="str">
        <f>IF(H16&lt;=0,"Sin PIM",IF(K16/H16&gt;=Config!$B$5,"Ejecutado",IF(J16/H16&gt;=Config!$B$6,"Mayormente comprometido",IF(J16&gt;0.005,"Parcialmente comprometido",IF(I16&gt;0.005,"Solo certificado","Sin certificar")))))</f>
        <v>Mayormente comprometido</v>
      </c>
      <c r="R16" s="19" t="str">
        <f>IF(Q16="Sin certificar","Disponible",IF(Q16="Solo certificado","Posible",IF(Q16="Parcialmente comprometido","Parcial",IF(Q16="Mayormente comprometido","Difícil",IF(Q16="Ejecutado","No usar","Sin PIM")))))</f>
        <v>Difícil</v>
      </c>
      <c r="S16" s="22">
        <f>IF(OR(H16&lt;=0,Q16="Ejecutado"),0,MAX(0,H16-J16))</f>
        <v>92061.32000000007</v>
      </c>
      <c r="T16" s="21">
        <v>643691</v>
      </c>
      <c r="U16" s="21">
        <v>349641</v>
      </c>
      <c r="V16" s="21">
        <v>0</v>
      </c>
      <c r="W16" s="21">
        <v>0</v>
      </c>
      <c r="X16" s="24" t="s">
        <v>59</v>
      </c>
      <c r="Y16" s="24" t="s">
        <v>59</v>
      </c>
      <c r="Z16" s="24" t="s">
        <v>59</v>
      </c>
      <c r="AA16" s="24" t="s">
        <v>59</v>
      </c>
      <c r="AB16" s="24" t="s">
        <v>59</v>
      </c>
      <c r="AC16" s="24" t="s">
        <v>59</v>
      </c>
      <c r="AD16" s="19" t="s">
        <v>64</v>
      </c>
      <c r="AE16" s="19" t="s">
        <v>60</v>
      </c>
    </row>
    <row r="17" spans="1:31">
      <c r="A17" s="19" t="s">
        <v>52</v>
      </c>
      <c r="B17" s="19" t="s">
        <v>53</v>
      </c>
      <c r="C17" s="19" t="s">
        <v>54</v>
      </c>
      <c r="D17" s="19" t="s">
        <v>55</v>
      </c>
      <c r="E17" s="19" t="s">
        <v>92</v>
      </c>
      <c r="F17" s="19" t="s">
        <v>93</v>
      </c>
      <c r="G17" s="20" t="s">
        <v>94</v>
      </c>
      <c r="H17" s="21">
        <v>970311</v>
      </c>
      <c r="I17" s="21">
        <v>948256.66</v>
      </c>
      <c r="J17" s="21">
        <v>938404.66</v>
      </c>
      <c r="K17" s="21">
        <v>801780.79</v>
      </c>
      <c r="L17" s="22">
        <f>H17-I17</f>
        <v>22054.339999999967</v>
      </c>
      <c r="M17" s="22">
        <f>I17-J17</f>
        <v>9852.0</v>
      </c>
      <c r="N17" s="22">
        <f>H17-K17</f>
        <v>168530.20999999996</v>
      </c>
      <c r="O17" s="23">
        <f>IF(H17&gt;0,K17/H17,0)</f>
        <v>0.8263132026741942</v>
      </c>
      <c r="P17" s="23">
        <f>IF(H17&gt;0,J17/H17,0)</f>
        <v>0.9671174087483292</v>
      </c>
      <c r="Q17" s="19" t="str">
        <f>IF(H17&lt;=0,"Sin PIM",IF(K17/H17&gt;=Config!$B$5,"Ejecutado",IF(J17/H17&gt;=Config!$B$6,"Mayormente comprometido",IF(J17&gt;0.005,"Parcialmente comprometido",IF(I17&gt;0.005,"Solo certificado","Sin certificar")))))</f>
        <v>Mayormente comprometido</v>
      </c>
      <c r="R17" s="19" t="str">
        <f>IF(Q17="Sin certificar","Disponible",IF(Q17="Solo certificado","Posible",IF(Q17="Parcialmente comprometido","Parcial",IF(Q17="Mayormente comprometido","Difícil",IF(Q17="Ejecutado","No usar","Sin PIM")))))</f>
        <v>Difícil</v>
      </c>
      <c r="S17" s="22">
        <f>IF(OR(H17&lt;=0,Q17="Ejecutado"),0,MAX(0,H17-J17))</f>
        <v>31906.339999999967</v>
      </c>
      <c r="T17" s="21">
        <v>463520</v>
      </c>
      <c r="U17" s="21">
        <v>506791</v>
      </c>
      <c r="V17" s="21">
        <v>0</v>
      </c>
      <c r="W17" s="21">
        <v>0</v>
      </c>
      <c r="X17" s="24" t="s">
        <v>59</v>
      </c>
      <c r="Y17" s="24" t="s">
        <v>59</v>
      </c>
      <c r="Z17" s="24" t="s">
        <v>59</v>
      </c>
      <c r="AA17" s="24" t="s">
        <v>59</v>
      </c>
      <c r="AB17" s="24" t="s">
        <v>59</v>
      </c>
      <c r="AC17" s="24" t="s">
        <v>59</v>
      </c>
      <c r="AD17" s="19" t="s">
        <v>64</v>
      </c>
      <c r="AE17" s="19" t="s">
        <v>60</v>
      </c>
    </row>
    <row r="18" spans="1:31">
      <c r="A18" s="19" t="s">
        <v>52</v>
      </c>
      <c r="B18" s="19" t="s">
        <v>53</v>
      </c>
      <c r="C18" s="19" t="s">
        <v>54</v>
      </c>
      <c r="D18" s="19" t="s">
        <v>55</v>
      </c>
      <c r="E18" s="19" t="s">
        <v>95</v>
      </c>
      <c r="F18" s="19" t="s">
        <v>96</v>
      </c>
      <c r="G18" s="20" t="s">
        <v>97</v>
      </c>
      <c r="H18" s="21">
        <v>933605</v>
      </c>
      <c r="I18" s="21">
        <v>864347.9900000001</v>
      </c>
      <c r="J18" s="21">
        <v>853739.9900000001</v>
      </c>
      <c r="K18" s="21">
        <v>735803.2800000001</v>
      </c>
      <c r="L18" s="22">
        <f>H18-I18</f>
        <v>69257.0099999999</v>
      </c>
      <c r="M18" s="22">
        <f>I18-J18</f>
        <v>10608.0</v>
      </c>
      <c r="N18" s="22">
        <f>H18-K18</f>
        <v>197801.71999999986</v>
      </c>
      <c r="O18" s="23">
        <f>IF(H18&gt;0,K18/H18,0)</f>
        <v>0.7881312546526638</v>
      </c>
      <c r="P18" s="23">
        <f>IF(H18&gt;0,J18/H18,0)</f>
        <v>0.914455246062307</v>
      </c>
      <c r="Q18" s="19" t="str">
        <f>IF(H18&lt;=0,"Sin PIM",IF(K18/H18&gt;=Config!$B$5,"Ejecutado",IF(J18/H18&gt;=Config!$B$6,"Mayormente comprometido",IF(J18&gt;0.005,"Parcialmente comprometido",IF(I18&gt;0.005,"Solo certificado","Sin certificar")))))</f>
        <v>Mayormente comprometido</v>
      </c>
      <c r="R18" s="19" t="str">
        <f>IF(Q18="Sin certificar","Disponible",IF(Q18="Solo certificado","Posible",IF(Q18="Parcialmente comprometido","Parcial",IF(Q18="Mayormente comprometido","Difícil",IF(Q18="Ejecutado","No usar","Sin PIM")))))</f>
        <v>Difícil</v>
      </c>
      <c r="S18" s="22">
        <f>IF(OR(H18&lt;=0,Q18="Ejecutado"),0,MAX(0,H18-J18))</f>
        <v>79865.0099999999</v>
      </c>
      <c r="T18" s="21">
        <v>629248</v>
      </c>
      <c r="U18" s="21">
        <v>304357</v>
      </c>
      <c r="V18" s="21">
        <v>0</v>
      </c>
      <c r="W18" s="21">
        <v>0</v>
      </c>
      <c r="X18" s="24" t="s">
        <v>59</v>
      </c>
      <c r="Y18" s="24" t="s">
        <v>59</v>
      </c>
      <c r="Z18" s="24" t="s">
        <v>59</v>
      </c>
      <c r="AA18" s="24" t="s">
        <v>59</v>
      </c>
      <c r="AB18" s="24" t="s">
        <v>59</v>
      </c>
      <c r="AC18" s="24" t="s">
        <v>59</v>
      </c>
      <c r="AD18" s="19" t="s">
        <v>64</v>
      </c>
      <c r="AE18" s="19" t="s">
        <v>60</v>
      </c>
    </row>
    <row r="19" spans="1:31">
      <c r="A19" s="19" t="s">
        <v>52</v>
      </c>
      <c r="B19" s="19" t="s">
        <v>53</v>
      </c>
      <c r="C19" s="19" t="s">
        <v>54</v>
      </c>
      <c r="D19" s="19" t="s">
        <v>55</v>
      </c>
      <c r="E19" s="19" t="s">
        <v>98</v>
      </c>
      <c r="F19" s="19" t="s">
        <v>99</v>
      </c>
      <c r="G19" s="20" t="s">
        <v>100</v>
      </c>
      <c r="H19" s="21">
        <v>763130</v>
      </c>
      <c r="I19" s="21">
        <v>685481.91</v>
      </c>
      <c r="J19" s="21">
        <v>643674.15</v>
      </c>
      <c r="K19" s="21">
        <v>580873.6699999999</v>
      </c>
      <c r="L19" s="22">
        <f>H19-I19</f>
        <v>77648.08999999997</v>
      </c>
      <c r="M19" s="22">
        <f>I19-J19</f>
        <v>41807.76000000001</v>
      </c>
      <c r="N19" s="22">
        <f>H19-K19</f>
        <v>182256.33000000007</v>
      </c>
      <c r="O19" s="23">
        <f>IF(H19&gt;0,K19/H19,0)</f>
        <v>0.7611726311375518</v>
      </c>
      <c r="P19" s="23">
        <f>IF(H19&gt;0,J19/H19,0)</f>
        <v>0.8434659232371943</v>
      </c>
      <c r="Q19" s="19" t="str">
        <f>IF(H19&lt;=0,"Sin PIM",IF(K19/H19&gt;=Config!$B$5,"Ejecutado",IF(J19/H19&gt;=Config!$B$6,"Mayormente comprometido",IF(J19&gt;0.005,"Parcialmente comprometido",IF(I19&gt;0.005,"Solo certificado","Sin certificar")))))</f>
        <v>Mayormente comprometido</v>
      </c>
      <c r="R19" s="19" t="str">
        <f>IF(Q19="Sin certificar","Disponible",IF(Q19="Solo certificado","Posible",IF(Q19="Parcialmente comprometido","Parcial",IF(Q19="Mayormente comprometido","Difícil",IF(Q19="Ejecutado","No usar","Sin PIM")))))</f>
        <v>Difícil</v>
      </c>
      <c r="S19" s="22">
        <f>IF(OR(H19&lt;=0,Q19="Ejecutado"),0,MAX(0,H19-J19))</f>
        <v>119455.84999999998</v>
      </c>
      <c r="T19" s="21">
        <v>504356</v>
      </c>
      <c r="U19" s="21">
        <v>258774</v>
      </c>
      <c r="V19" s="21">
        <v>0</v>
      </c>
      <c r="W19" s="21">
        <v>0</v>
      </c>
      <c r="X19" s="24" t="s">
        <v>59</v>
      </c>
      <c r="Y19" s="24" t="s">
        <v>59</v>
      </c>
      <c r="Z19" s="24" t="s">
        <v>59</v>
      </c>
      <c r="AA19" s="24" t="s">
        <v>59</v>
      </c>
      <c r="AB19" s="24" t="s">
        <v>59</v>
      </c>
      <c r="AC19" s="24" t="s">
        <v>59</v>
      </c>
      <c r="AD19" s="19" t="s">
        <v>64</v>
      </c>
      <c r="AE19" s="19" t="s">
        <v>60</v>
      </c>
    </row>
    <row r="20" spans="1:31">
      <c r="A20" s="19" t="s">
        <v>52</v>
      </c>
      <c r="B20" s="19" t="s">
        <v>53</v>
      </c>
      <c r="C20" s="19" t="s">
        <v>54</v>
      </c>
      <c r="D20" s="19" t="s">
        <v>55</v>
      </c>
      <c r="E20" s="19" t="s">
        <v>56</v>
      </c>
      <c r="F20" s="19" t="s">
        <v>101</v>
      </c>
      <c r="G20" s="20" t="s">
        <v>58</v>
      </c>
      <c r="H20" s="21">
        <v>761010</v>
      </c>
      <c r="I20" s="21">
        <v>761010</v>
      </c>
      <c r="J20" s="21">
        <v>761010</v>
      </c>
      <c r="K20" s="21">
        <v>761010</v>
      </c>
      <c r="L20" s="22">
        <f>H20-I20</f>
        <v>0.0</v>
      </c>
      <c r="M20" s="22">
        <f>I20-J20</f>
        <v>0.0</v>
      </c>
      <c r="N20" s="22">
        <f>H20-K20</f>
        <v>0.0</v>
      </c>
      <c r="O20" s="23">
        <f>IF(H20&gt;0,K20/H20,0)</f>
        <v>1.0</v>
      </c>
      <c r="P20" s="23">
        <f>IF(H20&gt;0,J20/H20,0)</f>
        <v>1.0</v>
      </c>
      <c r="Q20" s="19" t="str">
        <f>IF(H20&lt;=0,"Sin PIM",IF(K20/H20&gt;=Config!$B$5,"Ejecutado",IF(J20/H20&gt;=Config!$B$6,"Mayormente comprometido",IF(J20&gt;0.005,"Parcialmente comprometido",IF(I20&gt;0.005,"Solo certificado","Sin certificar")))))</f>
        <v>Ejecutado</v>
      </c>
      <c r="R20" s="19" t="str">
        <f>IF(Q20="Sin certificar","Disponible",IF(Q20="Solo certificado","Posible",IF(Q20="Parcialmente comprometido","Parcial",IF(Q20="Mayormente comprometido","Difícil",IF(Q20="Ejecutado","No usar","Sin PIM")))))</f>
        <v>No usar</v>
      </c>
      <c r="S20" s="22">
        <f>IF(OR(H20&lt;=0,Q20="Ejecutado"),0,MAX(0,H20-J20))</f>
        <v>0.0</v>
      </c>
      <c r="T20" s="21">
        <v>0</v>
      </c>
      <c r="U20" s="21">
        <v>0</v>
      </c>
      <c r="V20" s="21">
        <v>0</v>
      </c>
      <c r="W20" s="21">
        <v>761010</v>
      </c>
      <c r="X20" s="24" t="s">
        <v>59</v>
      </c>
      <c r="Y20" s="24" t="s">
        <v>59</v>
      </c>
      <c r="Z20" s="24" t="s">
        <v>59</v>
      </c>
      <c r="AA20" s="24" t="s">
        <v>59</v>
      </c>
      <c r="AB20" s="24" t="s">
        <v>59</v>
      </c>
      <c r="AC20" s="24" t="s">
        <v>59</v>
      </c>
      <c r="AD20" s="19" t="s">
        <v>60</v>
      </c>
      <c r="AE20" s="19" t="s">
        <v>60</v>
      </c>
    </row>
    <row r="21" spans="1:31">
      <c r="A21" s="19" t="s">
        <v>52</v>
      </c>
      <c r="B21" s="19" t="s">
        <v>53</v>
      </c>
      <c r="C21" s="19" t="s">
        <v>54</v>
      </c>
      <c r="D21" s="19" t="s">
        <v>55</v>
      </c>
      <c r="E21" s="19" t="s">
        <v>102</v>
      </c>
      <c r="F21" s="19" t="s">
        <v>103</v>
      </c>
      <c r="G21" s="20" t="s">
        <v>104</v>
      </c>
      <c r="H21" s="21">
        <v>636054</v>
      </c>
      <c r="I21" s="21">
        <v>449913.28</v>
      </c>
      <c r="J21" s="21">
        <v>445815.28</v>
      </c>
      <c r="K21" s="21">
        <v>300766.77</v>
      </c>
      <c r="L21" s="22">
        <f>H21-I21</f>
        <v>186140.72000000003</v>
      </c>
      <c r="M21" s="22">
        <f>I21-J21</f>
        <v>4098.0</v>
      </c>
      <c r="N21" s="22">
        <f>H21-K21</f>
        <v>335287.23</v>
      </c>
      <c r="O21" s="23">
        <f>IF(H21&gt;0,K21/H21,0)</f>
        <v>0.4728635776207681</v>
      </c>
      <c r="P21" s="23">
        <f>IF(H21&gt;0,J21/H21,0)</f>
        <v>0.700907910334657</v>
      </c>
      <c r="Q21" s="19" t="str">
        <f>IF(H21&lt;=0,"Sin PIM",IF(K21/H21&gt;=Config!$B$5,"Ejecutado",IF(J21/H21&gt;=Config!$B$6,"Mayormente comprometido",IF(J21&gt;0.005,"Parcialmente comprometido",IF(I21&gt;0.005,"Solo certificado","Sin certificar")))))</f>
        <v>Mayormente comprometido</v>
      </c>
      <c r="R21" s="19" t="str">
        <f>IF(Q21="Sin certificar","Disponible",IF(Q21="Solo certificado","Posible",IF(Q21="Parcialmente comprometido","Parcial",IF(Q21="Mayormente comprometido","Difícil",IF(Q21="Ejecutado","No usar","Sin PIM")))))</f>
        <v>Difícil</v>
      </c>
      <c r="S21" s="22">
        <f>IF(OR(H21&lt;=0,Q21="Ejecutado"),0,MAX(0,H21-J21))</f>
        <v>190238.72000000003</v>
      </c>
      <c r="T21" s="21">
        <v>316654</v>
      </c>
      <c r="U21" s="21">
        <v>197900</v>
      </c>
      <c r="V21" s="21">
        <v>0</v>
      </c>
      <c r="W21" s="21">
        <v>121500</v>
      </c>
      <c r="X21" s="24" t="s">
        <v>59</v>
      </c>
      <c r="Y21" s="24" t="s">
        <v>59</v>
      </c>
      <c r="Z21" s="24" t="s">
        <v>59</v>
      </c>
      <c r="AA21" s="24" t="s">
        <v>59</v>
      </c>
      <c r="AB21" s="24" t="s">
        <v>59</v>
      </c>
      <c r="AC21" s="24" t="s">
        <v>59</v>
      </c>
      <c r="AD21" s="19" t="s">
        <v>64</v>
      </c>
      <c r="AE21" s="19" t="s">
        <v>60</v>
      </c>
    </row>
    <row r="22" spans="1:31">
      <c r="A22" s="19" t="s">
        <v>52</v>
      </c>
      <c r="B22" s="19" t="s">
        <v>53</v>
      </c>
      <c r="C22" s="19" t="s">
        <v>54</v>
      </c>
      <c r="D22" s="19" t="s">
        <v>55</v>
      </c>
      <c r="E22" s="19" t="s">
        <v>105</v>
      </c>
      <c r="F22" s="19" t="s">
        <v>106</v>
      </c>
      <c r="G22" s="20" t="s">
        <v>107</v>
      </c>
      <c r="H22" s="21">
        <v>533472</v>
      </c>
      <c r="I22" s="21">
        <v>497493.34</v>
      </c>
      <c r="J22" s="21">
        <v>482993.45</v>
      </c>
      <c r="K22" s="21">
        <v>375952.5999999999</v>
      </c>
      <c r="L22" s="22">
        <f>H22-I22</f>
        <v>35978.66000000003</v>
      </c>
      <c r="M22" s="22">
        <f>I22-J22</f>
        <v>14499.890000000014</v>
      </c>
      <c r="N22" s="22">
        <f>H22-K22</f>
        <v>157519.40000000008</v>
      </c>
      <c r="O22" s="23">
        <f>IF(H22&gt;0,K22/H22,0)</f>
        <v>0.7047278957471056</v>
      </c>
      <c r="P22" s="23">
        <f>IF(H22&gt;0,J22/H22,0)</f>
        <v>0.9053773206466318</v>
      </c>
      <c r="Q22" s="19" t="str">
        <f>IF(H22&lt;=0,"Sin PIM",IF(K22/H22&gt;=Config!$B$5,"Ejecutado",IF(J22/H22&gt;=Config!$B$6,"Mayormente comprometido",IF(J22&gt;0.005,"Parcialmente comprometido",IF(I22&gt;0.005,"Solo certificado","Sin certificar")))))</f>
        <v>Mayormente comprometido</v>
      </c>
      <c r="R22" s="19" t="str">
        <f>IF(Q22="Sin certificar","Disponible",IF(Q22="Solo certificado","Posible",IF(Q22="Parcialmente comprometido","Parcial",IF(Q22="Mayormente comprometido","Difícil",IF(Q22="Ejecutado","No usar","Sin PIM")))))</f>
        <v>Difícil</v>
      </c>
      <c r="S22" s="22">
        <f>IF(OR(H22&lt;=0,Q22="Ejecutado"),0,MAX(0,H22-J22))</f>
        <v>50478.55000000005</v>
      </c>
      <c r="T22" s="21">
        <v>415061</v>
      </c>
      <c r="U22" s="21">
        <v>115411</v>
      </c>
      <c r="V22" s="21">
        <v>0</v>
      </c>
      <c r="W22" s="21">
        <v>3000</v>
      </c>
      <c r="X22" s="24" t="s">
        <v>59</v>
      </c>
      <c r="Y22" s="24" t="s">
        <v>59</v>
      </c>
      <c r="Z22" s="24" t="s">
        <v>59</v>
      </c>
      <c r="AA22" s="24" t="s">
        <v>59</v>
      </c>
      <c r="AB22" s="24" t="s">
        <v>59</v>
      </c>
      <c r="AC22" s="24" t="s">
        <v>59</v>
      </c>
      <c r="AD22" s="19" t="s">
        <v>64</v>
      </c>
      <c r="AE22" s="19" t="s">
        <v>60</v>
      </c>
    </row>
    <row r="23" spans="1:31">
      <c r="A23" s="19" t="s">
        <v>52</v>
      </c>
      <c r="B23" s="19" t="s">
        <v>53</v>
      </c>
      <c r="C23" s="19" t="s">
        <v>54</v>
      </c>
      <c r="D23" s="19" t="s">
        <v>55</v>
      </c>
      <c r="E23" s="19" t="s">
        <v>108</v>
      </c>
      <c r="F23" s="19" t="s">
        <v>109</v>
      </c>
      <c r="G23" s="20" t="s">
        <v>110</v>
      </c>
      <c r="H23" s="21">
        <v>508796</v>
      </c>
      <c r="I23" s="21">
        <v>490348.4500000001</v>
      </c>
      <c r="J23" s="21">
        <v>487466.8900000001</v>
      </c>
      <c r="K23" s="21">
        <v>341815.41</v>
      </c>
      <c r="L23" s="22">
        <f>H23-I23</f>
        <v>18447.54999999993</v>
      </c>
      <c r="M23" s="22">
        <f>I23-J23</f>
        <v>2881.5599999999977</v>
      </c>
      <c r="N23" s="22">
        <f>H23-K23</f>
        <v>166980.58999999997</v>
      </c>
      <c r="O23" s="23">
        <f>IF(H23&gt;0,K23/H23,0)</f>
        <v>0.6718122980526577</v>
      </c>
      <c r="P23" s="23">
        <f>IF(H23&gt;0,J23/H23,0)</f>
        <v>0.95807924983687</v>
      </c>
      <c r="Q23" s="19" t="str">
        <f>IF(H23&lt;=0,"Sin PIM",IF(K23/H23&gt;=Config!$B$5,"Ejecutado",IF(J23/H23&gt;=Config!$B$6,"Mayormente comprometido",IF(J23&gt;0.005,"Parcialmente comprometido",IF(I23&gt;0.005,"Solo certificado","Sin certificar")))))</f>
        <v>Mayormente comprometido</v>
      </c>
      <c r="R23" s="19" t="str">
        <f>IF(Q23="Sin certificar","Disponible",IF(Q23="Solo certificado","Posible",IF(Q23="Parcialmente comprometido","Parcial",IF(Q23="Mayormente comprometido","Difícil",IF(Q23="Ejecutado","No usar","Sin PIM")))))</f>
        <v>Difícil</v>
      </c>
      <c r="S23" s="22">
        <f>IF(OR(H23&lt;=0,Q23="Ejecutado"),0,MAX(0,H23-J23))</f>
        <v>21329.109999999928</v>
      </c>
      <c r="T23" s="21">
        <v>335275</v>
      </c>
      <c r="U23" s="21">
        <v>173521</v>
      </c>
      <c r="V23" s="21">
        <v>0</v>
      </c>
      <c r="W23" s="21">
        <v>0</v>
      </c>
      <c r="X23" s="24" t="s">
        <v>59</v>
      </c>
      <c r="Y23" s="24" t="s">
        <v>59</v>
      </c>
      <c r="Z23" s="24" t="s">
        <v>59</v>
      </c>
      <c r="AA23" s="24" t="s">
        <v>59</v>
      </c>
      <c r="AB23" s="24" t="s">
        <v>59</v>
      </c>
      <c r="AC23" s="24" t="s">
        <v>59</v>
      </c>
      <c r="AD23" s="19" t="s">
        <v>64</v>
      </c>
      <c r="AE23" s="19" t="s">
        <v>60</v>
      </c>
    </row>
    <row r="24" spans="1:31">
      <c r="A24" s="19" t="s">
        <v>52</v>
      </c>
      <c r="B24" s="19" t="s">
        <v>53</v>
      </c>
      <c r="C24" s="19" t="s">
        <v>54</v>
      </c>
      <c r="D24" s="19" t="s">
        <v>55</v>
      </c>
      <c r="E24" s="19" t="s">
        <v>86</v>
      </c>
      <c r="F24" s="19" t="s">
        <v>111</v>
      </c>
      <c r="G24" s="20" t="s">
        <v>112</v>
      </c>
      <c r="H24" s="21">
        <v>306980</v>
      </c>
      <c r="I24" s="21">
        <v>233409.92</v>
      </c>
      <c r="J24" s="21">
        <v>233409.92</v>
      </c>
      <c r="K24" s="21">
        <v>130413.61</v>
      </c>
      <c r="L24" s="22">
        <f>H24-I24</f>
        <v>73570.07999999999</v>
      </c>
      <c r="M24" s="22">
        <f>I24-J24</f>
        <v>0.0</v>
      </c>
      <c r="N24" s="22">
        <f>H24-K24</f>
        <v>176566.39</v>
      </c>
      <c r="O24" s="23">
        <f>IF(H24&gt;0,K24/H24,0)</f>
        <v>0.4248277086455144</v>
      </c>
      <c r="P24" s="23">
        <f>IF(H24&gt;0,J24/H24,0)</f>
        <v>0.7603424327317742</v>
      </c>
      <c r="Q24" s="19" t="str">
        <f>IF(H24&lt;=0,"Sin PIM",IF(K24/H24&gt;=Config!$B$5,"Ejecutado",IF(J24/H24&gt;=Config!$B$6,"Mayormente comprometido",IF(J24&gt;0.005,"Parcialmente comprometido",IF(I24&gt;0.005,"Solo certificado","Sin certificar")))))</f>
        <v>Mayormente comprometido</v>
      </c>
      <c r="R24" s="19" t="str">
        <f>IF(Q24="Sin certificar","Disponible",IF(Q24="Solo certificado","Posible",IF(Q24="Parcialmente comprometido","Parcial",IF(Q24="Mayormente comprometido","Difícil",IF(Q24="Ejecutado","No usar","Sin PIM")))))</f>
        <v>Difícil</v>
      </c>
      <c r="S24" s="22">
        <f>IF(OR(H24&lt;=0,Q24="Ejecutado"),0,MAX(0,H24-J24))</f>
        <v>73570.07999999999</v>
      </c>
      <c r="T24" s="21">
        <v>0</v>
      </c>
      <c r="U24" s="21">
        <v>306980</v>
      </c>
      <c r="V24" s="21">
        <v>0</v>
      </c>
      <c r="W24" s="21">
        <v>0</v>
      </c>
      <c r="X24" s="24" t="s">
        <v>59</v>
      </c>
      <c r="Y24" s="24" t="s">
        <v>59</v>
      </c>
      <c r="Z24" s="24" t="s">
        <v>59</v>
      </c>
      <c r="AA24" s="24" t="s">
        <v>59</v>
      </c>
      <c r="AB24" s="24" t="s">
        <v>59</v>
      </c>
      <c r="AC24" s="24" t="s">
        <v>59</v>
      </c>
      <c r="AD24" s="19" t="s">
        <v>64</v>
      </c>
      <c r="AE24" s="19" t="s">
        <v>60</v>
      </c>
    </row>
    <row r="25" spans="1:31">
      <c r="A25" s="19" t="s">
        <v>52</v>
      </c>
      <c r="B25" s="19" t="s">
        <v>53</v>
      </c>
      <c r="C25" s="19" t="s">
        <v>54</v>
      </c>
      <c r="D25" s="19" t="s">
        <v>55</v>
      </c>
      <c r="E25" s="19" t="s">
        <v>98</v>
      </c>
      <c r="F25" s="19" t="s">
        <v>113</v>
      </c>
      <c r="G25" s="20" t="s">
        <v>114</v>
      </c>
      <c r="H25" s="21">
        <v>254990</v>
      </c>
      <c r="I25" s="21">
        <v>254990</v>
      </c>
      <c r="J25" s="21">
        <v>254990</v>
      </c>
      <c r="K25" s="21">
        <v>162678.6</v>
      </c>
      <c r="L25" s="22">
        <f>H25-I25</f>
        <v>0.0</v>
      </c>
      <c r="M25" s="22">
        <f>I25-J25</f>
        <v>0.0</v>
      </c>
      <c r="N25" s="22">
        <f>H25-K25</f>
        <v>92311.4</v>
      </c>
      <c r="O25" s="23">
        <f>IF(H25&gt;0,K25/H25,0)</f>
        <v>0.6379803129534491</v>
      </c>
      <c r="P25" s="23">
        <f>IF(H25&gt;0,J25/H25,0)</f>
        <v>1.0</v>
      </c>
      <c r="Q25" s="19" t="str">
        <f>IF(H25&lt;=0,"Sin PIM",IF(K25/H25&gt;=Config!$B$5,"Ejecutado",IF(J25/H25&gt;=Config!$B$6,"Mayormente comprometido",IF(J25&gt;0.005,"Parcialmente comprometido",IF(I25&gt;0.005,"Solo certificado","Sin certificar")))))</f>
        <v>Mayormente comprometido</v>
      </c>
      <c r="R25" s="19" t="str">
        <f>IF(Q25="Sin certificar","Disponible",IF(Q25="Solo certificado","Posible",IF(Q25="Parcialmente comprometido","Parcial",IF(Q25="Mayormente comprometido","Difícil",IF(Q25="Ejecutado","No usar","Sin PIM")))))</f>
        <v>Difícil</v>
      </c>
      <c r="S25" s="22">
        <f>IF(OR(H25&lt;=0,Q25="Ejecutado"),0,MAX(0,H25-J25))</f>
        <v>0.0</v>
      </c>
      <c r="T25" s="21">
        <v>254990</v>
      </c>
      <c r="U25" s="21">
        <v>0</v>
      </c>
      <c r="V25" s="21">
        <v>0</v>
      </c>
      <c r="W25" s="21">
        <v>0</v>
      </c>
      <c r="X25" s="24" t="s">
        <v>59</v>
      </c>
      <c r="Y25" s="24" t="s">
        <v>59</v>
      </c>
      <c r="Z25" s="24" t="s">
        <v>59</v>
      </c>
      <c r="AA25" s="24" t="s">
        <v>59</v>
      </c>
      <c r="AB25" s="24" t="s">
        <v>59</v>
      </c>
      <c r="AC25" s="24" t="s">
        <v>59</v>
      </c>
      <c r="AD25" s="19" t="s">
        <v>64</v>
      </c>
      <c r="AE25" s="19" t="s">
        <v>60</v>
      </c>
    </row>
    <row r="26" spans="1:31">
      <c r="A26" s="19" t="s">
        <v>52</v>
      </c>
      <c r="B26" s="19" t="s">
        <v>53</v>
      </c>
      <c r="C26" s="19" t="s">
        <v>54</v>
      </c>
      <c r="D26" s="19" t="s">
        <v>55</v>
      </c>
      <c r="E26" s="19" t="s">
        <v>61</v>
      </c>
      <c r="F26" s="19" t="s">
        <v>115</v>
      </c>
      <c r="G26" s="20" t="s">
        <v>116</v>
      </c>
      <c r="H26" s="21">
        <v>217664</v>
      </c>
      <c r="I26" s="21">
        <v>162400</v>
      </c>
      <c r="J26" s="21">
        <v>162400</v>
      </c>
      <c r="K26" s="21">
        <v>114200</v>
      </c>
      <c r="L26" s="22">
        <f>H26-I26</f>
        <v>55264.0</v>
      </c>
      <c r="M26" s="22">
        <f>I26-J26</f>
        <v>0.0</v>
      </c>
      <c r="N26" s="22">
        <f>H26-K26</f>
        <v>103464.0</v>
      </c>
      <c r="O26" s="23">
        <f>IF(H26&gt;0,K26/H26,0)</f>
        <v>0.5246618641576007</v>
      </c>
      <c r="P26" s="23">
        <f>IF(H26&gt;0,J26/H26,0)</f>
        <v>0.7461040870332255</v>
      </c>
      <c r="Q26" s="19" t="str">
        <f>IF(H26&lt;=0,"Sin PIM",IF(K26/H26&gt;=Config!$B$5,"Ejecutado",IF(J26/H26&gt;=Config!$B$6,"Mayormente comprometido",IF(J26&gt;0.005,"Parcialmente comprometido",IF(I26&gt;0.005,"Solo certificado","Sin certificar")))))</f>
        <v>Mayormente comprometido</v>
      </c>
      <c r="R26" s="19" t="str">
        <f>IF(Q26="Sin certificar","Disponible",IF(Q26="Solo certificado","Posible",IF(Q26="Parcialmente comprometido","Parcial",IF(Q26="Mayormente comprometido","Difícil",IF(Q26="Ejecutado","No usar","Sin PIM")))))</f>
        <v>Difícil</v>
      </c>
      <c r="S26" s="22">
        <f>IF(OR(H26&lt;=0,Q26="Ejecutado"),0,MAX(0,H26-J26))</f>
        <v>55264.0</v>
      </c>
      <c r="T26" s="21">
        <v>0</v>
      </c>
      <c r="U26" s="21">
        <v>217664</v>
      </c>
      <c r="V26" s="21">
        <v>0</v>
      </c>
      <c r="W26" s="21">
        <v>0</v>
      </c>
      <c r="X26" s="24" t="s">
        <v>59</v>
      </c>
      <c r="Y26" s="24" t="s">
        <v>59</v>
      </c>
      <c r="Z26" s="24" t="s">
        <v>59</v>
      </c>
      <c r="AA26" s="24" t="s">
        <v>59</v>
      </c>
      <c r="AB26" s="24" t="s">
        <v>59</v>
      </c>
      <c r="AC26" s="24" t="s">
        <v>59</v>
      </c>
      <c r="AD26" s="19" t="s">
        <v>64</v>
      </c>
      <c r="AE26" s="19" t="s">
        <v>60</v>
      </c>
    </row>
    <row r="27" spans="1:31">
      <c r="A27" s="19" t="s">
        <v>52</v>
      </c>
      <c r="B27" s="19" t="s">
        <v>53</v>
      </c>
      <c r="C27" s="19" t="s">
        <v>54</v>
      </c>
      <c r="D27" s="19" t="s">
        <v>55</v>
      </c>
      <c r="E27" s="19" t="s">
        <v>117</v>
      </c>
      <c r="F27" s="19" t="s">
        <v>118</v>
      </c>
      <c r="G27" s="20" t="s">
        <v>119</v>
      </c>
      <c r="H27" s="21">
        <v>118429</v>
      </c>
      <c r="I27" s="21">
        <v>102026.4</v>
      </c>
      <c r="J27" s="21">
        <v>101601.2</v>
      </c>
      <c r="K27" s="21">
        <v>34391.2</v>
      </c>
      <c r="L27" s="22">
        <f>H27-I27</f>
        <v>16402.600000000006</v>
      </c>
      <c r="M27" s="22">
        <f>I27-J27</f>
        <v>425.1999999999971</v>
      </c>
      <c r="N27" s="22">
        <f>H27-K27</f>
        <v>84037.8</v>
      </c>
      <c r="O27" s="23">
        <f>IF(H27&gt;0,K27/H27,0)</f>
        <v>0.290395089040691</v>
      </c>
      <c r="P27" s="23">
        <f>IF(H27&gt;0,J27/H27,0)</f>
        <v>0.8579081137221457</v>
      </c>
      <c r="Q27" s="19" t="str">
        <f>IF(H27&lt;=0,"Sin PIM",IF(K27/H27&gt;=Config!$B$5,"Ejecutado",IF(J27/H27&gt;=Config!$B$6,"Mayormente comprometido",IF(J27&gt;0.005,"Parcialmente comprometido",IF(I27&gt;0.005,"Solo certificado","Sin certificar")))))</f>
        <v>Mayormente comprometido</v>
      </c>
      <c r="R27" s="19" t="str">
        <f>IF(Q27="Sin certificar","Disponible",IF(Q27="Solo certificado","Posible",IF(Q27="Parcialmente comprometido","Parcial",IF(Q27="Mayormente comprometido","Difícil",IF(Q27="Ejecutado","No usar","Sin PIM")))))</f>
        <v>Difícil</v>
      </c>
      <c r="S27" s="22">
        <f>IF(OR(H27&lt;=0,Q27="Ejecutado"),0,MAX(0,H27-J27))</f>
        <v>16827.800000000003</v>
      </c>
      <c r="T27" s="21">
        <v>0</v>
      </c>
      <c r="U27" s="21">
        <v>104741</v>
      </c>
      <c r="V27" s="21">
        <v>0</v>
      </c>
      <c r="W27" s="21">
        <v>13688</v>
      </c>
      <c r="X27" s="24" t="s">
        <v>59</v>
      </c>
      <c r="Y27" s="24" t="s">
        <v>59</v>
      </c>
      <c r="Z27" s="24" t="s">
        <v>59</v>
      </c>
      <c r="AA27" s="24" t="s">
        <v>59</v>
      </c>
      <c r="AB27" s="24" t="s">
        <v>59</v>
      </c>
      <c r="AC27" s="24" t="s">
        <v>59</v>
      </c>
      <c r="AD27" s="19" t="s">
        <v>64</v>
      </c>
      <c r="AE27" s="19" t="s">
        <v>60</v>
      </c>
    </row>
    <row r="28" spans="1:31">
      <c r="A28" s="19" t="s">
        <v>52</v>
      </c>
      <c r="B28" s="19" t="s">
        <v>53</v>
      </c>
      <c r="C28" s="19" t="s">
        <v>54</v>
      </c>
      <c r="D28" s="19" t="s">
        <v>55</v>
      </c>
      <c r="E28" s="19" t="s">
        <v>65</v>
      </c>
      <c r="F28" s="19" t="s">
        <v>120</v>
      </c>
      <c r="G28" s="20" t="s">
        <v>121</v>
      </c>
      <c r="H28" s="21">
        <v>114535</v>
      </c>
      <c r="I28" s="21">
        <v>114535</v>
      </c>
      <c r="J28" s="21">
        <v>114535</v>
      </c>
      <c r="K28" s="21">
        <v>85901.13</v>
      </c>
      <c r="L28" s="22">
        <f>H28-I28</f>
        <v>0.0</v>
      </c>
      <c r="M28" s="22">
        <f>I28-J28</f>
        <v>0.0</v>
      </c>
      <c r="N28" s="22">
        <f>H28-K28</f>
        <v>28633.869999999995</v>
      </c>
      <c r="O28" s="23">
        <f>IF(H28&gt;0,K28/H28,0)</f>
        <v>0.7499989522853276</v>
      </c>
      <c r="P28" s="23">
        <f>IF(H28&gt;0,J28/H28,0)</f>
        <v>1.0</v>
      </c>
      <c r="Q28" s="19" t="str">
        <f>IF(H28&lt;=0,"Sin PIM",IF(K28/H28&gt;=Config!$B$5,"Ejecutado",IF(J28/H28&gt;=Config!$B$6,"Mayormente comprometido",IF(J28&gt;0.005,"Parcialmente comprometido",IF(I28&gt;0.005,"Solo certificado","Sin certificar")))))</f>
        <v>Mayormente comprometido</v>
      </c>
      <c r="R28" s="19" t="str">
        <f>IF(Q28="Sin certificar","Disponible",IF(Q28="Solo certificado","Posible",IF(Q28="Parcialmente comprometido","Parcial",IF(Q28="Mayormente comprometido","Difícil",IF(Q28="Ejecutado","No usar","Sin PIM")))))</f>
        <v>Difícil</v>
      </c>
      <c r="S28" s="22">
        <f>IF(OR(H28&lt;=0,Q28="Ejecutado"),0,MAX(0,H28-J28))</f>
        <v>0.0</v>
      </c>
      <c r="T28" s="21">
        <v>114535</v>
      </c>
      <c r="U28" s="21">
        <v>0</v>
      </c>
      <c r="V28" s="21">
        <v>0</v>
      </c>
      <c r="W28" s="21">
        <v>0</v>
      </c>
      <c r="X28" s="24" t="s">
        <v>59</v>
      </c>
      <c r="Y28" s="24" t="s">
        <v>59</v>
      </c>
      <c r="Z28" s="24" t="s">
        <v>59</v>
      </c>
      <c r="AA28" s="24" t="s">
        <v>59</v>
      </c>
      <c r="AB28" s="24" t="s">
        <v>59</v>
      </c>
      <c r="AC28" s="24" t="s">
        <v>59</v>
      </c>
      <c r="AD28" s="19" t="s">
        <v>64</v>
      </c>
      <c r="AE28" s="19" t="s">
        <v>60</v>
      </c>
    </row>
    <row r="29" spans="1:31">
      <c r="A29" s="19" t="s">
        <v>52</v>
      </c>
      <c r="B29" s="19" t="s">
        <v>53</v>
      </c>
      <c r="C29" s="19" t="s">
        <v>54</v>
      </c>
      <c r="D29" s="19" t="s">
        <v>55</v>
      </c>
      <c r="E29" s="19" t="s">
        <v>76</v>
      </c>
      <c r="F29" s="19" t="s">
        <v>122</v>
      </c>
      <c r="G29" s="20" t="s">
        <v>123</v>
      </c>
      <c r="H29" s="21">
        <v>83162</v>
      </c>
      <c r="I29" s="21">
        <v>73936</v>
      </c>
      <c r="J29" s="21">
        <v>73936</v>
      </c>
      <c r="K29" s="21">
        <v>42003.67</v>
      </c>
      <c r="L29" s="22">
        <f>H29-I29</f>
        <v>9226.0</v>
      </c>
      <c r="M29" s="22">
        <f>I29-J29</f>
        <v>0.0</v>
      </c>
      <c r="N29" s="22">
        <f>H29-K29</f>
        <v>41158.33</v>
      </c>
      <c r="O29" s="23">
        <f>IF(H29&gt;0,K29/H29,0)</f>
        <v>0.5050824895986147</v>
      </c>
      <c r="P29" s="23">
        <f>IF(H29&gt;0,J29/H29,0)</f>
        <v>0.8890599071691397</v>
      </c>
      <c r="Q29" s="19" t="str">
        <f>IF(H29&lt;=0,"Sin PIM",IF(K29/H29&gt;=Config!$B$5,"Ejecutado",IF(J29/H29&gt;=Config!$B$6,"Mayormente comprometido",IF(J29&gt;0.005,"Parcialmente comprometido",IF(I29&gt;0.005,"Solo certificado","Sin certificar")))))</f>
        <v>Mayormente comprometido</v>
      </c>
      <c r="R29" s="19" t="str">
        <f>IF(Q29="Sin certificar","Disponible",IF(Q29="Solo certificado","Posible",IF(Q29="Parcialmente comprometido","Parcial",IF(Q29="Mayormente comprometido","Difícil",IF(Q29="Ejecutado","No usar","Sin PIM")))))</f>
        <v>Difícil</v>
      </c>
      <c r="S29" s="22">
        <f>IF(OR(H29&lt;=0,Q29="Ejecutado"),0,MAX(0,H29-J29))</f>
        <v>9226.0</v>
      </c>
      <c r="T29" s="21">
        <v>58601</v>
      </c>
      <c r="U29" s="21">
        <v>23061</v>
      </c>
      <c r="V29" s="21">
        <v>0</v>
      </c>
      <c r="W29" s="21">
        <v>1500</v>
      </c>
      <c r="X29" s="24" t="s">
        <v>59</v>
      </c>
      <c r="Y29" s="24" t="s">
        <v>59</v>
      </c>
      <c r="Z29" s="24" t="s">
        <v>59</v>
      </c>
      <c r="AA29" s="24" t="s">
        <v>59</v>
      </c>
      <c r="AB29" s="24" t="s">
        <v>59</v>
      </c>
      <c r="AC29" s="24" t="s">
        <v>59</v>
      </c>
      <c r="AD29" s="19" t="s">
        <v>64</v>
      </c>
      <c r="AE29" s="19" t="s">
        <v>60</v>
      </c>
    </row>
    <row r="30" spans="1:31">
      <c r="A30" s="19" t="s">
        <v>52</v>
      </c>
      <c r="B30" s="19" t="s">
        <v>53</v>
      </c>
      <c r="C30" s="19" t="s">
        <v>54</v>
      </c>
      <c r="D30" s="19" t="s">
        <v>55</v>
      </c>
      <c r="E30" s="19" t="s">
        <v>124</v>
      </c>
      <c r="F30" s="19" t="s">
        <v>125</v>
      </c>
      <c r="G30" s="20" t="s">
        <v>126</v>
      </c>
      <c r="H30" s="21">
        <v>77042</v>
      </c>
      <c r="I30" s="21">
        <v>0</v>
      </c>
      <c r="J30" s="21">
        <v>0</v>
      </c>
      <c r="K30" s="21">
        <v>0</v>
      </c>
      <c r="L30" s="22">
        <f>H30-I30</f>
        <v>77042.0</v>
      </c>
      <c r="M30" s="22">
        <f>I30-J30</f>
        <v>0.0</v>
      </c>
      <c r="N30" s="22">
        <f>H30-K30</f>
        <v>77042.0</v>
      </c>
      <c r="O30" s="23">
        <f>IF(H30&gt;0,K30/H30,0)</f>
        <v>0.0</v>
      </c>
      <c r="P30" s="23">
        <f>IF(H30&gt;0,J30/H30,0)</f>
        <v>0.0</v>
      </c>
      <c r="Q30" s="19" t="str">
        <f>IF(H30&lt;=0,"Sin PIM",IF(K30/H30&gt;=Config!$B$5,"Ejecutado",IF(J30/H30&gt;=Config!$B$6,"Mayormente comprometido",IF(J30&gt;0.005,"Parcialmente comprometido",IF(I30&gt;0.005,"Solo certificado","Sin certificar")))))</f>
        <v>Sin certificar</v>
      </c>
      <c r="R30" s="19" t="str">
        <f>IF(Q30="Sin certificar","Disponible",IF(Q30="Solo certificado","Posible",IF(Q30="Parcialmente comprometido","Parcial",IF(Q30="Mayormente comprometido","Difícil",IF(Q30="Ejecutado","No usar","Sin PIM")))))</f>
        <v>Disponible</v>
      </c>
      <c r="S30" s="22">
        <f>IF(OR(H30&lt;=0,Q30="Ejecutado"),0,MAX(0,H30-J30))</f>
        <v>77042.0</v>
      </c>
      <c r="T30" s="21">
        <v>0</v>
      </c>
      <c r="U30" s="21">
        <v>0</v>
      </c>
      <c r="V30" s="21">
        <v>77042</v>
      </c>
      <c r="W30" s="21">
        <v>0</v>
      </c>
      <c r="X30" s="24" t="s">
        <v>59</v>
      </c>
      <c r="Y30" s="24" t="s">
        <v>59</v>
      </c>
      <c r="Z30" s="24" t="s">
        <v>59</v>
      </c>
      <c r="AA30" s="24" t="s">
        <v>59</v>
      </c>
      <c r="AB30" s="24" t="s">
        <v>59</v>
      </c>
      <c r="AC30" s="24" t="s">
        <v>59</v>
      </c>
      <c r="AD30" s="19" t="s">
        <v>64</v>
      </c>
      <c r="AE30" s="19" t="s">
        <v>60</v>
      </c>
    </row>
    <row r="31" spans="1:31">
      <c r="A31" s="19" t="s">
        <v>52</v>
      </c>
      <c r="B31" s="19" t="s">
        <v>53</v>
      </c>
      <c r="C31" s="19" t="s">
        <v>54</v>
      </c>
      <c r="D31" s="19" t="s">
        <v>55</v>
      </c>
      <c r="E31" s="19" t="s">
        <v>65</v>
      </c>
      <c r="F31" s="19" t="s">
        <v>127</v>
      </c>
      <c r="G31" s="20" t="s">
        <v>128</v>
      </c>
      <c r="H31" s="21">
        <v>27333</v>
      </c>
      <c r="I31" s="21">
        <v>27333</v>
      </c>
      <c r="J31" s="21">
        <v>22410</v>
      </c>
      <c r="K31" s="21">
        <v>0</v>
      </c>
      <c r="L31" s="22">
        <f>H31-I31</f>
        <v>0.0</v>
      </c>
      <c r="M31" s="22">
        <f>I31-J31</f>
        <v>4923.0</v>
      </c>
      <c r="N31" s="22">
        <f>H31-K31</f>
        <v>27333.0</v>
      </c>
      <c r="O31" s="23">
        <f>IF(H31&gt;0,K31/H31,0)</f>
        <v>0.0</v>
      </c>
      <c r="P31" s="23">
        <f>IF(H31&gt;0,J31/H31,0)</f>
        <v>0.8198880474152124</v>
      </c>
      <c r="Q31" s="19" t="str">
        <f>IF(H31&lt;=0,"Sin PIM",IF(K31/H31&gt;=Config!$B$5,"Ejecutado",IF(J31/H31&gt;=Config!$B$6,"Mayormente comprometido",IF(J31&gt;0.005,"Parcialmente comprometido",IF(I31&gt;0.005,"Solo certificado","Sin certificar")))))</f>
        <v>Mayormente comprometido</v>
      </c>
      <c r="R31" s="19" t="str">
        <f>IF(Q31="Sin certificar","Disponible",IF(Q31="Solo certificado","Posible",IF(Q31="Parcialmente comprometido","Parcial",IF(Q31="Mayormente comprometido","Difícil",IF(Q31="Ejecutado","No usar","Sin PIM")))))</f>
        <v>Difícil</v>
      </c>
      <c r="S31" s="22">
        <f>IF(OR(H31&lt;=0,Q31="Ejecutado"),0,MAX(0,H31-J31))</f>
        <v>4923.0</v>
      </c>
      <c r="T31" s="21">
        <v>27333</v>
      </c>
      <c r="U31" s="21">
        <v>0</v>
      </c>
      <c r="V31" s="21">
        <v>0</v>
      </c>
      <c r="W31" s="21">
        <v>0</v>
      </c>
      <c r="X31" s="24" t="s">
        <v>59</v>
      </c>
      <c r="Y31" s="24" t="s">
        <v>59</v>
      </c>
      <c r="Z31" s="24" t="s">
        <v>59</v>
      </c>
      <c r="AA31" s="24" t="s">
        <v>59</v>
      </c>
      <c r="AB31" s="24" t="s">
        <v>59</v>
      </c>
      <c r="AC31" s="24" t="s">
        <v>59</v>
      </c>
      <c r="AD31" s="19" t="s">
        <v>64</v>
      </c>
      <c r="AE31" s="19" t="s">
        <v>60</v>
      </c>
    </row>
    <row r="32" spans="1:31">
      <c r="A32" s="19" t="s">
        <v>52</v>
      </c>
      <c r="B32" s="19" t="s">
        <v>53</v>
      </c>
      <c r="C32" s="19" t="s">
        <v>54</v>
      </c>
      <c r="D32" s="19" t="s">
        <v>55</v>
      </c>
      <c r="E32" s="19" t="s">
        <v>61</v>
      </c>
      <c r="F32" s="19" t="s">
        <v>129</v>
      </c>
      <c r="G32" s="20" t="s">
        <v>130</v>
      </c>
      <c r="H32" s="21">
        <v>0</v>
      </c>
      <c r="I32" s="21">
        <v>0</v>
      </c>
      <c r="J32" s="21">
        <v>0</v>
      </c>
      <c r="K32" s="21">
        <v>0</v>
      </c>
      <c r="L32" s="22">
        <f>H32-I32</f>
        <v>0.0</v>
      </c>
      <c r="M32" s="22">
        <f>I32-J32</f>
        <v>0.0</v>
      </c>
      <c r="N32" s="22">
        <f>H32-K32</f>
        <v>0.0</v>
      </c>
      <c r="O32" s="23">
        <f>IF(H32&gt;0,K32/H32,0)</f>
        <v>0</v>
      </c>
      <c r="P32" s="23">
        <f>IF(H32&gt;0,J32/H32,0)</f>
        <v>0</v>
      </c>
      <c r="Q32" s="19" t="str">
        <f>IF(H32&lt;=0,"Sin PIM",IF(K32/H32&gt;=Config!$B$5,"Ejecutado",IF(J32/H32&gt;=Config!$B$6,"Mayormente comprometido",IF(J32&gt;0.005,"Parcialmente comprometido",IF(I32&gt;0.005,"Solo certificado","Sin certificar")))))</f>
        <v>Sin PIM</v>
      </c>
      <c r="R32" s="19" t="str">
        <f>IF(Q32="Sin certificar","Disponible",IF(Q32="Solo certificado","Posible",IF(Q32="Parcialmente comprometido","Parcial",IF(Q32="Mayormente comprometido","Difícil",IF(Q32="Ejecutado","No usar","Sin PIM")))))</f>
        <v>Sin PIM</v>
      </c>
      <c r="S32" s="22">
        <f>IF(OR(H32&lt;=0,Q32="Ejecutado"),0,MAX(0,H32-J32))</f>
        <v>0.0</v>
      </c>
      <c r="T32" s="21">
        <v>0</v>
      </c>
      <c r="U32" s="21">
        <v>0</v>
      </c>
      <c r="V32" s="21">
        <v>0</v>
      </c>
      <c r="W32" s="21">
        <v>0</v>
      </c>
      <c r="X32" s="24" t="s">
        <v>59</v>
      </c>
      <c r="Y32" s="24" t="s">
        <v>59</v>
      </c>
      <c r="Z32" s="24" t="s">
        <v>59</v>
      </c>
      <c r="AA32" s="24" t="s">
        <v>59</v>
      </c>
      <c r="AB32" s="24" t="s">
        <v>59</v>
      </c>
      <c r="AC32" s="24" t="s">
        <v>59</v>
      </c>
      <c r="AD32" s="19" t="s">
        <v>64</v>
      </c>
      <c r="AE32" s="19" t="s">
        <v>60</v>
      </c>
    </row>
    <row r="33" spans="1:31">
      <c r="A33" s="19" t="s">
        <v>52</v>
      </c>
      <c r="B33" s="19" t="s">
        <v>53</v>
      </c>
      <c r="C33" s="19" t="s">
        <v>131</v>
      </c>
      <c r="D33" s="19" t="s">
        <v>132</v>
      </c>
      <c r="E33" s="19" t="s">
        <v>133</v>
      </c>
      <c r="F33" s="19" t="s">
        <v>134</v>
      </c>
      <c r="G33" s="20" t="s">
        <v>135</v>
      </c>
      <c r="H33" s="21">
        <v>1428319</v>
      </c>
      <c r="I33" s="21">
        <v>1363163.72</v>
      </c>
      <c r="J33" s="21">
        <v>645131.4</v>
      </c>
      <c r="K33" s="21">
        <v>522691.81</v>
      </c>
      <c r="L33" s="22">
        <f>H33-I33</f>
        <v>65155.28000000003</v>
      </c>
      <c r="M33" s="22">
        <f>I33-J33</f>
        <v>718032.32</v>
      </c>
      <c r="N33" s="22">
        <f>H33-K33</f>
        <v>905627.19</v>
      </c>
      <c r="O33" s="23">
        <f>IF(H33&gt;0,K33/H33,0)</f>
        <v>0.3659489301759621</v>
      </c>
      <c r="P33" s="23">
        <f>IF(H33&gt;0,J33/H33,0)</f>
        <v>0.45167179040536465</v>
      </c>
      <c r="Q33" s="19" t="str">
        <f>IF(H33&lt;=0,"Sin PIM",IF(K33/H33&gt;=Config!$B$5,"Ejecutado",IF(J33/H33&gt;=Config!$B$6,"Mayormente comprometido",IF(J33&gt;0.005,"Parcialmente comprometido",IF(I33&gt;0.005,"Solo certificado","Sin certificar")))))</f>
        <v>Parcialmente comprometido</v>
      </c>
      <c r="R33" s="19" t="str">
        <f>IF(Q33="Sin certificar","Disponible",IF(Q33="Solo certificado","Posible",IF(Q33="Parcialmente comprometido","Parcial",IF(Q33="Mayormente comprometido","Difícil",IF(Q33="Ejecutado","No usar","Sin PIM")))))</f>
        <v>Parcial</v>
      </c>
      <c r="S33" s="22">
        <f>IF(OR(H33&lt;=0,Q33="Ejecutado"),0,MAX(0,H33-J33))</f>
        <v>783187.6</v>
      </c>
      <c r="T33" s="21">
        <v>0</v>
      </c>
      <c r="U33" s="21">
        <v>148165</v>
      </c>
      <c r="V33" s="21">
        <v>0</v>
      </c>
      <c r="W33" s="21">
        <v>1280154</v>
      </c>
      <c r="X33" s="24" t="s">
        <v>59</v>
      </c>
      <c r="Y33" s="24" t="s">
        <v>59</v>
      </c>
      <c r="Z33" s="24" t="s">
        <v>59</v>
      </c>
      <c r="AA33" s="24" t="s">
        <v>59</v>
      </c>
      <c r="AB33" s="24" t="s">
        <v>59</v>
      </c>
      <c r="AC33" s="24" t="s">
        <v>59</v>
      </c>
      <c r="AD33" s="19" t="s">
        <v>64</v>
      </c>
      <c r="AE33" s="19" t="s">
        <v>60</v>
      </c>
    </row>
    <row r="34" spans="1:31">
      <c r="A34" s="19" t="s">
        <v>52</v>
      </c>
      <c r="B34" s="19" t="s">
        <v>53</v>
      </c>
      <c r="C34" s="19" t="s">
        <v>131</v>
      </c>
      <c r="D34" s="19" t="s">
        <v>132</v>
      </c>
      <c r="E34" s="19" t="s">
        <v>136</v>
      </c>
      <c r="F34" s="19" t="s">
        <v>137</v>
      </c>
      <c r="G34" s="20" t="s">
        <v>138</v>
      </c>
      <c r="H34" s="21">
        <v>1171471</v>
      </c>
      <c r="I34" s="21">
        <v>912826.1799999999</v>
      </c>
      <c r="J34" s="21">
        <v>896984.28</v>
      </c>
      <c r="K34" s="21">
        <v>632174.37</v>
      </c>
      <c r="L34" s="22">
        <f>H34-I34</f>
        <v>258644.82000000007</v>
      </c>
      <c r="M34" s="22">
        <f>I34-J34</f>
        <v>15841.899999999907</v>
      </c>
      <c r="N34" s="22">
        <f>H34-K34</f>
        <v>539296.63</v>
      </c>
      <c r="O34" s="23">
        <f>IF(H34&gt;0,K34/H34,0)</f>
        <v>0.5396415020090126</v>
      </c>
      <c r="P34" s="23">
        <f>IF(H34&gt;0,J34/H34,0)</f>
        <v>0.7656905548664884</v>
      </c>
      <c r="Q34" s="19" t="str">
        <f>IF(H34&lt;=0,"Sin PIM",IF(K34/H34&gt;=Config!$B$5,"Ejecutado",IF(J34/H34&gt;=Config!$B$6,"Mayormente comprometido",IF(J34&gt;0.005,"Parcialmente comprometido",IF(I34&gt;0.005,"Solo certificado","Sin certificar")))))</f>
        <v>Mayormente comprometido</v>
      </c>
      <c r="R34" s="19" t="str">
        <f>IF(Q34="Sin certificar","Disponible",IF(Q34="Solo certificado","Posible",IF(Q34="Parcialmente comprometido","Parcial",IF(Q34="Mayormente comprometido","Difícil",IF(Q34="Ejecutado","No usar","Sin PIM")))))</f>
        <v>Difícil</v>
      </c>
      <c r="S34" s="22">
        <f>IF(OR(H34&lt;=0,Q34="Ejecutado"),0,MAX(0,H34-J34))</f>
        <v>274486.72</v>
      </c>
      <c r="T34" s="21">
        <v>393085</v>
      </c>
      <c r="U34" s="21">
        <v>775386</v>
      </c>
      <c r="V34" s="21">
        <v>0</v>
      </c>
      <c r="W34" s="21">
        <v>3000</v>
      </c>
      <c r="X34" s="24" t="s">
        <v>59</v>
      </c>
      <c r="Y34" s="24" t="s">
        <v>59</v>
      </c>
      <c r="Z34" s="24" t="s">
        <v>59</v>
      </c>
      <c r="AA34" s="24" t="s">
        <v>59</v>
      </c>
      <c r="AB34" s="24" t="s">
        <v>59</v>
      </c>
      <c r="AC34" s="24" t="s">
        <v>59</v>
      </c>
      <c r="AD34" s="19" t="s">
        <v>64</v>
      </c>
      <c r="AE34" s="19" t="s">
        <v>60</v>
      </c>
    </row>
    <row r="35" spans="1:31">
      <c r="A35" s="19" t="s">
        <v>52</v>
      </c>
      <c r="B35" s="19" t="s">
        <v>53</v>
      </c>
      <c r="C35" s="19" t="s">
        <v>131</v>
      </c>
      <c r="D35" s="19" t="s">
        <v>139</v>
      </c>
      <c r="E35" s="19" t="s">
        <v>140</v>
      </c>
      <c r="F35" s="19" t="s">
        <v>141</v>
      </c>
      <c r="G35" s="20" t="s">
        <v>142</v>
      </c>
      <c r="H35" s="21">
        <v>373040</v>
      </c>
      <c r="I35" s="21">
        <v>287567</v>
      </c>
      <c r="J35" s="21">
        <v>287567</v>
      </c>
      <c r="K35" s="21">
        <v>193397</v>
      </c>
      <c r="L35" s="22">
        <f>H35-I35</f>
        <v>85473.0</v>
      </c>
      <c r="M35" s="22">
        <f>I35-J35</f>
        <v>0.0</v>
      </c>
      <c r="N35" s="22">
        <f>H35-K35</f>
        <v>179643.0</v>
      </c>
      <c r="O35" s="23">
        <f>IF(H35&gt;0,K35/H35,0)</f>
        <v>0.5184350203731504</v>
      </c>
      <c r="P35" s="23">
        <f>IF(H35&gt;0,J35/H35,0)</f>
        <v>0.7708744370576882</v>
      </c>
      <c r="Q35" s="19" t="str">
        <f>IF(H35&lt;=0,"Sin PIM",IF(K35/H35&gt;=Config!$B$5,"Ejecutado",IF(J35/H35&gt;=Config!$B$6,"Mayormente comprometido",IF(J35&gt;0.005,"Parcialmente comprometido",IF(I35&gt;0.005,"Solo certificado","Sin certificar")))))</f>
        <v>Mayormente comprometido</v>
      </c>
      <c r="R35" s="19" t="str">
        <f>IF(Q35="Sin certificar","Disponible",IF(Q35="Solo certificado","Posible",IF(Q35="Parcialmente comprometido","Parcial",IF(Q35="Mayormente comprometido","Difícil",IF(Q35="Ejecutado","No usar","Sin PIM")))))</f>
        <v>Difícil</v>
      </c>
      <c r="S35" s="22">
        <f>IF(OR(H35&lt;=0,Q35="Ejecutado"),0,MAX(0,H35-J35))</f>
        <v>85473.0</v>
      </c>
      <c r="T35" s="21">
        <v>0</v>
      </c>
      <c r="U35" s="21">
        <v>373040</v>
      </c>
      <c r="V35" s="21">
        <v>0</v>
      </c>
      <c r="W35" s="21">
        <v>0</v>
      </c>
      <c r="X35" s="24" t="s">
        <v>59</v>
      </c>
      <c r="Y35" s="24" t="s">
        <v>59</v>
      </c>
      <c r="Z35" s="24" t="s">
        <v>59</v>
      </c>
      <c r="AA35" s="24" t="s">
        <v>59</v>
      </c>
      <c r="AB35" s="24" t="s">
        <v>59</v>
      </c>
      <c r="AC35" s="24" t="s">
        <v>59</v>
      </c>
      <c r="AD35" s="19" t="s">
        <v>64</v>
      </c>
      <c r="AE35" s="19" t="s">
        <v>60</v>
      </c>
    </row>
    <row r="36" spans="1:31">
      <c r="A36" s="19" t="s">
        <v>52</v>
      </c>
      <c r="B36" s="19" t="s">
        <v>53</v>
      </c>
      <c r="C36" s="19" t="s">
        <v>131</v>
      </c>
      <c r="D36" s="19" t="s">
        <v>132</v>
      </c>
      <c r="E36" s="19" t="s">
        <v>143</v>
      </c>
      <c r="F36" s="19" t="s">
        <v>144</v>
      </c>
      <c r="G36" s="20" t="s">
        <v>145</v>
      </c>
      <c r="H36" s="21">
        <v>25600</v>
      </c>
      <c r="I36" s="21">
        <v>12638</v>
      </c>
      <c r="J36" s="21">
        <v>12638</v>
      </c>
      <c r="K36" s="21">
        <v>8138</v>
      </c>
      <c r="L36" s="22">
        <f>H36-I36</f>
        <v>12962.0</v>
      </c>
      <c r="M36" s="22">
        <f>I36-J36</f>
        <v>0.0</v>
      </c>
      <c r="N36" s="22">
        <f>H36-K36</f>
        <v>17462.0</v>
      </c>
      <c r="O36" s="23">
        <f>IF(H36&gt;0,K36/H36,0)</f>
        <v>0.317890625</v>
      </c>
      <c r="P36" s="23">
        <f>IF(H36&gt;0,J36/H36,0)</f>
        <v>0.493671875</v>
      </c>
      <c r="Q36" s="19" t="str">
        <f>IF(H36&lt;=0,"Sin PIM",IF(K36/H36&gt;=Config!$B$5,"Ejecutado",IF(J36/H36&gt;=Config!$B$6,"Mayormente comprometido",IF(J36&gt;0.005,"Parcialmente comprometido",IF(I36&gt;0.005,"Solo certificado","Sin certificar")))))</f>
        <v>Parcialmente comprometido</v>
      </c>
      <c r="R36" s="19" t="str">
        <f>IF(Q36="Sin certificar","Disponible",IF(Q36="Solo certificado","Posible",IF(Q36="Parcialmente comprometido","Parcial",IF(Q36="Mayormente comprometido","Difícil",IF(Q36="Ejecutado","No usar","Sin PIM")))))</f>
        <v>Parcial</v>
      </c>
      <c r="S36" s="22">
        <f>IF(OR(H36&lt;=0,Q36="Ejecutado"),0,MAX(0,H36-J36))</f>
        <v>12962.0</v>
      </c>
      <c r="T36" s="21">
        <v>0</v>
      </c>
      <c r="U36" s="21">
        <v>25600</v>
      </c>
      <c r="V36" s="21">
        <v>0</v>
      </c>
      <c r="W36" s="21">
        <v>0</v>
      </c>
      <c r="X36" s="24" t="s">
        <v>59</v>
      </c>
      <c r="Y36" s="24" t="s">
        <v>59</v>
      </c>
      <c r="Z36" s="24" t="s">
        <v>59</v>
      </c>
      <c r="AA36" s="24" t="s">
        <v>59</v>
      </c>
      <c r="AB36" s="24" t="s">
        <v>59</v>
      </c>
      <c r="AC36" s="24" t="s">
        <v>59</v>
      </c>
      <c r="AD36" s="19" t="s">
        <v>64</v>
      </c>
      <c r="AE36" s="19" t="s">
        <v>60</v>
      </c>
    </row>
    <row r="37" spans="1:31">
      <c r="A37" s="19" t="s">
        <v>52</v>
      </c>
      <c r="B37" s="19" t="s">
        <v>53</v>
      </c>
      <c r="C37" s="19" t="s">
        <v>131</v>
      </c>
      <c r="D37" s="19" t="s">
        <v>132</v>
      </c>
      <c r="E37" s="19" t="s">
        <v>146</v>
      </c>
      <c r="F37" s="19" t="s">
        <v>147</v>
      </c>
      <c r="G37" s="20" t="s">
        <v>148</v>
      </c>
      <c r="H37" s="21">
        <v>25600</v>
      </c>
      <c r="I37" s="21">
        <v>8940</v>
      </c>
      <c r="J37" s="21">
        <v>8940</v>
      </c>
      <c r="K37" s="21">
        <v>8940</v>
      </c>
      <c r="L37" s="22">
        <f>H37-I37</f>
        <v>16660.0</v>
      </c>
      <c r="M37" s="22">
        <f>I37-J37</f>
        <v>0.0</v>
      </c>
      <c r="N37" s="22">
        <f>H37-K37</f>
        <v>16660.0</v>
      </c>
      <c r="O37" s="23">
        <f>IF(H37&gt;0,K37/H37,0)</f>
        <v>0.34921875</v>
      </c>
      <c r="P37" s="23">
        <f>IF(H37&gt;0,J37/H37,0)</f>
        <v>0.34921875</v>
      </c>
      <c r="Q37" s="19" t="str">
        <f>IF(H37&lt;=0,"Sin PIM",IF(K37/H37&gt;=Config!$B$5,"Ejecutado",IF(J37/H37&gt;=Config!$B$6,"Mayormente comprometido",IF(J37&gt;0.005,"Parcialmente comprometido",IF(I37&gt;0.005,"Solo certificado","Sin certificar")))))</f>
        <v>Parcialmente comprometido</v>
      </c>
      <c r="R37" s="19" t="str">
        <f>IF(Q37="Sin certificar","Disponible",IF(Q37="Solo certificado","Posible",IF(Q37="Parcialmente comprometido","Parcial",IF(Q37="Mayormente comprometido","Difícil",IF(Q37="Ejecutado","No usar","Sin PIM")))))</f>
        <v>Parcial</v>
      </c>
      <c r="S37" s="22">
        <f>IF(OR(H37&lt;=0,Q37="Ejecutado"),0,MAX(0,H37-J37))</f>
        <v>16660.0</v>
      </c>
      <c r="T37" s="21">
        <v>0</v>
      </c>
      <c r="U37" s="21">
        <v>25600</v>
      </c>
      <c r="V37" s="21">
        <v>0</v>
      </c>
      <c r="W37" s="21">
        <v>0</v>
      </c>
      <c r="X37" s="24" t="s">
        <v>59</v>
      </c>
      <c r="Y37" s="24" t="s">
        <v>59</v>
      </c>
      <c r="Z37" s="24" t="s">
        <v>59</v>
      </c>
      <c r="AA37" s="24" t="s">
        <v>59</v>
      </c>
      <c r="AB37" s="24" t="s">
        <v>59</v>
      </c>
      <c r="AC37" s="24" t="s">
        <v>59</v>
      </c>
      <c r="AD37" s="19" t="s">
        <v>64</v>
      </c>
      <c r="AE37" s="19" t="s">
        <v>60</v>
      </c>
    </row>
    <row r="38" spans="1:31">
      <c r="A38" s="19" t="s">
        <v>52</v>
      </c>
      <c r="B38" s="19" t="s">
        <v>53</v>
      </c>
      <c r="C38" s="19" t="s">
        <v>131</v>
      </c>
      <c r="D38" s="19" t="s">
        <v>149</v>
      </c>
      <c r="E38" s="19" t="s">
        <v>150</v>
      </c>
      <c r="F38" s="19" t="s">
        <v>151</v>
      </c>
      <c r="G38" s="20" t="s">
        <v>152</v>
      </c>
      <c r="H38" s="21">
        <v>22528</v>
      </c>
      <c r="I38" s="21">
        <v>20570</v>
      </c>
      <c r="J38" s="21">
        <v>20570</v>
      </c>
      <c r="K38" s="21">
        <v>20570</v>
      </c>
      <c r="L38" s="22">
        <f>H38-I38</f>
        <v>1958.0</v>
      </c>
      <c r="M38" s="22">
        <f>I38-J38</f>
        <v>0.0</v>
      </c>
      <c r="N38" s="22">
        <f>H38-K38</f>
        <v>1958.0</v>
      </c>
      <c r="O38" s="23">
        <f>IF(H38&gt;0,K38/H38,0)</f>
        <v>0.9130859375</v>
      </c>
      <c r="P38" s="23">
        <f>IF(H38&gt;0,J38/H38,0)</f>
        <v>0.9130859375</v>
      </c>
      <c r="Q38" s="19" t="str">
        <f>IF(H38&lt;=0,"Sin PIM",IF(K38/H38&gt;=Config!$B$5,"Ejecutado",IF(J38/H38&gt;=Config!$B$6,"Mayormente comprometido",IF(J38&gt;0.005,"Parcialmente comprometido",IF(I38&gt;0.005,"Solo certificado","Sin certificar")))))</f>
        <v>Ejecutado</v>
      </c>
      <c r="R38" s="19" t="str">
        <f>IF(Q38="Sin certificar","Disponible",IF(Q38="Solo certificado","Posible",IF(Q38="Parcialmente comprometido","Parcial",IF(Q38="Mayormente comprometido","Difícil",IF(Q38="Ejecutado","No usar","Sin PIM")))))</f>
        <v>No usar</v>
      </c>
      <c r="S38" s="22">
        <f>IF(OR(H38&lt;=0,Q38="Ejecutado"),0,MAX(0,H38-J38))</f>
        <v>0.0</v>
      </c>
      <c r="T38" s="21">
        <v>0</v>
      </c>
      <c r="U38" s="21">
        <v>22528</v>
      </c>
      <c r="V38" s="21">
        <v>0</v>
      </c>
      <c r="W38" s="21">
        <v>0</v>
      </c>
      <c r="X38" s="24" t="s">
        <v>59</v>
      </c>
      <c r="Y38" s="24" t="s">
        <v>59</v>
      </c>
      <c r="Z38" s="24" t="s">
        <v>59</v>
      </c>
      <c r="AA38" s="24" t="s">
        <v>59</v>
      </c>
      <c r="AB38" s="24" t="s">
        <v>59</v>
      </c>
      <c r="AC38" s="24" t="s">
        <v>59</v>
      </c>
      <c r="AD38" s="19" t="s">
        <v>64</v>
      </c>
      <c r="AE38" s="19" t="s">
        <v>60</v>
      </c>
    </row>
    <row r="39" spans="1:31">
      <c r="A39" s="19" t="s">
        <v>52</v>
      </c>
      <c r="B39" s="19" t="s">
        <v>53</v>
      </c>
      <c r="C39" s="19" t="s">
        <v>131</v>
      </c>
      <c r="D39" s="19" t="s">
        <v>153</v>
      </c>
      <c r="E39" s="19" t="s">
        <v>154</v>
      </c>
      <c r="F39" s="19" t="s">
        <v>155</v>
      </c>
      <c r="G39" s="20" t="s">
        <v>156</v>
      </c>
      <c r="H39" s="21">
        <v>13047</v>
      </c>
      <c r="I39" s="21">
        <v>11755</v>
      </c>
      <c r="J39" s="21">
        <v>11755</v>
      </c>
      <c r="K39" s="21">
        <v>11755</v>
      </c>
      <c r="L39" s="22">
        <f>H39-I39</f>
        <v>1292.0</v>
      </c>
      <c r="M39" s="22">
        <f>I39-J39</f>
        <v>0.0</v>
      </c>
      <c r="N39" s="22">
        <f>H39-K39</f>
        <v>1292.0</v>
      </c>
      <c r="O39" s="23">
        <f>IF(H39&gt;0,K39/H39,0)</f>
        <v>0.9009734038476278</v>
      </c>
      <c r="P39" s="23">
        <f>IF(H39&gt;0,J39/H39,0)</f>
        <v>0.9009734038476278</v>
      </c>
      <c r="Q39" s="19" t="str">
        <f>IF(H39&lt;=0,"Sin PIM",IF(K39/H39&gt;=Config!$B$5,"Ejecutado",IF(J39/H39&gt;=Config!$B$6,"Mayormente comprometido",IF(J39&gt;0.005,"Parcialmente comprometido",IF(I39&gt;0.005,"Solo certificado","Sin certificar")))))</f>
        <v>Ejecutado</v>
      </c>
      <c r="R39" s="19" t="str">
        <f>IF(Q39="Sin certificar","Disponible",IF(Q39="Solo certificado","Posible",IF(Q39="Parcialmente comprometido","Parcial",IF(Q39="Mayormente comprometido","Difícil",IF(Q39="Ejecutado","No usar","Sin PIM")))))</f>
        <v>No usar</v>
      </c>
      <c r="S39" s="22">
        <f>IF(OR(H39&lt;=0,Q39="Ejecutado"),0,MAX(0,H39-J39))</f>
        <v>0.0</v>
      </c>
      <c r="T39" s="21">
        <v>0</v>
      </c>
      <c r="U39" s="21">
        <v>13047</v>
      </c>
      <c r="V39" s="21">
        <v>0</v>
      </c>
      <c r="W39" s="21">
        <v>0</v>
      </c>
      <c r="X39" s="24" t="s">
        <v>59</v>
      </c>
      <c r="Y39" s="24" t="s">
        <v>59</v>
      </c>
      <c r="Z39" s="24" t="s">
        <v>59</v>
      </c>
      <c r="AA39" s="24" t="s">
        <v>59</v>
      </c>
      <c r="AB39" s="24" t="s">
        <v>59</v>
      </c>
      <c r="AC39" s="24" t="s">
        <v>59</v>
      </c>
      <c r="AD39" s="19" t="s">
        <v>64</v>
      </c>
      <c r="AE39" s="19" t="s">
        <v>60</v>
      </c>
    </row>
    <row r="40" spans="1:31">
      <c r="A40" s="19" t="s">
        <v>52</v>
      </c>
      <c r="B40" s="19" t="s">
        <v>53</v>
      </c>
      <c r="C40" s="19" t="s">
        <v>131</v>
      </c>
      <c r="D40" s="19" t="s">
        <v>139</v>
      </c>
      <c r="E40" s="19" t="s">
        <v>157</v>
      </c>
      <c r="F40" s="19" t="s">
        <v>158</v>
      </c>
      <c r="G40" s="20" t="s">
        <v>159</v>
      </c>
      <c r="H40" s="21">
        <v>6861</v>
      </c>
      <c r="I40" s="21">
        <v>6861</v>
      </c>
      <c r="J40" s="21">
        <v>6861</v>
      </c>
      <c r="K40" s="21">
        <v>6861</v>
      </c>
      <c r="L40" s="22">
        <f>H40-I40</f>
        <v>0.0</v>
      </c>
      <c r="M40" s="22">
        <f>I40-J40</f>
        <v>0.0</v>
      </c>
      <c r="N40" s="22">
        <f>H40-K40</f>
        <v>0.0</v>
      </c>
      <c r="O40" s="23">
        <f>IF(H40&gt;0,K40/H40,0)</f>
        <v>1.0</v>
      </c>
      <c r="P40" s="23">
        <f>IF(H40&gt;0,J40/H40,0)</f>
        <v>1.0</v>
      </c>
      <c r="Q40" s="19" t="str">
        <f>IF(H40&lt;=0,"Sin PIM",IF(K40/H40&gt;=Config!$B$5,"Ejecutado",IF(J40/H40&gt;=Config!$B$6,"Mayormente comprometido",IF(J40&gt;0.005,"Parcialmente comprometido",IF(I40&gt;0.005,"Solo certificado","Sin certificar")))))</f>
        <v>Ejecutado</v>
      </c>
      <c r="R40" s="19" t="str">
        <f>IF(Q40="Sin certificar","Disponible",IF(Q40="Solo certificado","Posible",IF(Q40="Parcialmente comprometido","Parcial",IF(Q40="Mayormente comprometido","Difícil",IF(Q40="Ejecutado","No usar","Sin PIM")))))</f>
        <v>No usar</v>
      </c>
      <c r="S40" s="22">
        <f>IF(OR(H40&lt;=0,Q40="Ejecutado"),0,MAX(0,H40-J40))</f>
        <v>0.0</v>
      </c>
      <c r="T40" s="21">
        <v>0</v>
      </c>
      <c r="U40" s="21">
        <v>6861</v>
      </c>
      <c r="V40" s="21">
        <v>0</v>
      </c>
      <c r="W40" s="21">
        <v>0</v>
      </c>
      <c r="X40" s="24" t="s">
        <v>59</v>
      </c>
      <c r="Y40" s="24" t="s">
        <v>59</v>
      </c>
      <c r="Z40" s="24" t="s">
        <v>59</v>
      </c>
      <c r="AA40" s="24" t="s">
        <v>59</v>
      </c>
      <c r="AB40" s="24" t="s">
        <v>59</v>
      </c>
      <c r="AC40" s="24" t="s">
        <v>59</v>
      </c>
      <c r="AD40" s="19" t="s">
        <v>64</v>
      </c>
      <c r="AE40" s="19" t="s">
        <v>60</v>
      </c>
    </row>
    <row r="41" spans="1:31">
      <c r="A41" s="19" t="s">
        <v>52</v>
      </c>
      <c r="B41" s="19" t="s">
        <v>53</v>
      </c>
      <c r="C41" s="19" t="s">
        <v>160</v>
      </c>
      <c r="D41" s="19" t="s">
        <v>153</v>
      </c>
      <c r="E41" s="19" t="s">
        <v>161</v>
      </c>
      <c r="F41" s="19" t="s">
        <v>162</v>
      </c>
      <c r="G41" s="20" t="s">
        <v>163</v>
      </c>
      <c r="H41" s="21">
        <v>1380688</v>
      </c>
      <c r="I41" s="21">
        <v>1355769.92</v>
      </c>
      <c r="J41" s="21">
        <v>1154820.32</v>
      </c>
      <c r="K41" s="21">
        <v>928988.4099999999</v>
      </c>
      <c r="L41" s="22">
        <f>H41-I41</f>
        <v>24918.080000000075</v>
      </c>
      <c r="M41" s="22">
        <f>I41-J41</f>
        <v>200949.6000000001</v>
      </c>
      <c r="N41" s="22">
        <f>H41-K41</f>
        <v>451699.5900000001</v>
      </c>
      <c r="O41" s="23">
        <f>IF(H41&gt;0,K41/H41,0)</f>
        <v>0.6728445601033687</v>
      </c>
      <c r="P41" s="23">
        <f>IF(H41&gt;0,J41/H41,0)</f>
        <v>0.8364093263648267</v>
      </c>
      <c r="Q41" s="19" t="str">
        <f>IF(H41&lt;=0,"Sin PIM",IF(K41/H41&gt;=Config!$B$5,"Ejecutado",IF(J41/H41&gt;=Config!$B$6,"Mayormente comprometido",IF(J41&gt;0.005,"Parcialmente comprometido",IF(I41&gt;0.005,"Solo certificado","Sin certificar")))))</f>
        <v>Mayormente comprometido</v>
      </c>
      <c r="R41" s="19" t="str">
        <f>IF(Q41="Sin certificar","Disponible",IF(Q41="Solo certificado","Posible",IF(Q41="Parcialmente comprometido","Parcial",IF(Q41="Mayormente comprometido","Difícil",IF(Q41="Ejecutado","No usar","Sin PIM")))))</f>
        <v>Difícil</v>
      </c>
      <c r="S41" s="22">
        <f>IF(OR(H41&lt;=0,Q41="Ejecutado"),0,MAX(0,H41-J41))</f>
        <v>225867.68000000017</v>
      </c>
      <c r="T41" s="21">
        <v>964264</v>
      </c>
      <c r="U41" s="21">
        <v>415754</v>
      </c>
      <c r="V41" s="21">
        <v>670</v>
      </c>
      <c r="W41" s="21">
        <v>0</v>
      </c>
      <c r="X41" s="24" t="s">
        <v>59</v>
      </c>
      <c r="Y41" s="24" t="s">
        <v>59</v>
      </c>
      <c r="Z41" s="24" t="s">
        <v>59</v>
      </c>
      <c r="AA41" s="24" t="s">
        <v>59</v>
      </c>
      <c r="AB41" s="24" t="s">
        <v>59</v>
      </c>
      <c r="AC41" s="24" t="s">
        <v>59</v>
      </c>
      <c r="AD41" s="19" t="s">
        <v>64</v>
      </c>
      <c r="AE41" s="19" t="s">
        <v>60</v>
      </c>
    </row>
    <row r="42" spans="1:31">
      <c r="A42" s="19" t="s">
        <v>52</v>
      </c>
      <c r="B42" s="19" t="s">
        <v>53</v>
      </c>
      <c r="C42" s="19" t="s">
        <v>160</v>
      </c>
      <c r="D42" s="19" t="s">
        <v>153</v>
      </c>
      <c r="E42" s="19" t="s">
        <v>161</v>
      </c>
      <c r="F42" s="19" t="s">
        <v>164</v>
      </c>
      <c r="G42" s="20" t="s">
        <v>163</v>
      </c>
      <c r="H42" s="21">
        <v>375920</v>
      </c>
      <c r="I42" s="21">
        <v>164385.96</v>
      </c>
      <c r="J42" s="21">
        <v>150224.39</v>
      </c>
      <c r="K42" s="21">
        <v>82704.39</v>
      </c>
      <c r="L42" s="22">
        <f>H42-I42</f>
        <v>211534.04</v>
      </c>
      <c r="M42" s="22">
        <f>I42-J42</f>
        <v>14161.569999999978</v>
      </c>
      <c r="N42" s="22">
        <f>H42-K42</f>
        <v>293215.61</v>
      </c>
      <c r="O42" s="23">
        <f>IF(H42&gt;0,K42/H42,0)</f>
        <v>0.22000529367950628</v>
      </c>
      <c r="P42" s="23">
        <f>IF(H42&gt;0,J42/H42,0)</f>
        <v>0.39961797722919773</v>
      </c>
      <c r="Q42" s="19" t="str">
        <f>IF(H42&lt;=0,"Sin PIM",IF(K42/H42&gt;=Config!$B$5,"Ejecutado",IF(J42/H42&gt;=Config!$B$6,"Mayormente comprometido",IF(J42&gt;0.005,"Parcialmente comprometido",IF(I42&gt;0.005,"Solo certificado","Sin certificar")))))</f>
        <v>Parcialmente comprometido</v>
      </c>
      <c r="R42" s="19" t="str">
        <f>IF(Q42="Sin certificar","Disponible",IF(Q42="Solo certificado","Posible",IF(Q42="Parcialmente comprometido","Parcial",IF(Q42="Mayormente comprometido","Difícil",IF(Q42="Ejecutado","No usar","Sin PIM")))))</f>
        <v>Parcial</v>
      </c>
      <c r="S42" s="22">
        <f>IF(OR(H42&lt;=0,Q42="Ejecutado"),0,MAX(0,H42-J42))</f>
        <v>225695.61</v>
      </c>
      <c r="T42" s="21">
        <v>154800</v>
      </c>
      <c r="U42" s="21">
        <v>206120</v>
      </c>
      <c r="V42" s="21">
        <v>0</v>
      </c>
      <c r="W42" s="21">
        <v>15000</v>
      </c>
      <c r="X42" s="24" t="s">
        <v>59</v>
      </c>
      <c r="Y42" s="24" t="s">
        <v>59</v>
      </c>
      <c r="Z42" s="24" t="s">
        <v>59</v>
      </c>
      <c r="AA42" s="24" t="s">
        <v>59</v>
      </c>
      <c r="AB42" s="24" t="s">
        <v>59</v>
      </c>
      <c r="AC42" s="24" t="s">
        <v>59</v>
      </c>
      <c r="AD42" s="19" t="s">
        <v>64</v>
      </c>
      <c r="AE42" s="19" t="s">
        <v>60</v>
      </c>
    </row>
    <row r="43" spans="1:31">
      <c r="A43" s="19" t="s">
        <v>52</v>
      </c>
      <c r="B43" s="19" t="s">
        <v>53</v>
      </c>
      <c r="C43" s="19" t="s">
        <v>160</v>
      </c>
      <c r="D43" s="19" t="s">
        <v>153</v>
      </c>
      <c r="E43" s="19" t="s">
        <v>161</v>
      </c>
      <c r="F43" s="19" t="s">
        <v>165</v>
      </c>
      <c r="G43" s="20" t="s">
        <v>163</v>
      </c>
      <c r="H43" s="21">
        <v>342413</v>
      </c>
      <c r="I43" s="21">
        <v>37700</v>
      </c>
      <c r="J43" s="21">
        <v>37700</v>
      </c>
      <c r="K43" s="21">
        <v>11600</v>
      </c>
      <c r="L43" s="22">
        <f>H43-I43</f>
        <v>304713.0</v>
      </c>
      <c r="M43" s="22">
        <f>I43-J43</f>
        <v>0.0</v>
      </c>
      <c r="N43" s="22">
        <f>H43-K43</f>
        <v>330813.0</v>
      </c>
      <c r="O43" s="23">
        <f>IF(H43&gt;0,K43/H43,0)</f>
        <v>0.033877218446729536</v>
      </c>
      <c r="P43" s="23">
        <f>IF(H43&gt;0,J43/H43,0)</f>
        <v>0.11010095995187098</v>
      </c>
      <c r="Q43" s="19" t="str">
        <f>IF(H43&lt;=0,"Sin PIM",IF(K43/H43&gt;=Config!$B$5,"Ejecutado",IF(J43/H43&gt;=Config!$B$6,"Mayormente comprometido",IF(J43&gt;0.005,"Parcialmente comprometido",IF(I43&gt;0.005,"Solo certificado","Sin certificar")))))</f>
        <v>Parcialmente comprometido</v>
      </c>
      <c r="R43" s="19" t="str">
        <f>IF(Q43="Sin certificar","Disponible",IF(Q43="Solo certificado","Posible",IF(Q43="Parcialmente comprometido","Parcial",IF(Q43="Mayormente comprometido","Difícil",IF(Q43="Ejecutado","No usar","Sin PIM")))))</f>
        <v>Parcial</v>
      </c>
      <c r="S43" s="22">
        <f>IF(OR(H43&lt;=0,Q43="Ejecutado"),0,MAX(0,H43-J43))</f>
        <v>304713.0</v>
      </c>
      <c r="T43" s="21">
        <v>0</v>
      </c>
      <c r="U43" s="21">
        <v>71413</v>
      </c>
      <c r="V43" s="21">
        <v>0</v>
      </c>
      <c r="W43" s="21">
        <v>271000</v>
      </c>
      <c r="X43" s="24" t="s">
        <v>59</v>
      </c>
      <c r="Y43" s="24" t="s">
        <v>59</v>
      </c>
      <c r="Z43" s="24" t="s">
        <v>59</v>
      </c>
      <c r="AA43" s="24" t="s">
        <v>59</v>
      </c>
      <c r="AB43" s="24" t="s">
        <v>59</v>
      </c>
      <c r="AC43" s="24" t="s">
        <v>59</v>
      </c>
      <c r="AD43" s="19" t="s">
        <v>64</v>
      </c>
      <c r="AE43" s="19" t="s">
        <v>60</v>
      </c>
    </row>
    <row r="44" spans="1:31">
      <c r="A44" s="19" t="s">
        <v>52</v>
      </c>
      <c r="B44" s="19" t="s">
        <v>53</v>
      </c>
      <c r="C44" s="19" t="s">
        <v>160</v>
      </c>
      <c r="D44" s="19" t="s">
        <v>166</v>
      </c>
      <c r="E44" s="19" t="s">
        <v>167</v>
      </c>
      <c r="F44" s="19" t="s">
        <v>168</v>
      </c>
      <c r="G44" s="20" t="s">
        <v>169</v>
      </c>
      <c r="H44" s="21">
        <v>214500</v>
      </c>
      <c r="I44" s="21">
        <v>141630</v>
      </c>
      <c r="J44" s="21">
        <v>141630</v>
      </c>
      <c r="K44" s="21">
        <v>85710</v>
      </c>
      <c r="L44" s="22">
        <f>H44-I44</f>
        <v>72870.0</v>
      </c>
      <c r="M44" s="22">
        <f>I44-J44</f>
        <v>0.0</v>
      </c>
      <c r="N44" s="22">
        <f>H44-K44</f>
        <v>128790.0</v>
      </c>
      <c r="O44" s="23">
        <f>IF(H44&gt;0,K44/H44,0)</f>
        <v>0.39958041958041957</v>
      </c>
      <c r="P44" s="23">
        <f>IF(H44&gt;0,J44/H44,0)</f>
        <v>0.6602797202797203</v>
      </c>
      <c r="Q44" s="19" t="str">
        <f>IF(H44&lt;=0,"Sin PIM",IF(K44/H44&gt;=Config!$B$5,"Ejecutado",IF(J44/H44&gt;=Config!$B$6,"Mayormente comprometido",IF(J44&gt;0.005,"Parcialmente comprometido",IF(I44&gt;0.005,"Solo certificado","Sin certificar")))))</f>
        <v>Mayormente comprometido</v>
      </c>
      <c r="R44" s="19" t="str">
        <f>IF(Q44="Sin certificar","Disponible",IF(Q44="Solo certificado","Posible",IF(Q44="Parcialmente comprometido","Parcial",IF(Q44="Mayormente comprometido","Difícil",IF(Q44="Ejecutado","No usar","Sin PIM")))))</f>
        <v>Difícil</v>
      </c>
      <c r="S44" s="22">
        <f>IF(OR(H44&lt;=0,Q44="Ejecutado"),0,MAX(0,H44-J44))</f>
        <v>72870.0</v>
      </c>
      <c r="T44" s="21">
        <v>0</v>
      </c>
      <c r="U44" s="21">
        <v>214500</v>
      </c>
      <c r="V44" s="21">
        <v>0</v>
      </c>
      <c r="W44" s="21">
        <v>0</v>
      </c>
      <c r="X44" s="24" t="s">
        <v>59</v>
      </c>
      <c r="Y44" s="24" t="s">
        <v>59</v>
      </c>
      <c r="Z44" s="24" t="s">
        <v>59</v>
      </c>
      <c r="AA44" s="24" t="s">
        <v>59</v>
      </c>
      <c r="AB44" s="24" t="s">
        <v>59</v>
      </c>
      <c r="AC44" s="24" t="s">
        <v>59</v>
      </c>
      <c r="AD44" s="19" t="s">
        <v>64</v>
      </c>
      <c r="AE44" s="19" t="s">
        <v>60</v>
      </c>
    </row>
    <row r="45" spans="1:31">
      <c r="A45" s="19" t="s">
        <v>52</v>
      </c>
      <c r="B45" s="19" t="s">
        <v>53</v>
      </c>
      <c r="C45" s="19" t="s">
        <v>160</v>
      </c>
      <c r="D45" s="19" t="s">
        <v>166</v>
      </c>
      <c r="E45" s="19" t="s">
        <v>170</v>
      </c>
      <c r="F45" s="19" t="s">
        <v>171</v>
      </c>
      <c r="G45" s="20" t="s">
        <v>172</v>
      </c>
      <c r="H45" s="21">
        <v>181963</v>
      </c>
      <c r="I45" s="21">
        <v>37586</v>
      </c>
      <c r="J45" s="21">
        <v>37586</v>
      </c>
      <c r="K45" s="21">
        <v>27386</v>
      </c>
      <c r="L45" s="22">
        <f>H45-I45</f>
        <v>144377.0</v>
      </c>
      <c r="M45" s="22">
        <f>I45-J45</f>
        <v>0.0</v>
      </c>
      <c r="N45" s="22">
        <f>H45-K45</f>
        <v>154577.0</v>
      </c>
      <c r="O45" s="23">
        <f>IF(H45&gt;0,K45/H45,0)</f>
        <v>0.1505031242615257</v>
      </c>
      <c r="P45" s="23">
        <f>IF(H45&gt;0,J45/H45,0)</f>
        <v>0.20655847617372763</v>
      </c>
      <c r="Q45" s="19" t="str">
        <f>IF(H45&lt;=0,"Sin PIM",IF(K45/H45&gt;=Config!$B$5,"Ejecutado",IF(J45/H45&gt;=Config!$B$6,"Mayormente comprometido",IF(J45&gt;0.005,"Parcialmente comprometido",IF(I45&gt;0.005,"Solo certificado","Sin certificar")))))</f>
        <v>Parcialmente comprometido</v>
      </c>
      <c r="R45" s="19" t="str">
        <f>IF(Q45="Sin certificar","Disponible",IF(Q45="Solo certificado","Posible",IF(Q45="Parcialmente comprometido","Parcial",IF(Q45="Mayormente comprometido","Difícil",IF(Q45="Ejecutado","No usar","Sin PIM")))))</f>
        <v>Parcial</v>
      </c>
      <c r="S45" s="22">
        <f>IF(OR(H45&lt;=0,Q45="Ejecutado"),0,MAX(0,H45-J45))</f>
        <v>144377.0</v>
      </c>
      <c r="T45" s="21">
        <v>71191</v>
      </c>
      <c r="U45" s="21">
        <v>84372</v>
      </c>
      <c r="V45" s="21">
        <v>0</v>
      </c>
      <c r="W45" s="21">
        <v>26400</v>
      </c>
      <c r="X45" s="24" t="s">
        <v>59</v>
      </c>
      <c r="Y45" s="24" t="s">
        <v>59</v>
      </c>
      <c r="Z45" s="24" t="s">
        <v>59</v>
      </c>
      <c r="AA45" s="24" t="s">
        <v>59</v>
      </c>
      <c r="AB45" s="24" t="s">
        <v>59</v>
      </c>
      <c r="AC45" s="24" t="s">
        <v>59</v>
      </c>
      <c r="AD45" s="19" t="s">
        <v>64</v>
      </c>
      <c r="AE45" s="19" t="s">
        <v>60</v>
      </c>
    </row>
    <row r="46" spans="1:31">
      <c r="A46" s="19" t="s">
        <v>52</v>
      </c>
      <c r="B46" s="19" t="s">
        <v>53</v>
      </c>
      <c r="C46" s="19" t="s">
        <v>160</v>
      </c>
      <c r="D46" s="19" t="s">
        <v>173</v>
      </c>
      <c r="E46" s="19" t="s">
        <v>174</v>
      </c>
      <c r="F46" s="19" t="s">
        <v>175</v>
      </c>
      <c r="G46" s="20" t="s">
        <v>176</v>
      </c>
      <c r="H46" s="21">
        <v>168357</v>
      </c>
      <c r="I46" s="21">
        <v>56500</v>
      </c>
      <c r="J46" s="21">
        <v>56500</v>
      </c>
      <c r="K46" s="21">
        <v>56500</v>
      </c>
      <c r="L46" s="22">
        <f>H46-I46</f>
        <v>111857.0</v>
      </c>
      <c r="M46" s="22">
        <f>I46-J46</f>
        <v>0.0</v>
      </c>
      <c r="N46" s="22">
        <f>H46-K46</f>
        <v>111857.0</v>
      </c>
      <c r="O46" s="23">
        <f>IF(H46&gt;0,K46/H46,0)</f>
        <v>0.3355963814988388</v>
      </c>
      <c r="P46" s="23">
        <f>IF(H46&gt;0,J46/H46,0)</f>
        <v>0.3355963814988388</v>
      </c>
      <c r="Q46" s="19" t="str">
        <f>IF(H46&lt;=0,"Sin PIM",IF(K46/H46&gt;=Config!$B$5,"Ejecutado",IF(J46/H46&gt;=Config!$B$6,"Mayormente comprometido",IF(J46&gt;0.005,"Parcialmente comprometido",IF(I46&gt;0.005,"Solo certificado","Sin certificar")))))</f>
        <v>Parcialmente comprometido</v>
      </c>
      <c r="R46" s="19" t="str">
        <f>IF(Q46="Sin certificar","Disponible",IF(Q46="Solo certificado","Posible",IF(Q46="Parcialmente comprometido","Parcial",IF(Q46="Mayormente comprometido","Difícil",IF(Q46="Ejecutado","No usar","Sin PIM")))))</f>
        <v>Parcial</v>
      </c>
      <c r="S46" s="22">
        <f>IF(OR(H46&lt;=0,Q46="Ejecutado"),0,MAX(0,H46-J46))</f>
        <v>111857.0</v>
      </c>
      <c r="T46" s="21">
        <v>0</v>
      </c>
      <c r="U46" s="21">
        <v>168357</v>
      </c>
      <c r="V46" s="21">
        <v>0</v>
      </c>
      <c r="W46" s="21">
        <v>0</v>
      </c>
      <c r="X46" s="24" t="s">
        <v>59</v>
      </c>
      <c r="Y46" s="24" t="s">
        <v>59</v>
      </c>
      <c r="Z46" s="24" t="s">
        <v>59</v>
      </c>
      <c r="AA46" s="24" t="s">
        <v>59</v>
      </c>
      <c r="AB46" s="24" t="s">
        <v>59</v>
      </c>
      <c r="AC46" s="24" t="s">
        <v>59</v>
      </c>
      <c r="AD46" s="19" t="s">
        <v>64</v>
      </c>
      <c r="AE46" s="19" t="s">
        <v>60</v>
      </c>
    </row>
    <row r="47" spans="1:31">
      <c r="A47" s="19" t="s">
        <v>52</v>
      </c>
      <c r="B47" s="19" t="s">
        <v>53</v>
      </c>
      <c r="C47" s="19" t="s">
        <v>160</v>
      </c>
      <c r="D47" s="19" t="s">
        <v>173</v>
      </c>
      <c r="E47" s="19" t="s">
        <v>174</v>
      </c>
      <c r="F47" s="19" t="s">
        <v>177</v>
      </c>
      <c r="G47" s="20" t="s">
        <v>176</v>
      </c>
      <c r="H47" s="21">
        <v>103873</v>
      </c>
      <c r="I47" s="21">
        <v>98503</v>
      </c>
      <c r="J47" s="21">
        <v>98503</v>
      </c>
      <c r="K47" s="21">
        <v>65331.27</v>
      </c>
      <c r="L47" s="22">
        <f>H47-I47</f>
        <v>5370.0</v>
      </c>
      <c r="M47" s="22">
        <f>I47-J47</f>
        <v>0.0</v>
      </c>
      <c r="N47" s="22">
        <f>H47-K47</f>
        <v>38541.73</v>
      </c>
      <c r="O47" s="23">
        <f>IF(H47&gt;0,K47/H47,0)</f>
        <v>0.6289533372483705</v>
      </c>
      <c r="P47" s="23">
        <f>IF(H47&gt;0,J47/H47,0)</f>
        <v>0.9483022537136696</v>
      </c>
      <c r="Q47" s="19" t="str">
        <f>IF(H47&lt;=0,"Sin PIM",IF(K47/H47&gt;=Config!$B$5,"Ejecutado",IF(J47/H47&gt;=Config!$B$6,"Mayormente comprometido",IF(J47&gt;0.005,"Parcialmente comprometido",IF(I47&gt;0.005,"Solo certificado","Sin certificar")))))</f>
        <v>Mayormente comprometido</v>
      </c>
      <c r="R47" s="19" t="str">
        <f>IF(Q47="Sin certificar","Disponible",IF(Q47="Solo certificado","Posible",IF(Q47="Parcialmente comprometido","Parcial",IF(Q47="Mayormente comprometido","Difícil",IF(Q47="Ejecutado","No usar","Sin PIM")))))</f>
        <v>Difícil</v>
      </c>
      <c r="S47" s="22">
        <f>IF(OR(H47&lt;=0,Q47="Ejecutado"),0,MAX(0,H47-J47))</f>
        <v>5370.0</v>
      </c>
      <c r="T47" s="21">
        <v>85873</v>
      </c>
      <c r="U47" s="21">
        <v>18000</v>
      </c>
      <c r="V47" s="21">
        <v>0</v>
      </c>
      <c r="W47" s="21">
        <v>0</v>
      </c>
      <c r="X47" s="24" t="s">
        <v>59</v>
      </c>
      <c r="Y47" s="24" t="s">
        <v>59</v>
      </c>
      <c r="Z47" s="24" t="s">
        <v>59</v>
      </c>
      <c r="AA47" s="24" t="s">
        <v>59</v>
      </c>
      <c r="AB47" s="24" t="s">
        <v>59</v>
      </c>
      <c r="AC47" s="24" t="s">
        <v>59</v>
      </c>
      <c r="AD47" s="19" t="s">
        <v>64</v>
      </c>
      <c r="AE47" s="19" t="s">
        <v>60</v>
      </c>
    </row>
    <row r="48" spans="1:31">
      <c r="A48" s="19" t="s">
        <v>52</v>
      </c>
      <c r="B48" s="19" t="s">
        <v>53</v>
      </c>
      <c r="C48" s="19" t="s">
        <v>160</v>
      </c>
      <c r="D48" s="19" t="s">
        <v>166</v>
      </c>
      <c r="E48" s="19" t="s">
        <v>170</v>
      </c>
      <c r="F48" s="19" t="s">
        <v>178</v>
      </c>
      <c r="G48" s="20" t="s">
        <v>172</v>
      </c>
      <c r="H48" s="21">
        <v>96920</v>
      </c>
      <c r="I48" s="21">
        <v>93005.67999999999</v>
      </c>
      <c r="J48" s="21">
        <v>92684.06999999999</v>
      </c>
      <c r="K48" s="21">
        <v>28863.58</v>
      </c>
      <c r="L48" s="22">
        <f>H48-I48</f>
        <v>3914.320000000007</v>
      </c>
      <c r="M48" s="22">
        <f>I48-J48</f>
        <v>321.6100000000006</v>
      </c>
      <c r="N48" s="22">
        <f>H48-K48</f>
        <v>68056.42</v>
      </c>
      <c r="O48" s="23">
        <f>IF(H48&gt;0,K48/H48,0)</f>
        <v>0.2978082955014445</v>
      </c>
      <c r="P48" s="23">
        <f>IF(H48&gt;0,J48/H48,0)</f>
        <v>0.9562945728435822</v>
      </c>
      <c r="Q48" s="19" t="str">
        <f>IF(H48&lt;=0,"Sin PIM",IF(K48/H48&gt;=Config!$B$5,"Ejecutado",IF(J48/H48&gt;=Config!$B$6,"Mayormente comprometido",IF(J48&gt;0.005,"Parcialmente comprometido",IF(I48&gt;0.005,"Solo certificado","Sin certificar")))))</f>
        <v>Mayormente comprometido</v>
      </c>
      <c r="R48" s="19" t="str">
        <f>IF(Q48="Sin certificar","Disponible",IF(Q48="Solo certificado","Posible",IF(Q48="Parcialmente comprometido","Parcial",IF(Q48="Mayormente comprometido","Difícil",IF(Q48="Ejecutado","No usar","Sin PIM")))))</f>
        <v>Difícil</v>
      </c>
      <c r="S48" s="22">
        <f>IF(OR(H48&lt;=0,Q48="Ejecutado"),0,MAX(0,H48-J48))</f>
        <v>4235.930000000008</v>
      </c>
      <c r="T48" s="21">
        <v>90840</v>
      </c>
      <c r="U48" s="21">
        <v>6080</v>
      </c>
      <c r="V48" s="21">
        <v>0</v>
      </c>
      <c r="W48" s="21">
        <v>0</v>
      </c>
      <c r="X48" s="24" t="s">
        <v>59</v>
      </c>
      <c r="Y48" s="24" t="s">
        <v>59</v>
      </c>
      <c r="Z48" s="24" t="s">
        <v>59</v>
      </c>
      <c r="AA48" s="24" t="s">
        <v>59</v>
      </c>
      <c r="AB48" s="24" t="s">
        <v>59</v>
      </c>
      <c r="AC48" s="24" t="s">
        <v>59</v>
      </c>
      <c r="AD48" s="19" t="s">
        <v>64</v>
      </c>
      <c r="AE48" s="19" t="s">
        <v>60</v>
      </c>
    </row>
    <row r="49" spans="1:31">
      <c r="A49" s="19" t="s">
        <v>52</v>
      </c>
      <c r="B49" s="19" t="s">
        <v>53</v>
      </c>
      <c r="C49" s="19" t="s">
        <v>160</v>
      </c>
      <c r="D49" s="19" t="s">
        <v>166</v>
      </c>
      <c r="E49" s="19" t="s">
        <v>170</v>
      </c>
      <c r="F49" s="19" t="s">
        <v>179</v>
      </c>
      <c r="G49" s="20" t="s">
        <v>172</v>
      </c>
      <c r="H49" s="21">
        <v>85775</v>
      </c>
      <c r="I49" s="21">
        <v>26733.45</v>
      </c>
      <c r="J49" s="21">
        <v>26733.45</v>
      </c>
      <c r="K49" s="21">
        <v>14233.45</v>
      </c>
      <c r="L49" s="22">
        <f>H49-I49</f>
        <v>59041.55</v>
      </c>
      <c r="M49" s="22">
        <f>I49-J49</f>
        <v>0.0</v>
      </c>
      <c r="N49" s="22">
        <f>H49-K49</f>
        <v>71541.55</v>
      </c>
      <c r="O49" s="23">
        <f>IF(H49&gt;0,K49/H49,0)</f>
        <v>0.16593937627513844</v>
      </c>
      <c r="P49" s="23">
        <f>IF(H49&gt;0,J49/H49,0)</f>
        <v>0.3116694841154182</v>
      </c>
      <c r="Q49" s="19" t="str">
        <f>IF(H49&lt;=0,"Sin PIM",IF(K49/H49&gt;=Config!$B$5,"Ejecutado",IF(J49/H49&gt;=Config!$B$6,"Mayormente comprometido",IF(J49&gt;0.005,"Parcialmente comprometido",IF(I49&gt;0.005,"Solo certificado","Sin certificar")))))</f>
        <v>Parcialmente comprometido</v>
      </c>
      <c r="R49" s="19" t="str">
        <f>IF(Q49="Sin certificar","Disponible",IF(Q49="Solo certificado","Posible",IF(Q49="Parcialmente comprometido","Parcial",IF(Q49="Mayormente comprometido","Difícil",IF(Q49="Ejecutado","No usar","Sin PIM")))))</f>
        <v>Parcial</v>
      </c>
      <c r="S49" s="22">
        <f>IF(OR(H49&lt;=0,Q49="Ejecutado"),0,MAX(0,H49-J49))</f>
        <v>59041.55</v>
      </c>
      <c r="T49" s="21">
        <v>39568</v>
      </c>
      <c r="U49" s="21">
        <v>46207</v>
      </c>
      <c r="V49" s="21">
        <v>0</v>
      </c>
      <c r="W49" s="21">
        <v>0</v>
      </c>
      <c r="X49" s="24" t="s">
        <v>59</v>
      </c>
      <c r="Y49" s="24" t="s">
        <v>59</v>
      </c>
      <c r="Z49" s="24" t="s">
        <v>59</v>
      </c>
      <c r="AA49" s="24" t="s">
        <v>59</v>
      </c>
      <c r="AB49" s="24" t="s">
        <v>59</v>
      </c>
      <c r="AC49" s="24" t="s">
        <v>59</v>
      </c>
      <c r="AD49" s="19" t="s">
        <v>64</v>
      </c>
      <c r="AE49" s="19" t="s">
        <v>60</v>
      </c>
    </row>
    <row r="50" spans="1:31">
      <c r="A50" s="19" t="s">
        <v>52</v>
      </c>
      <c r="B50" s="19" t="s">
        <v>53</v>
      </c>
      <c r="C50" s="19" t="s">
        <v>160</v>
      </c>
      <c r="D50" s="19" t="s">
        <v>166</v>
      </c>
      <c r="E50" s="19" t="s">
        <v>180</v>
      </c>
      <c r="F50" s="19" t="s">
        <v>181</v>
      </c>
      <c r="G50" s="20" t="s">
        <v>182</v>
      </c>
      <c r="H50" s="21">
        <v>83852</v>
      </c>
      <c r="I50" s="21">
        <v>67041</v>
      </c>
      <c r="J50" s="21">
        <v>65651.53</v>
      </c>
      <c r="K50" s="21">
        <v>54395.66</v>
      </c>
      <c r="L50" s="22">
        <f>H50-I50</f>
        <v>16811.0</v>
      </c>
      <c r="M50" s="22">
        <f>I50-J50</f>
        <v>1389.4700000000012</v>
      </c>
      <c r="N50" s="22">
        <f>H50-K50</f>
        <v>29456.339999999997</v>
      </c>
      <c r="O50" s="23">
        <f>IF(H50&gt;0,K50/H50,0)</f>
        <v>0.6487103468015074</v>
      </c>
      <c r="P50" s="23">
        <f>IF(H50&gt;0,J50/H50,0)</f>
        <v>0.7829453084005151</v>
      </c>
      <c r="Q50" s="19" t="str">
        <f>IF(H50&lt;=0,"Sin PIM",IF(K50/H50&gt;=Config!$B$5,"Ejecutado",IF(J50/H50&gt;=Config!$B$6,"Mayormente comprometido",IF(J50&gt;0.005,"Parcialmente comprometido",IF(I50&gt;0.005,"Solo certificado","Sin certificar")))))</f>
        <v>Mayormente comprometido</v>
      </c>
      <c r="R50" s="19" t="str">
        <f>IF(Q50="Sin certificar","Disponible",IF(Q50="Solo certificado","Posible",IF(Q50="Parcialmente comprometido","Parcial",IF(Q50="Mayormente comprometido","Difícil",IF(Q50="Ejecutado","No usar","Sin PIM")))))</f>
        <v>Difícil</v>
      </c>
      <c r="S50" s="22">
        <f>IF(OR(H50&lt;=0,Q50="Ejecutado"),0,MAX(0,H50-J50))</f>
        <v>18200.47</v>
      </c>
      <c r="T50" s="21">
        <v>28908</v>
      </c>
      <c r="U50" s="21">
        <v>54944</v>
      </c>
      <c r="V50" s="21">
        <v>0</v>
      </c>
      <c r="W50" s="21">
        <v>0</v>
      </c>
      <c r="X50" s="24" t="s">
        <v>59</v>
      </c>
      <c r="Y50" s="24" t="s">
        <v>59</v>
      </c>
      <c r="Z50" s="24" t="s">
        <v>59</v>
      </c>
      <c r="AA50" s="24" t="s">
        <v>59</v>
      </c>
      <c r="AB50" s="24" t="s">
        <v>59</v>
      </c>
      <c r="AC50" s="24" t="s">
        <v>59</v>
      </c>
      <c r="AD50" s="19" t="s">
        <v>64</v>
      </c>
      <c r="AE50" s="19" t="s">
        <v>60</v>
      </c>
    </row>
    <row r="51" spans="1:31">
      <c r="A51" s="19" t="s">
        <v>52</v>
      </c>
      <c r="B51" s="19" t="s">
        <v>53</v>
      </c>
      <c r="C51" s="19" t="s">
        <v>160</v>
      </c>
      <c r="D51" s="19" t="s">
        <v>166</v>
      </c>
      <c r="E51" s="19" t="s">
        <v>180</v>
      </c>
      <c r="F51" s="19" t="s">
        <v>183</v>
      </c>
      <c r="G51" s="20" t="s">
        <v>182</v>
      </c>
      <c r="H51" s="21">
        <v>66358</v>
      </c>
      <c r="I51" s="21">
        <v>53720.8</v>
      </c>
      <c r="J51" s="21">
        <v>50720.8</v>
      </c>
      <c r="K51" s="21">
        <v>25002.8</v>
      </c>
      <c r="L51" s="22">
        <f>H51-I51</f>
        <v>12637.199999999997</v>
      </c>
      <c r="M51" s="22">
        <f>I51-J51</f>
        <v>3000.0</v>
      </c>
      <c r="N51" s="22">
        <f>H51-K51</f>
        <v>41355.2</v>
      </c>
      <c r="O51" s="23">
        <f>IF(H51&gt;0,K51/H51,0)</f>
        <v>0.37678652159498477</v>
      </c>
      <c r="P51" s="23">
        <f>IF(H51&gt;0,J51/H51,0)</f>
        <v>0.7643509448747702</v>
      </c>
      <c r="Q51" s="19" t="str">
        <f>IF(H51&lt;=0,"Sin PIM",IF(K51/H51&gt;=Config!$B$5,"Ejecutado",IF(J51/H51&gt;=Config!$B$6,"Mayormente comprometido",IF(J51&gt;0.005,"Parcialmente comprometido",IF(I51&gt;0.005,"Solo certificado","Sin certificar")))))</f>
        <v>Mayormente comprometido</v>
      </c>
      <c r="R51" s="19" t="str">
        <f>IF(Q51="Sin certificar","Disponible",IF(Q51="Solo certificado","Posible",IF(Q51="Parcialmente comprometido","Parcial",IF(Q51="Mayormente comprometido","Difícil",IF(Q51="Ejecutado","No usar","Sin PIM")))))</f>
        <v>Difícil</v>
      </c>
      <c r="S51" s="22">
        <f>IF(OR(H51&lt;=0,Q51="Ejecutado"),0,MAX(0,H51-J51))</f>
        <v>15637.199999999997</v>
      </c>
      <c r="T51" s="21">
        <v>0</v>
      </c>
      <c r="U51" s="21">
        <v>65958</v>
      </c>
      <c r="V51" s="21">
        <v>0</v>
      </c>
      <c r="W51" s="21">
        <v>400</v>
      </c>
      <c r="X51" s="24" t="s">
        <v>59</v>
      </c>
      <c r="Y51" s="24" t="s">
        <v>59</v>
      </c>
      <c r="Z51" s="24" t="s">
        <v>59</v>
      </c>
      <c r="AA51" s="24" t="s">
        <v>59</v>
      </c>
      <c r="AB51" s="24" t="s">
        <v>59</v>
      </c>
      <c r="AC51" s="24" t="s">
        <v>59</v>
      </c>
      <c r="AD51" s="19" t="s">
        <v>64</v>
      </c>
      <c r="AE51" s="19" t="s">
        <v>60</v>
      </c>
    </row>
    <row r="52" spans="1:31">
      <c r="A52" s="19" t="s">
        <v>52</v>
      </c>
      <c r="B52" s="19" t="s">
        <v>53</v>
      </c>
      <c r="C52" s="19" t="s">
        <v>160</v>
      </c>
      <c r="D52" s="19" t="s">
        <v>55</v>
      </c>
      <c r="E52" s="19" t="s">
        <v>65</v>
      </c>
      <c r="F52" s="19" t="s">
        <v>184</v>
      </c>
      <c r="G52" s="20" t="s">
        <v>185</v>
      </c>
      <c r="H52" s="21">
        <v>65000</v>
      </c>
      <c r="I52" s="21">
        <v>12930</v>
      </c>
      <c r="J52" s="21">
        <v>12930</v>
      </c>
      <c r="K52" s="21">
        <v>1450</v>
      </c>
      <c r="L52" s="22">
        <f>H52-I52</f>
        <v>52070.0</v>
      </c>
      <c r="M52" s="22">
        <f>I52-J52</f>
        <v>0.0</v>
      </c>
      <c r="N52" s="22">
        <f>H52-K52</f>
        <v>63550.0</v>
      </c>
      <c r="O52" s="23">
        <f>IF(H52&gt;0,K52/H52,0)</f>
        <v>0.022307692307692306</v>
      </c>
      <c r="P52" s="23">
        <f>IF(H52&gt;0,J52/H52,0)</f>
        <v>0.19892307692307692</v>
      </c>
      <c r="Q52" s="19" t="str">
        <f>IF(H52&lt;=0,"Sin PIM",IF(K52/H52&gt;=Config!$B$5,"Ejecutado",IF(J52/H52&gt;=Config!$B$6,"Mayormente comprometido",IF(J52&gt;0.005,"Parcialmente comprometido",IF(I52&gt;0.005,"Solo certificado","Sin certificar")))))</f>
        <v>Parcialmente comprometido</v>
      </c>
      <c r="R52" s="19" t="str">
        <f>IF(Q52="Sin certificar","Disponible",IF(Q52="Solo certificado","Posible",IF(Q52="Parcialmente comprometido","Parcial",IF(Q52="Mayormente comprometido","Difícil",IF(Q52="Ejecutado","No usar","Sin PIM")))))</f>
        <v>Parcial</v>
      </c>
      <c r="S52" s="22">
        <f>IF(OR(H52&lt;=0,Q52="Ejecutado"),0,MAX(0,H52-J52))</f>
        <v>52070.0</v>
      </c>
      <c r="T52" s="21">
        <v>0</v>
      </c>
      <c r="U52" s="21">
        <v>65000</v>
      </c>
      <c r="V52" s="21">
        <v>0</v>
      </c>
      <c r="W52" s="21">
        <v>0</v>
      </c>
      <c r="X52" s="24" t="s">
        <v>59</v>
      </c>
      <c r="Y52" s="24" t="s">
        <v>59</v>
      </c>
      <c r="Z52" s="24" t="s">
        <v>59</v>
      </c>
      <c r="AA52" s="24" t="s">
        <v>59</v>
      </c>
      <c r="AB52" s="24" t="s">
        <v>59</v>
      </c>
      <c r="AC52" s="24" t="s">
        <v>59</v>
      </c>
      <c r="AD52" s="19" t="s">
        <v>64</v>
      </c>
      <c r="AE52" s="19" t="s">
        <v>60</v>
      </c>
    </row>
    <row r="53" spans="1:31">
      <c r="A53" s="19" t="s">
        <v>52</v>
      </c>
      <c r="B53" s="19" t="s">
        <v>53</v>
      </c>
      <c r="C53" s="19" t="s">
        <v>160</v>
      </c>
      <c r="D53" s="19" t="s">
        <v>166</v>
      </c>
      <c r="E53" s="19" t="s">
        <v>180</v>
      </c>
      <c r="F53" s="19" t="s">
        <v>186</v>
      </c>
      <c r="G53" s="20" t="s">
        <v>182</v>
      </c>
      <c r="H53" s="21">
        <v>64576</v>
      </c>
      <c r="I53" s="21">
        <v>21950</v>
      </c>
      <c r="J53" s="21">
        <v>21950</v>
      </c>
      <c r="K53" s="21">
        <v>12600</v>
      </c>
      <c r="L53" s="22">
        <f>H53-I53</f>
        <v>42626.0</v>
      </c>
      <c r="M53" s="22">
        <f>I53-J53</f>
        <v>0.0</v>
      </c>
      <c r="N53" s="22">
        <f>H53-K53</f>
        <v>51976.0</v>
      </c>
      <c r="O53" s="23">
        <f>IF(H53&gt;0,K53/H53,0)</f>
        <v>0.1951189296333003</v>
      </c>
      <c r="P53" s="23">
        <f>IF(H53&gt;0,J53/H53,0)</f>
        <v>0.3399095639246779</v>
      </c>
      <c r="Q53" s="19" t="str">
        <f>IF(H53&lt;=0,"Sin PIM",IF(K53/H53&gt;=Config!$B$5,"Ejecutado",IF(J53/H53&gt;=Config!$B$6,"Mayormente comprometido",IF(J53&gt;0.005,"Parcialmente comprometido",IF(I53&gt;0.005,"Solo certificado","Sin certificar")))))</f>
        <v>Parcialmente comprometido</v>
      </c>
      <c r="R53" s="19" t="str">
        <f>IF(Q53="Sin certificar","Disponible",IF(Q53="Solo certificado","Posible",IF(Q53="Parcialmente comprometido","Parcial",IF(Q53="Mayormente comprometido","Difícil",IF(Q53="Ejecutado","No usar","Sin PIM")))))</f>
        <v>Parcial</v>
      </c>
      <c r="S53" s="22">
        <f>IF(OR(H53&lt;=0,Q53="Ejecutado"),0,MAX(0,H53-J53))</f>
        <v>42626.0</v>
      </c>
      <c r="T53" s="21">
        <v>0</v>
      </c>
      <c r="U53" s="21">
        <v>49496</v>
      </c>
      <c r="V53" s="21">
        <v>0</v>
      </c>
      <c r="W53" s="21">
        <v>15080</v>
      </c>
      <c r="X53" s="24" t="s">
        <v>59</v>
      </c>
      <c r="Y53" s="24" t="s">
        <v>59</v>
      </c>
      <c r="Z53" s="24" t="s">
        <v>59</v>
      </c>
      <c r="AA53" s="24" t="s">
        <v>59</v>
      </c>
      <c r="AB53" s="24" t="s">
        <v>59</v>
      </c>
      <c r="AC53" s="24" t="s">
        <v>59</v>
      </c>
      <c r="AD53" s="19" t="s">
        <v>64</v>
      </c>
      <c r="AE53" s="19" t="s">
        <v>60</v>
      </c>
    </row>
    <row r="54" spans="1:31">
      <c r="A54" s="19" t="s">
        <v>52</v>
      </c>
      <c r="B54" s="19" t="s">
        <v>53</v>
      </c>
      <c r="C54" s="19" t="s">
        <v>160</v>
      </c>
      <c r="D54" s="19" t="s">
        <v>166</v>
      </c>
      <c r="E54" s="19" t="s">
        <v>170</v>
      </c>
      <c r="F54" s="19" t="s">
        <v>187</v>
      </c>
      <c r="G54" s="20" t="s">
        <v>172</v>
      </c>
      <c r="H54" s="21">
        <v>50829</v>
      </c>
      <c r="I54" s="21">
        <v>21350</v>
      </c>
      <c r="J54" s="21">
        <v>21350</v>
      </c>
      <c r="K54" s="21">
        <v>9000</v>
      </c>
      <c r="L54" s="22">
        <f>H54-I54</f>
        <v>29479.0</v>
      </c>
      <c r="M54" s="22">
        <f>I54-J54</f>
        <v>0.0</v>
      </c>
      <c r="N54" s="22">
        <f>H54-K54</f>
        <v>41829.0</v>
      </c>
      <c r="O54" s="23">
        <f>IF(H54&gt;0,K54/H54,0)</f>
        <v>0.17706427433158237</v>
      </c>
      <c r="P54" s="23">
        <f>IF(H54&gt;0,J54/H54,0)</f>
        <v>0.4200358063310315</v>
      </c>
      <c r="Q54" s="19" t="str">
        <f>IF(H54&lt;=0,"Sin PIM",IF(K54/H54&gt;=Config!$B$5,"Ejecutado",IF(J54/H54&gt;=Config!$B$6,"Mayormente comprometido",IF(J54&gt;0.005,"Parcialmente comprometido",IF(I54&gt;0.005,"Solo certificado","Sin certificar")))))</f>
        <v>Parcialmente comprometido</v>
      </c>
      <c r="R54" s="19" t="str">
        <f>IF(Q54="Sin certificar","Disponible",IF(Q54="Solo certificado","Posible",IF(Q54="Parcialmente comprometido","Parcial",IF(Q54="Mayormente comprometido","Difícil",IF(Q54="Ejecutado","No usar","Sin PIM")))))</f>
        <v>Parcial</v>
      </c>
      <c r="S54" s="22">
        <f>IF(OR(H54&lt;=0,Q54="Ejecutado"),0,MAX(0,H54-J54))</f>
        <v>29479.0</v>
      </c>
      <c r="T54" s="21">
        <v>18149</v>
      </c>
      <c r="U54" s="21">
        <v>32680</v>
      </c>
      <c r="V54" s="21">
        <v>0</v>
      </c>
      <c r="W54" s="21">
        <v>0</v>
      </c>
      <c r="X54" s="24" t="s">
        <v>59</v>
      </c>
      <c r="Y54" s="24" t="s">
        <v>59</v>
      </c>
      <c r="Z54" s="24" t="s">
        <v>59</v>
      </c>
      <c r="AA54" s="24" t="s">
        <v>59</v>
      </c>
      <c r="AB54" s="24" t="s">
        <v>59</v>
      </c>
      <c r="AC54" s="24" t="s">
        <v>59</v>
      </c>
      <c r="AD54" s="19" t="s">
        <v>64</v>
      </c>
      <c r="AE54" s="19" t="s">
        <v>60</v>
      </c>
    </row>
    <row r="55" spans="1:31">
      <c r="A55" s="19" t="s">
        <v>52</v>
      </c>
      <c r="B55" s="19" t="s">
        <v>53</v>
      </c>
      <c r="C55" s="19" t="s">
        <v>160</v>
      </c>
      <c r="D55" s="19" t="s">
        <v>166</v>
      </c>
      <c r="E55" s="19" t="s">
        <v>188</v>
      </c>
      <c r="F55" s="19" t="s">
        <v>189</v>
      </c>
      <c r="G55" s="20" t="s">
        <v>190</v>
      </c>
      <c r="H55" s="21">
        <v>49477</v>
      </c>
      <c r="I55" s="21">
        <v>22542</v>
      </c>
      <c r="J55" s="21">
        <v>22542</v>
      </c>
      <c r="K55" s="21">
        <v>7417</v>
      </c>
      <c r="L55" s="22">
        <f>H55-I55</f>
        <v>26935.0</v>
      </c>
      <c r="M55" s="22">
        <f>I55-J55</f>
        <v>0.0</v>
      </c>
      <c r="N55" s="22">
        <f>H55-K55</f>
        <v>42060.0</v>
      </c>
      <c r="O55" s="23">
        <f>IF(H55&gt;0,K55/H55,0)</f>
        <v>0.149908038078299</v>
      </c>
      <c r="P55" s="23">
        <f>IF(H55&gt;0,J55/H55,0)</f>
        <v>0.455605634941488</v>
      </c>
      <c r="Q55" s="19" t="str">
        <f>IF(H55&lt;=0,"Sin PIM",IF(K55/H55&gt;=Config!$B$5,"Ejecutado",IF(J55/H55&gt;=Config!$B$6,"Mayormente comprometido",IF(J55&gt;0.005,"Parcialmente comprometido",IF(I55&gt;0.005,"Solo certificado","Sin certificar")))))</f>
        <v>Parcialmente comprometido</v>
      </c>
      <c r="R55" s="19" t="str">
        <f>IF(Q55="Sin certificar","Disponible",IF(Q55="Solo certificado","Posible",IF(Q55="Parcialmente comprometido","Parcial",IF(Q55="Mayormente comprometido","Difícil",IF(Q55="Ejecutado","No usar","Sin PIM")))))</f>
        <v>Parcial</v>
      </c>
      <c r="S55" s="22">
        <f>IF(OR(H55&lt;=0,Q55="Ejecutado"),0,MAX(0,H55-J55))</f>
        <v>26935.0</v>
      </c>
      <c r="T55" s="21">
        <v>0</v>
      </c>
      <c r="U55" s="21">
        <v>49077</v>
      </c>
      <c r="V55" s="21">
        <v>0</v>
      </c>
      <c r="W55" s="21">
        <v>400</v>
      </c>
      <c r="X55" s="24" t="s">
        <v>59</v>
      </c>
      <c r="Y55" s="24" t="s">
        <v>59</v>
      </c>
      <c r="Z55" s="24" t="s">
        <v>59</v>
      </c>
      <c r="AA55" s="24" t="s">
        <v>59</v>
      </c>
      <c r="AB55" s="24" t="s">
        <v>59</v>
      </c>
      <c r="AC55" s="24" t="s">
        <v>59</v>
      </c>
      <c r="AD55" s="19" t="s">
        <v>64</v>
      </c>
      <c r="AE55" s="19" t="s">
        <v>60</v>
      </c>
    </row>
    <row r="56" spans="1:31">
      <c r="A56" s="19" t="s">
        <v>52</v>
      </c>
      <c r="B56" s="19" t="s">
        <v>53</v>
      </c>
      <c r="C56" s="19" t="s">
        <v>160</v>
      </c>
      <c r="D56" s="19" t="s">
        <v>166</v>
      </c>
      <c r="E56" s="19" t="s">
        <v>188</v>
      </c>
      <c r="F56" s="19" t="s">
        <v>191</v>
      </c>
      <c r="G56" s="20" t="s">
        <v>190</v>
      </c>
      <c r="H56" s="21">
        <v>44714</v>
      </c>
      <c r="I56" s="21">
        <v>5450</v>
      </c>
      <c r="J56" s="21">
        <v>5450</v>
      </c>
      <c r="K56" s="21">
        <v>5450</v>
      </c>
      <c r="L56" s="22">
        <f>H56-I56</f>
        <v>39264.0</v>
      </c>
      <c r="M56" s="22">
        <f>I56-J56</f>
        <v>0.0</v>
      </c>
      <c r="N56" s="22">
        <f>H56-K56</f>
        <v>39264.0</v>
      </c>
      <c r="O56" s="23">
        <f>IF(H56&gt;0,K56/H56,0)</f>
        <v>0.1218857628483249</v>
      </c>
      <c r="P56" s="23">
        <f>IF(H56&gt;0,J56/H56,0)</f>
        <v>0.1218857628483249</v>
      </c>
      <c r="Q56" s="19" t="str">
        <f>IF(H56&lt;=0,"Sin PIM",IF(K56/H56&gt;=Config!$B$5,"Ejecutado",IF(J56/H56&gt;=Config!$B$6,"Mayormente comprometido",IF(J56&gt;0.005,"Parcialmente comprometido",IF(I56&gt;0.005,"Solo certificado","Sin certificar")))))</f>
        <v>Parcialmente comprometido</v>
      </c>
      <c r="R56" s="19" t="str">
        <f>IF(Q56="Sin certificar","Disponible",IF(Q56="Solo certificado","Posible",IF(Q56="Parcialmente comprometido","Parcial",IF(Q56="Mayormente comprometido","Difícil",IF(Q56="Ejecutado","No usar","Sin PIM")))))</f>
        <v>Parcial</v>
      </c>
      <c r="S56" s="22">
        <f>IF(OR(H56&lt;=0,Q56="Ejecutado"),0,MAX(0,H56-J56))</f>
        <v>39264.0</v>
      </c>
      <c r="T56" s="21">
        <v>20656</v>
      </c>
      <c r="U56" s="21">
        <v>22318</v>
      </c>
      <c r="V56" s="21">
        <v>0</v>
      </c>
      <c r="W56" s="21">
        <v>1740</v>
      </c>
      <c r="X56" s="24" t="s">
        <v>59</v>
      </c>
      <c r="Y56" s="24" t="s">
        <v>59</v>
      </c>
      <c r="Z56" s="24" t="s">
        <v>59</v>
      </c>
      <c r="AA56" s="24" t="s">
        <v>59</v>
      </c>
      <c r="AB56" s="24" t="s">
        <v>59</v>
      </c>
      <c r="AC56" s="24" t="s">
        <v>59</v>
      </c>
      <c r="AD56" s="19" t="s">
        <v>64</v>
      </c>
      <c r="AE56" s="19" t="s">
        <v>60</v>
      </c>
    </row>
    <row r="57" spans="1:31">
      <c r="A57" s="19" t="s">
        <v>52</v>
      </c>
      <c r="B57" s="19" t="s">
        <v>53</v>
      </c>
      <c r="C57" s="19" t="s">
        <v>160</v>
      </c>
      <c r="D57" s="19" t="s">
        <v>166</v>
      </c>
      <c r="E57" s="19" t="s">
        <v>170</v>
      </c>
      <c r="F57" s="19" t="s">
        <v>192</v>
      </c>
      <c r="G57" s="20" t="s">
        <v>172</v>
      </c>
      <c r="H57" s="21">
        <v>44132</v>
      </c>
      <c r="I57" s="21">
        <v>14250</v>
      </c>
      <c r="J57" s="21">
        <v>14250</v>
      </c>
      <c r="K57" s="21">
        <v>9250</v>
      </c>
      <c r="L57" s="22">
        <f>H57-I57</f>
        <v>29882.0</v>
      </c>
      <c r="M57" s="22">
        <f>I57-J57</f>
        <v>0.0</v>
      </c>
      <c r="N57" s="22">
        <f>H57-K57</f>
        <v>34882.0</v>
      </c>
      <c r="O57" s="23">
        <f>IF(H57&gt;0,K57/H57,0)</f>
        <v>0.20959847729538655</v>
      </c>
      <c r="P57" s="23">
        <f>IF(H57&gt;0,J57/H57,0)</f>
        <v>0.322894951509109</v>
      </c>
      <c r="Q57" s="19" t="str">
        <f>IF(H57&lt;=0,"Sin PIM",IF(K57/H57&gt;=Config!$B$5,"Ejecutado",IF(J57/H57&gt;=Config!$B$6,"Mayormente comprometido",IF(J57&gt;0.005,"Parcialmente comprometido",IF(I57&gt;0.005,"Solo certificado","Sin certificar")))))</f>
        <v>Parcialmente comprometido</v>
      </c>
      <c r="R57" s="19" t="str">
        <f>IF(Q57="Sin certificar","Disponible",IF(Q57="Solo certificado","Posible",IF(Q57="Parcialmente comprometido","Parcial",IF(Q57="Mayormente comprometido","Difícil",IF(Q57="Ejecutado","No usar","Sin PIM")))))</f>
        <v>Parcial</v>
      </c>
      <c r="S57" s="22">
        <f>IF(OR(H57&lt;=0,Q57="Ejecutado"),0,MAX(0,H57-J57))</f>
        <v>29882.0</v>
      </c>
      <c r="T57" s="21">
        <v>22382</v>
      </c>
      <c r="U57" s="21">
        <v>21750</v>
      </c>
      <c r="V57" s="21">
        <v>0</v>
      </c>
      <c r="W57" s="21">
        <v>0</v>
      </c>
      <c r="X57" s="24" t="s">
        <v>59</v>
      </c>
      <c r="Y57" s="24" t="s">
        <v>59</v>
      </c>
      <c r="Z57" s="24" t="s">
        <v>59</v>
      </c>
      <c r="AA57" s="24" t="s">
        <v>59</v>
      </c>
      <c r="AB57" s="24" t="s">
        <v>59</v>
      </c>
      <c r="AC57" s="24" t="s">
        <v>59</v>
      </c>
      <c r="AD57" s="19" t="s">
        <v>64</v>
      </c>
      <c r="AE57" s="19" t="s">
        <v>60</v>
      </c>
    </row>
    <row r="58" spans="1:31">
      <c r="A58" s="19" t="s">
        <v>52</v>
      </c>
      <c r="B58" s="19" t="s">
        <v>53</v>
      </c>
      <c r="C58" s="19" t="s">
        <v>160</v>
      </c>
      <c r="D58" s="19" t="s">
        <v>153</v>
      </c>
      <c r="E58" s="19" t="s">
        <v>161</v>
      </c>
      <c r="F58" s="19" t="s">
        <v>193</v>
      </c>
      <c r="G58" s="20" t="s">
        <v>163</v>
      </c>
      <c r="H58" s="21">
        <v>39665</v>
      </c>
      <c r="I58" s="21">
        <v>14158</v>
      </c>
      <c r="J58" s="21">
        <v>14158</v>
      </c>
      <c r="K58" s="21">
        <v>3738</v>
      </c>
      <c r="L58" s="22">
        <f>H58-I58</f>
        <v>25507.0</v>
      </c>
      <c r="M58" s="22">
        <f>I58-J58</f>
        <v>0.0</v>
      </c>
      <c r="N58" s="22">
        <f>H58-K58</f>
        <v>35927.0</v>
      </c>
      <c r="O58" s="23">
        <f>IF(H58&gt;0,K58/H58,0)</f>
        <v>0.09423925375015757</v>
      </c>
      <c r="P58" s="23">
        <f>IF(H58&gt;0,J58/H58,0)</f>
        <v>0.35693936720030256</v>
      </c>
      <c r="Q58" s="19" t="str">
        <f>IF(H58&lt;=0,"Sin PIM",IF(K58/H58&gt;=Config!$B$5,"Ejecutado",IF(J58/H58&gt;=Config!$B$6,"Mayormente comprometido",IF(J58&gt;0.005,"Parcialmente comprometido",IF(I58&gt;0.005,"Solo certificado","Sin certificar")))))</f>
        <v>Parcialmente comprometido</v>
      </c>
      <c r="R58" s="19" t="str">
        <f>IF(Q58="Sin certificar","Disponible",IF(Q58="Solo certificado","Posible",IF(Q58="Parcialmente comprometido","Parcial",IF(Q58="Mayormente comprometido","Difícil",IF(Q58="Ejecutado","No usar","Sin PIM")))))</f>
        <v>Parcial</v>
      </c>
      <c r="S58" s="22">
        <f>IF(OR(H58&lt;=0,Q58="Ejecutado"),0,MAX(0,H58-J58))</f>
        <v>25507.0</v>
      </c>
      <c r="T58" s="21">
        <v>0</v>
      </c>
      <c r="U58" s="21">
        <v>39665</v>
      </c>
      <c r="V58" s="21">
        <v>0</v>
      </c>
      <c r="W58" s="21">
        <v>0</v>
      </c>
      <c r="X58" s="24" t="s">
        <v>59</v>
      </c>
      <c r="Y58" s="24" t="s">
        <v>59</v>
      </c>
      <c r="Z58" s="24" t="s">
        <v>59</v>
      </c>
      <c r="AA58" s="24" t="s">
        <v>59</v>
      </c>
      <c r="AB58" s="24" t="s">
        <v>59</v>
      </c>
      <c r="AC58" s="24" t="s">
        <v>59</v>
      </c>
      <c r="AD58" s="19" t="s">
        <v>64</v>
      </c>
      <c r="AE58" s="19" t="s">
        <v>60</v>
      </c>
    </row>
    <row r="59" spans="1:31">
      <c r="A59" s="19" t="s">
        <v>52</v>
      </c>
      <c r="B59" s="19" t="s">
        <v>53</v>
      </c>
      <c r="C59" s="19" t="s">
        <v>160</v>
      </c>
      <c r="D59" s="19" t="s">
        <v>166</v>
      </c>
      <c r="E59" s="19" t="s">
        <v>167</v>
      </c>
      <c r="F59" s="19" t="s">
        <v>194</v>
      </c>
      <c r="G59" s="20" t="s">
        <v>169</v>
      </c>
      <c r="H59" s="21">
        <v>12023</v>
      </c>
      <c r="I59" s="21">
        <v>2940</v>
      </c>
      <c r="J59" s="21">
        <v>2070</v>
      </c>
      <c r="K59" s="21">
        <v>2070</v>
      </c>
      <c r="L59" s="22">
        <f>H59-I59</f>
        <v>9083.0</v>
      </c>
      <c r="M59" s="22">
        <f>I59-J59</f>
        <v>870.0</v>
      </c>
      <c r="N59" s="22">
        <f>H59-K59</f>
        <v>9953.0</v>
      </c>
      <c r="O59" s="23">
        <f>IF(H59&gt;0,K59/H59,0)</f>
        <v>0.1721700074856525</v>
      </c>
      <c r="P59" s="23">
        <f>IF(H59&gt;0,J59/H59,0)</f>
        <v>0.1721700074856525</v>
      </c>
      <c r="Q59" s="19" t="str">
        <f>IF(H59&lt;=0,"Sin PIM",IF(K59/H59&gt;=Config!$B$5,"Ejecutado",IF(J59/H59&gt;=Config!$B$6,"Mayormente comprometido",IF(J59&gt;0.005,"Parcialmente comprometido",IF(I59&gt;0.005,"Solo certificado","Sin certificar")))))</f>
        <v>Parcialmente comprometido</v>
      </c>
      <c r="R59" s="19" t="str">
        <f>IF(Q59="Sin certificar","Disponible",IF(Q59="Solo certificado","Posible",IF(Q59="Parcialmente comprometido","Parcial",IF(Q59="Mayormente comprometido","Difícil",IF(Q59="Ejecutado","No usar","Sin PIM")))))</f>
        <v>Parcial</v>
      </c>
      <c r="S59" s="22">
        <f>IF(OR(H59&lt;=0,Q59="Ejecutado"),0,MAX(0,H59-J59))</f>
        <v>9953.0</v>
      </c>
      <c r="T59" s="21">
        <v>0</v>
      </c>
      <c r="U59" s="21">
        <v>12023</v>
      </c>
      <c r="V59" s="21">
        <v>0</v>
      </c>
      <c r="W59" s="21">
        <v>0</v>
      </c>
      <c r="X59" s="24" t="s">
        <v>59</v>
      </c>
      <c r="Y59" s="24" t="s">
        <v>59</v>
      </c>
      <c r="Z59" s="24" t="s">
        <v>59</v>
      </c>
      <c r="AA59" s="24" t="s">
        <v>59</v>
      </c>
      <c r="AB59" s="24" t="s">
        <v>59</v>
      </c>
      <c r="AC59" s="24" t="s">
        <v>59</v>
      </c>
      <c r="AD59" s="19" t="s">
        <v>64</v>
      </c>
      <c r="AE59" s="19" t="s">
        <v>60</v>
      </c>
    </row>
    <row r="60" spans="1:31">
      <c r="A60" s="19" t="s">
        <v>52</v>
      </c>
      <c r="B60" s="19" t="s">
        <v>53</v>
      </c>
      <c r="C60" s="19" t="s">
        <v>160</v>
      </c>
      <c r="D60" s="19" t="s">
        <v>153</v>
      </c>
      <c r="E60" s="19" t="s">
        <v>161</v>
      </c>
      <c r="F60" s="19" t="s">
        <v>195</v>
      </c>
      <c r="G60" s="20" t="s">
        <v>163</v>
      </c>
      <c r="H60" s="21">
        <v>8082</v>
      </c>
      <c r="I60" s="21">
        <v>2579.5</v>
      </c>
      <c r="J60" s="21">
        <v>2579.5</v>
      </c>
      <c r="K60" s="21">
        <v>2579.5</v>
      </c>
      <c r="L60" s="22">
        <f>H60-I60</f>
        <v>5502.5</v>
      </c>
      <c r="M60" s="22">
        <f>I60-J60</f>
        <v>0.0</v>
      </c>
      <c r="N60" s="22">
        <f>H60-K60</f>
        <v>5502.5</v>
      </c>
      <c r="O60" s="23">
        <f>IF(H60&gt;0,K60/H60,0)</f>
        <v>0.3191660480079188</v>
      </c>
      <c r="P60" s="23">
        <f>IF(H60&gt;0,J60/H60,0)</f>
        <v>0.3191660480079188</v>
      </c>
      <c r="Q60" s="19" t="str">
        <f>IF(H60&lt;=0,"Sin PIM",IF(K60/H60&gt;=Config!$B$5,"Ejecutado",IF(J60/H60&gt;=Config!$B$6,"Mayormente comprometido",IF(J60&gt;0.005,"Parcialmente comprometido",IF(I60&gt;0.005,"Solo certificado","Sin certificar")))))</f>
        <v>Parcialmente comprometido</v>
      </c>
      <c r="R60" s="19" t="str">
        <f>IF(Q60="Sin certificar","Disponible",IF(Q60="Solo certificado","Posible",IF(Q60="Parcialmente comprometido","Parcial",IF(Q60="Mayormente comprometido","Difícil",IF(Q60="Ejecutado","No usar","Sin PIM")))))</f>
        <v>Parcial</v>
      </c>
      <c r="S60" s="22">
        <f>IF(OR(H60&lt;=0,Q60="Ejecutado"),0,MAX(0,H60-J60))</f>
        <v>5502.5</v>
      </c>
      <c r="T60" s="21">
        <v>0</v>
      </c>
      <c r="U60" s="21">
        <v>8082</v>
      </c>
      <c r="V60" s="21">
        <v>0</v>
      </c>
      <c r="W60" s="21">
        <v>0</v>
      </c>
      <c r="X60" s="24" t="s">
        <v>59</v>
      </c>
      <c r="Y60" s="24" t="s">
        <v>59</v>
      </c>
      <c r="Z60" s="24" t="s">
        <v>59</v>
      </c>
      <c r="AA60" s="24" t="s">
        <v>59</v>
      </c>
      <c r="AB60" s="24" t="s">
        <v>59</v>
      </c>
      <c r="AC60" s="24" t="s">
        <v>59</v>
      </c>
      <c r="AD60" s="19" t="s">
        <v>64</v>
      </c>
      <c r="AE60" s="19" t="s">
        <v>60</v>
      </c>
    </row>
    <row r="61" spans="1:31">
      <c r="A61" s="19" t="s">
        <v>52</v>
      </c>
      <c r="B61" s="19" t="s">
        <v>53</v>
      </c>
      <c r="C61" s="19" t="s">
        <v>160</v>
      </c>
      <c r="D61" s="19" t="s">
        <v>153</v>
      </c>
      <c r="E61" s="19" t="s">
        <v>161</v>
      </c>
      <c r="F61" s="19" t="s">
        <v>196</v>
      </c>
      <c r="G61" s="20" t="s">
        <v>163</v>
      </c>
      <c r="H61" s="21">
        <v>7434</v>
      </c>
      <c r="I61" s="21">
        <v>5368</v>
      </c>
      <c r="J61" s="21">
        <v>4447.13</v>
      </c>
      <c r="K61" s="21">
        <v>4447.13</v>
      </c>
      <c r="L61" s="22">
        <f>H61-I61</f>
        <v>2066.0</v>
      </c>
      <c r="M61" s="22">
        <f>I61-J61</f>
        <v>920.8699999999999</v>
      </c>
      <c r="N61" s="22">
        <f>H61-K61</f>
        <v>2986.87</v>
      </c>
      <c r="O61" s="23">
        <f>IF(H61&gt;0,K61/H61,0)</f>
        <v>0.5982149582997041</v>
      </c>
      <c r="P61" s="23">
        <f>IF(H61&gt;0,J61/H61,0)</f>
        <v>0.5982149582997041</v>
      </c>
      <c r="Q61" s="19" t="str">
        <f>IF(H61&lt;=0,"Sin PIM",IF(K61/H61&gt;=Config!$B$5,"Ejecutado",IF(J61/H61&gt;=Config!$B$6,"Mayormente comprometido",IF(J61&gt;0.005,"Parcialmente comprometido",IF(I61&gt;0.005,"Solo certificado","Sin certificar")))))</f>
        <v>Mayormente comprometido</v>
      </c>
      <c r="R61" s="19" t="str">
        <f>IF(Q61="Sin certificar","Disponible",IF(Q61="Solo certificado","Posible",IF(Q61="Parcialmente comprometido","Parcial",IF(Q61="Mayormente comprometido","Difícil",IF(Q61="Ejecutado","No usar","Sin PIM")))))</f>
        <v>Difícil</v>
      </c>
      <c r="S61" s="22">
        <f>IF(OR(H61&lt;=0,Q61="Ejecutado"),0,MAX(0,H61-J61))</f>
        <v>2986.87</v>
      </c>
      <c r="T61" s="21">
        <v>0</v>
      </c>
      <c r="U61" s="21">
        <v>7434</v>
      </c>
      <c r="V61" s="21">
        <v>0</v>
      </c>
      <c r="W61" s="21">
        <v>0</v>
      </c>
      <c r="X61" s="24" t="s">
        <v>59</v>
      </c>
      <c r="Y61" s="24" t="s">
        <v>59</v>
      </c>
      <c r="Z61" s="24" t="s">
        <v>59</v>
      </c>
      <c r="AA61" s="24" t="s">
        <v>59</v>
      </c>
      <c r="AB61" s="24" t="s">
        <v>59</v>
      </c>
      <c r="AC61" s="24" t="s">
        <v>59</v>
      </c>
      <c r="AD61" s="19" t="s">
        <v>64</v>
      </c>
      <c r="AE61" s="19" t="s">
        <v>60</v>
      </c>
    </row>
    <row r="62" spans="1:31">
      <c r="A62" s="19" t="s">
        <v>52</v>
      </c>
      <c r="B62" s="19" t="s">
        <v>53</v>
      </c>
      <c r="C62" s="19" t="s">
        <v>160</v>
      </c>
      <c r="D62" s="19" t="s">
        <v>166</v>
      </c>
      <c r="E62" s="19" t="s">
        <v>188</v>
      </c>
      <c r="F62" s="19" t="s">
        <v>197</v>
      </c>
      <c r="G62" s="20" t="s">
        <v>190</v>
      </c>
      <c r="H62" s="21">
        <v>3693</v>
      </c>
      <c r="I62" s="21">
        <v>2850</v>
      </c>
      <c r="J62" s="21">
        <v>2850</v>
      </c>
      <c r="K62" s="21">
        <v>0</v>
      </c>
      <c r="L62" s="22">
        <f>H62-I62</f>
        <v>843.0</v>
      </c>
      <c r="M62" s="22">
        <f>I62-J62</f>
        <v>0.0</v>
      </c>
      <c r="N62" s="22">
        <f>H62-K62</f>
        <v>3693.0</v>
      </c>
      <c r="O62" s="23">
        <f>IF(H62&gt;0,K62/H62,0)</f>
        <v>0.0</v>
      </c>
      <c r="P62" s="23">
        <f>IF(H62&gt;0,J62/H62,0)</f>
        <v>0.7717303005686433</v>
      </c>
      <c r="Q62" s="19" t="str">
        <f>IF(H62&lt;=0,"Sin PIM",IF(K62/H62&gt;=Config!$B$5,"Ejecutado",IF(J62/H62&gt;=Config!$B$6,"Mayormente comprometido",IF(J62&gt;0.005,"Parcialmente comprometido",IF(I62&gt;0.005,"Solo certificado","Sin certificar")))))</f>
        <v>Mayormente comprometido</v>
      </c>
      <c r="R62" s="19" t="str">
        <f>IF(Q62="Sin certificar","Disponible",IF(Q62="Solo certificado","Posible",IF(Q62="Parcialmente comprometido","Parcial",IF(Q62="Mayormente comprometido","Difícil",IF(Q62="Ejecutado","No usar","Sin PIM")))))</f>
        <v>Difícil</v>
      </c>
      <c r="S62" s="22">
        <f>IF(OR(H62&lt;=0,Q62="Ejecutado"),0,MAX(0,H62-J62))</f>
        <v>843.0</v>
      </c>
      <c r="T62" s="21">
        <v>0</v>
      </c>
      <c r="U62" s="21">
        <v>3693</v>
      </c>
      <c r="V62" s="21">
        <v>0</v>
      </c>
      <c r="W62" s="21">
        <v>0</v>
      </c>
      <c r="X62" s="24" t="s">
        <v>59</v>
      </c>
      <c r="Y62" s="24" t="s">
        <v>59</v>
      </c>
      <c r="Z62" s="24" t="s">
        <v>59</v>
      </c>
      <c r="AA62" s="24" t="s">
        <v>59</v>
      </c>
      <c r="AB62" s="24" t="s">
        <v>59</v>
      </c>
      <c r="AC62" s="24" t="s">
        <v>59</v>
      </c>
      <c r="AD62" s="19" t="s">
        <v>64</v>
      </c>
      <c r="AE62" s="19" t="s">
        <v>60</v>
      </c>
    </row>
    <row r="63" spans="1:31">
      <c r="A63" s="19" t="s">
        <v>52</v>
      </c>
      <c r="B63" s="19" t="s">
        <v>53</v>
      </c>
      <c r="C63" s="19" t="s">
        <v>160</v>
      </c>
      <c r="D63" s="19" t="s">
        <v>153</v>
      </c>
      <c r="E63" s="19" t="s">
        <v>161</v>
      </c>
      <c r="F63" s="19" t="s">
        <v>198</v>
      </c>
      <c r="G63" s="20" t="s">
        <v>163</v>
      </c>
      <c r="H63" s="21">
        <v>3150</v>
      </c>
      <c r="I63" s="21">
        <v>2929</v>
      </c>
      <c r="J63" s="21">
        <v>2125</v>
      </c>
      <c r="K63" s="21">
        <v>2125</v>
      </c>
      <c r="L63" s="22">
        <f>H63-I63</f>
        <v>221.0</v>
      </c>
      <c r="M63" s="22">
        <f>I63-J63</f>
        <v>804.0</v>
      </c>
      <c r="N63" s="22">
        <f>H63-K63</f>
        <v>1025.0</v>
      </c>
      <c r="O63" s="23">
        <f>IF(H63&gt;0,K63/H63,0)</f>
        <v>0.6746031746031746</v>
      </c>
      <c r="P63" s="23">
        <f>IF(H63&gt;0,J63/H63,0)</f>
        <v>0.6746031746031746</v>
      </c>
      <c r="Q63" s="19" t="str">
        <f>IF(H63&lt;=0,"Sin PIM",IF(K63/H63&gt;=Config!$B$5,"Ejecutado",IF(J63/H63&gt;=Config!$B$6,"Mayormente comprometido",IF(J63&gt;0.005,"Parcialmente comprometido",IF(I63&gt;0.005,"Solo certificado","Sin certificar")))))</f>
        <v>Mayormente comprometido</v>
      </c>
      <c r="R63" s="19" t="str">
        <f>IF(Q63="Sin certificar","Disponible",IF(Q63="Solo certificado","Posible",IF(Q63="Parcialmente comprometido","Parcial",IF(Q63="Mayormente comprometido","Difícil",IF(Q63="Ejecutado","No usar","Sin PIM")))))</f>
        <v>Difícil</v>
      </c>
      <c r="S63" s="22">
        <f>IF(OR(H63&lt;=0,Q63="Ejecutado"),0,MAX(0,H63-J63))</f>
        <v>1025.0</v>
      </c>
      <c r="T63" s="21">
        <v>0</v>
      </c>
      <c r="U63" s="21">
        <v>3150</v>
      </c>
      <c r="V63" s="21">
        <v>0</v>
      </c>
      <c r="W63" s="21">
        <v>0</v>
      </c>
      <c r="X63" s="24" t="s">
        <v>59</v>
      </c>
      <c r="Y63" s="24" t="s">
        <v>59</v>
      </c>
      <c r="Z63" s="24" t="s">
        <v>59</v>
      </c>
      <c r="AA63" s="24" t="s">
        <v>59</v>
      </c>
      <c r="AB63" s="24" t="s">
        <v>59</v>
      </c>
      <c r="AC63" s="24" t="s">
        <v>59</v>
      </c>
      <c r="AD63" s="19" t="s">
        <v>64</v>
      </c>
      <c r="AE63" s="19" t="s">
        <v>60</v>
      </c>
    </row>
    <row r="64" spans="1:31">
      <c r="A64" s="19" t="s">
        <v>52</v>
      </c>
      <c r="B64" s="19" t="s">
        <v>53</v>
      </c>
      <c r="C64" s="19" t="s">
        <v>160</v>
      </c>
      <c r="D64" s="19" t="s">
        <v>166</v>
      </c>
      <c r="E64" s="19" t="s">
        <v>170</v>
      </c>
      <c r="F64" s="19" t="s">
        <v>199</v>
      </c>
      <c r="G64" s="20" t="s">
        <v>172</v>
      </c>
      <c r="H64" s="21">
        <v>1058</v>
      </c>
      <c r="I64" s="21">
        <v>0</v>
      </c>
      <c r="J64" s="21">
        <v>0</v>
      </c>
      <c r="K64" s="21">
        <v>0</v>
      </c>
      <c r="L64" s="22">
        <f>H64-I64</f>
        <v>1058.0</v>
      </c>
      <c r="M64" s="22">
        <f>I64-J64</f>
        <v>0.0</v>
      </c>
      <c r="N64" s="22">
        <f>H64-K64</f>
        <v>1058.0</v>
      </c>
      <c r="O64" s="23">
        <f>IF(H64&gt;0,K64/H64,0)</f>
        <v>0.0</v>
      </c>
      <c r="P64" s="23">
        <f>IF(H64&gt;0,J64/H64,0)</f>
        <v>0.0</v>
      </c>
      <c r="Q64" s="19" t="str">
        <f>IF(H64&lt;=0,"Sin PIM",IF(K64/H64&gt;=Config!$B$5,"Ejecutado",IF(J64/H64&gt;=Config!$B$6,"Mayormente comprometido",IF(J64&gt;0.005,"Parcialmente comprometido",IF(I64&gt;0.005,"Solo certificado","Sin certificar")))))</f>
        <v>Sin certificar</v>
      </c>
      <c r="R64" s="19" t="str">
        <f>IF(Q64="Sin certificar","Disponible",IF(Q64="Solo certificado","Posible",IF(Q64="Parcialmente comprometido","Parcial",IF(Q64="Mayormente comprometido","Difícil",IF(Q64="Ejecutado","No usar","Sin PIM")))))</f>
        <v>Disponible</v>
      </c>
      <c r="S64" s="22">
        <f>IF(OR(H64&lt;=0,Q64="Ejecutado"),0,MAX(0,H64-J64))</f>
        <v>1058.0</v>
      </c>
      <c r="T64" s="21">
        <v>0</v>
      </c>
      <c r="U64" s="21">
        <v>1058</v>
      </c>
      <c r="V64" s="21">
        <v>0</v>
      </c>
      <c r="W64" s="21">
        <v>0</v>
      </c>
      <c r="X64" s="24" t="s">
        <v>59</v>
      </c>
      <c r="Y64" s="24" t="s">
        <v>59</v>
      </c>
      <c r="Z64" s="24" t="s">
        <v>59</v>
      </c>
      <c r="AA64" s="24" t="s">
        <v>59</v>
      </c>
      <c r="AB64" s="24" t="s">
        <v>59</v>
      </c>
      <c r="AC64" s="24" t="s">
        <v>59</v>
      </c>
      <c r="AD64" s="19" t="s">
        <v>64</v>
      </c>
      <c r="AE64" s="19" t="s">
        <v>60</v>
      </c>
    </row>
    <row r="65" spans="1:31">
      <c r="A65" s="19" t="s">
        <v>52</v>
      </c>
      <c r="B65" s="19" t="s">
        <v>53</v>
      </c>
      <c r="C65" s="19" t="s">
        <v>200</v>
      </c>
      <c r="D65" s="19" t="s">
        <v>55</v>
      </c>
      <c r="E65" s="19" t="s">
        <v>65</v>
      </c>
      <c r="F65" s="19" t="s">
        <v>201</v>
      </c>
      <c r="G65" s="20" t="s">
        <v>69</v>
      </c>
      <c r="H65" s="21">
        <v>1324126</v>
      </c>
      <c r="I65" s="21">
        <v>1238109.18</v>
      </c>
      <c r="J65" s="21">
        <v>1231164.49</v>
      </c>
      <c r="K65" s="21">
        <v>971047.2500000003</v>
      </c>
      <c r="L65" s="22">
        <f>H65-I65</f>
        <v>86016.81999999983</v>
      </c>
      <c r="M65" s="22">
        <f>I65-J65</f>
        <v>6944.689999999944</v>
      </c>
      <c r="N65" s="22">
        <f>H65-K65</f>
        <v>353078.74999999965</v>
      </c>
      <c r="O65" s="23">
        <f>IF(H65&gt;0,K65/H65,0)</f>
        <v>0.7333495830457225</v>
      </c>
      <c r="P65" s="23">
        <f>IF(H65&gt;0,J65/H65,0)</f>
        <v>0.9297940603839817</v>
      </c>
      <c r="Q65" s="19" t="str">
        <f>IF(H65&lt;=0,"Sin PIM",IF(K65/H65&gt;=Config!$B$5,"Ejecutado",IF(J65/H65&gt;=Config!$B$6,"Mayormente comprometido",IF(J65&gt;0.005,"Parcialmente comprometido",IF(I65&gt;0.005,"Solo certificado","Sin certificar")))))</f>
        <v>Mayormente comprometido</v>
      </c>
      <c r="R65" s="19" t="str">
        <f>IF(Q65="Sin certificar","Disponible",IF(Q65="Solo certificado","Posible",IF(Q65="Parcialmente comprometido","Parcial",IF(Q65="Mayormente comprometido","Difícil",IF(Q65="Ejecutado","No usar","Sin PIM")))))</f>
        <v>Difícil</v>
      </c>
      <c r="S65" s="22">
        <f>IF(OR(H65&lt;=0,Q65="Ejecutado"),0,MAX(0,H65-J65))</f>
        <v>92961.50999999978</v>
      </c>
      <c r="T65" s="21">
        <v>1069594</v>
      </c>
      <c r="U65" s="21">
        <v>251532</v>
      </c>
      <c r="V65" s="21">
        <v>0</v>
      </c>
      <c r="W65" s="21">
        <v>3000</v>
      </c>
      <c r="X65" s="24" t="s">
        <v>59</v>
      </c>
      <c r="Y65" s="24" t="s">
        <v>59</v>
      </c>
      <c r="Z65" s="24" t="s">
        <v>59</v>
      </c>
      <c r="AA65" s="24" t="s">
        <v>59</v>
      </c>
      <c r="AB65" s="24" t="s">
        <v>59</v>
      </c>
      <c r="AC65" s="24" t="s">
        <v>59</v>
      </c>
      <c r="AD65" s="19" t="s">
        <v>64</v>
      </c>
      <c r="AE65" s="19" t="s">
        <v>60</v>
      </c>
    </row>
    <row r="66" spans="1:31">
      <c r="A66" s="19" t="s">
        <v>52</v>
      </c>
      <c r="B66" s="19" t="s">
        <v>53</v>
      </c>
      <c r="C66" s="19" t="s">
        <v>200</v>
      </c>
      <c r="D66" s="19" t="s">
        <v>55</v>
      </c>
      <c r="E66" s="19" t="s">
        <v>61</v>
      </c>
      <c r="F66" s="19" t="s">
        <v>202</v>
      </c>
      <c r="G66" s="20" t="s">
        <v>203</v>
      </c>
      <c r="H66" s="21">
        <v>237909</v>
      </c>
      <c r="I66" s="21">
        <v>200907.8</v>
      </c>
      <c r="J66" s="21">
        <v>192371.8</v>
      </c>
      <c r="K66" s="21">
        <v>133796</v>
      </c>
      <c r="L66" s="22">
        <f>H66-I66</f>
        <v>37001.20000000001</v>
      </c>
      <c r="M66" s="22">
        <f>I66-J66</f>
        <v>8536.0</v>
      </c>
      <c r="N66" s="22">
        <f>H66-K66</f>
        <v>104113.0</v>
      </c>
      <c r="O66" s="23">
        <f>IF(H66&gt;0,K66/H66,0)</f>
        <v>0.5623830960577364</v>
      </c>
      <c r="P66" s="23">
        <f>IF(H66&gt;0,J66/H66,0)</f>
        <v>0.8085940422598556</v>
      </c>
      <c r="Q66" s="19" t="str">
        <f>IF(H66&lt;=0,"Sin PIM",IF(K66/H66&gt;=Config!$B$5,"Ejecutado",IF(J66/H66&gt;=Config!$B$6,"Mayormente comprometido",IF(J66&gt;0.005,"Parcialmente comprometido",IF(I66&gt;0.005,"Solo certificado","Sin certificar")))))</f>
        <v>Mayormente comprometido</v>
      </c>
      <c r="R66" s="19" t="str">
        <f>IF(Q66="Sin certificar","Disponible",IF(Q66="Solo certificado","Posible",IF(Q66="Parcialmente comprometido","Parcial",IF(Q66="Mayormente comprometido","Difícil",IF(Q66="Ejecutado","No usar","Sin PIM")))))</f>
        <v>Difícil</v>
      </c>
      <c r="S66" s="22">
        <f>IF(OR(H66&lt;=0,Q66="Ejecutado"),0,MAX(0,H66-J66))</f>
        <v>45537.20000000001</v>
      </c>
      <c r="T66" s="21">
        <v>0</v>
      </c>
      <c r="U66" s="21">
        <v>237909</v>
      </c>
      <c r="V66" s="21">
        <v>0</v>
      </c>
      <c r="W66" s="21">
        <v>0</v>
      </c>
      <c r="X66" s="24" t="s">
        <v>59</v>
      </c>
      <c r="Y66" s="24" t="s">
        <v>59</v>
      </c>
      <c r="Z66" s="24" t="s">
        <v>59</v>
      </c>
      <c r="AA66" s="24" t="s">
        <v>59</v>
      </c>
      <c r="AB66" s="24" t="s">
        <v>59</v>
      </c>
      <c r="AC66" s="24" t="s">
        <v>59</v>
      </c>
      <c r="AD66" s="19" t="s">
        <v>64</v>
      </c>
      <c r="AE66" s="19" t="s">
        <v>60</v>
      </c>
    </row>
    <row r="67" spans="1:31">
      <c r="A67" s="19" t="s">
        <v>52</v>
      </c>
      <c r="B67" s="19" t="s">
        <v>53</v>
      </c>
      <c r="C67" s="19" t="s">
        <v>204</v>
      </c>
      <c r="D67" s="19" t="s">
        <v>205</v>
      </c>
      <c r="E67" s="19" t="s">
        <v>206</v>
      </c>
      <c r="F67" s="19" t="s">
        <v>207</v>
      </c>
      <c r="G67" s="20" t="s">
        <v>208</v>
      </c>
      <c r="H67" s="21">
        <v>493043</v>
      </c>
      <c r="I67" s="21">
        <v>436035.75</v>
      </c>
      <c r="J67" s="21">
        <v>44160</v>
      </c>
      <c r="K67" s="21">
        <v>23700</v>
      </c>
      <c r="L67" s="22">
        <f>H67-I67</f>
        <v>57007.25</v>
      </c>
      <c r="M67" s="22">
        <f>I67-J67</f>
        <v>391875.75</v>
      </c>
      <c r="N67" s="22">
        <f>H67-K67</f>
        <v>469343.0</v>
      </c>
      <c r="O67" s="23">
        <f>IF(H67&gt;0,K67/H67,0)</f>
        <v>0.04806882969639565</v>
      </c>
      <c r="P67" s="23">
        <f>IF(H67&gt;0,J67/H67,0)</f>
        <v>0.08956622444695493</v>
      </c>
      <c r="Q67" s="19" t="str">
        <f>IF(H67&lt;=0,"Sin PIM",IF(K67/H67&gt;=Config!$B$5,"Ejecutado",IF(J67/H67&gt;=Config!$B$6,"Mayormente comprometido",IF(J67&gt;0.005,"Parcialmente comprometido",IF(I67&gt;0.005,"Solo certificado","Sin certificar")))))</f>
        <v>Parcialmente comprometido</v>
      </c>
      <c r="R67" s="19" t="str">
        <f>IF(Q67="Sin certificar","Disponible",IF(Q67="Solo certificado","Posible",IF(Q67="Parcialmente comprometido","Parcial",IF(Q67="Mayormente comprometido","Difícil",IF(Q67="Ejecutado","No usar","Sin PIM")))))</f>
        <v>Parcial</v>
      </c>
      <c r="S67" s="22">
        <f>IF(OR(H67&lt;=0,Q67="Ejecutado"),0,MAX(0,H67-J67))</f>
        <v>448883.0</v>
      </c>
      <c r="T67" s="21">
        <v>0</v>
      </c>
      <c r="U67" s="21">
        <v>493043</v>
      </c>
      <c r="V67" s="21">
        <v>0</v>
      </c>
      <c r="W67" s="21">
        <v>0</v>
      </c>
      <c r="X67" s="24" t="s">
        <v>59</v>
      </c>
      <c r="Y67" s="24" t="s">
        <v>59</v>
      </c>
      <c r="Z67" s="24" t="s">
        <v>59</v>
      </c>
      <c r="AA67" s="24" t="s">
        <v>59</v>
      </c>
      <c r="AB67" s="24" t="s">
        <v>59</v>
      </c>
      <c r="AC67" s="24" t="s">
        <v>59</v>
      </c>
      <c r="AD67" s="19" t="s">
        <v>64</v>
      </c>
      <c r="AE67" s="19" t="s">
        <v>60</v>
      </c>
    </row>
    <row r="68" spans="1:31">
      <c r="A68" s="19" t="s">
        <v>52</v>
      </c>
      <c r="B68" s="19" t="s">
        <v>53</v>
      </c>
      <c r="C68" s="19" t="s">
        <v>209</v>
      </c>
      <c r="D68" s="19" t="s">
        <v>55</v>
      </c>
      <c r="E68" s="19" t="s">
        <v>65</v>
      </c>
      <c r="F68" s="19" t="s">
        <v>210</v>
      </c>
      <c r="G68" s="20" t="s">
        <v>69</v>
      </c>
      <c r="H68" s="21">
        <v>2489068</v>
      </c>
      <c r="I68" s="21">
        <v>1912904.41</v>
      </c>
      <c r="J68" s="21">
        <v>1902482.44</v>
      </c>
      <c r="K68" s="21">
        <v>1352375.34</v>
      </c>
      <c r="L68" s="22">
        <f>H68-I68</f>
        <v>576163.5899999999</v>
      </c>
      <c r="M68" s="22">
        <f>I68-J68</f>
        <v>10421.970000000205</v>
      </c>
      <c r="N68" s="22">
        <f>H68-K68</f>
        <v>1136692.66</v>
      </c>
      <c r="O68" s="23">
        <f>IF(H68&gt;0,K68/H68,0)</f>
        <v>0.5433259918973689</v>
      </c>
      <c r="P68" s="23">
        <f>IF(H68&gt;0,J68/H68,0)</f>
        <v>0.7643352612303078</v>
      </c>
      <c r="Q68" s="19" t="str">
        <f>IF(H68&lt;=0,"Sin PIM",IF(K68/H68&gt;=Config!$B$5,"Ejecutado",IF(J68/H68&gt;=Config!$B$6,"Mayormente comprometido",IF(J68&gt;0.005,"Parcialmente comprometido",IF(I68&gt;0.005,"Solo certificado","Sin certificar")))))</f>
        <v>Mayormente comprometido</v>
      </c>
      <c r="R68" s="19" t="str">
        <f>IF(Q68="Sin certificar","Disponible",IF(Q68="Solo certificado","Posible",IF(Q68="Parcialmente comprometido","Parcial",IF(Q68="Mayormente comprometido","Difícil",IF(Q68="Ejecutado","No usar","Sin PIM")))))</f>
        <v>Difícil</v>
      </c>
      <c r="S68" s="22">
        <f>IF(OR(H68&lt;=0,Q68="Ejecutado"),0,MAX(0,H68-J68))</f>
        <v>586585.56</v>
      </c>
      <c r="T68" s="21">
        <v>239760</v>
      </c>
      <c r="U68" s="21">
        <v>2219308</v>
      </c>
      <c r="V68" s="21">
        <v>0</v>
      </c>
      <c r="W68" s="21">
        <v>30000</v>
      </c>
      <c r="X68" s="24" t="s">
        <v>59</v>
      </c>
      <c r="Y68" s="24" t="s">
        <v>59</v>
      </c>
      <c r="Z68" s="24" t="s">
        <v>59</v>
      </c>
      <c r="AA68" s="24" t="s">
        <v>59</v>
      </c>
      <c r="AB68" s="24" t="s">
        <v>59</v>
      </c>
      <c r="AC68" s="24" t="s">
        <v>59</v>
      </c>
      <c r="AD68" s="19" t="s">
        <v>64</v>
      </c>
      <c r="AE68" s="19" t="s">
        <v>60</v>
      </c>
    </row>
    <row r="69" spans="1:31">
      <c r="A69" s="19" t="s">
        <v>52</v>
      </c>
      <c r="B69" s="19" t="s">
        <v>53</v>
      </c>
      <c r="C69" s="19" t="s">
        <v>211</v>
      </c>
      <c r="D69" s="19" t="s">
        <v>55</v>
      </c>
      <c r="E69" s="19" t="s">
        <v>212</v>
      </c>
      <c r="F69" s="19" t="s">
        <v>213</v>
      </c>
      <c r="G69" s="20" t="s">
        <v>214</v>
      </c>
      <c r="H69" s="21">
        <v>435935</v>
      </c>
      <c r="I69" s="21">
        <v>0</v>
      </c>
      <c r="J69" s="21">
        <v>0</v>
      </c>
      <c r="K69" s="21">
        <v>0</v>
      </c>
      <c r="L69" s="22">
        <f>H69-I69</f>
        <v>435935.0</v>
      </c>
      <c r="M69" s="22">
        <f>I69-J69</f>
        <v>0.0</v>
      </c>
      <c r="N69" s="22">
        <f>H69-K69</f>
        <v>435935.0</v>
      </c>
      <c r="O69" s="23">
        <f>IF(H69&gt;0,K69/H69,0)</f>
        <v>0.0</v>
      </c>
      <c r="P69" s="23">
        <f>IF(H69&gt;0,J69/H69,0)</f>
        <v>0.0</v>
      </c>
      <c r="Q69" s="19" t="str">
        <f>IF(H69&lt;=0,"Sin PIM",IF(K69/H69&gt;=Config!$B$5,"Ejecutado",IF(J69/H69&gt;=Config!$B$6,"Mayormente comprometido",IF(J69&gt;0.005,"Parcialmente comprometido",IF(I69&gt;0.005,"Solo certificado","Sin certificar")))))</f>
        <v>Sin certificar</v>
      </c>
      <c r="R69" s="19" t="str">
        <f>IF(Q69="Sin certificar","Disponible",IF(Q69="Solo certificado","Posible",IF(Q69="Parcialmente comprometido","Parcial",IF(Q69="Mayormente comprometido","Difícil",IF(Q69="Ejecutado","No usar","Sin PIM")))))</f>
        <v>Disponible</v>
      </c>
      <c r="S69" s="22">
        <f>IF(OR(H69&lt;=0,Q69="Ejecutado"),0,MAX(0,H69-J69))</f>
        <v>435935.0</v>
      </c>
      <c r="T69" s="21">
        <v>0</v>
      </c>
      <c r="U69" s="21">
        <v>435935</v>
      </c>
      <c r="V69" s="21">
        <v>0</v>
      </c>
      <c r="W69" s="21">
        <v>0</v>
      </c>
      <c r="X69" s="24" t="s">
        <v>59</v>
      </c>
      <c r="Y69" s="24" t="s">
        <v>59</v>
      </c>
      <c r="Z69" s="24" t="s">
        <v>59</v>
      </c>
      <c r="AA69" s="24" t="s">
        <v>59</v>
      </c>
      <c r="AB69" s="24" t="s">
        <v>59</v>
      </c>
      <c r="AC69" s="24" t="s">
        <v>59</v>
      </c>
      <c r="AD69" s="19" t="s">
        <v>64</v>
      </c>
      <c r="AE69" s="19" t="s">
        <v>60</v>
      </c>
    </row>
    <row r="70" spans="1:31">
      <c r="A70" s="19" t="s">
        <v>52</v>
      </c>
      <c r="B70" s="19" t="s">
        <v>53</v>
      </c>
      <c r="C70" s="19" t="s">
        <v>215</v>
      </c>
      <c r="D70" s="19" t="s">
        <v>216</v>
      </c>
      <c r="E70" s="19" t="s">
        <v>217</v>
      </c>
      <c r="F70" s="19" t="s">
        <v>218</v>
      </c>
      <c r="G70" s="20" t="s">
        <v>219</v>
      </c>
      <c r="H70" s="21">
        <v>17500</v>
      </c>
      <c r="I70" s="21">
        <v>0</v>
      </c>
      <c r="J70" s="21">
        <v>0</v>
      </c>
      <c r="K70" s="21">
        <v>0</v>
      </c>
      <c r="L70" s="22">
        <f>H70-I70</f>
        <v>17500.0</v>
      </c>
      <c r="M70" s="22">
        <f>I70-J70</f>
        <v>0.0</v>
      </c>
      <c r="N70" s="22">
        <f>H70-K70</f>
        <v>17500.0</v>
      </c>
      <c r="O70" s="23">
        <f>IF(H70&gt;0,K70/H70,0)</f>
        <v>0.0</v>
      </c>
      <c r="P70" s="23">
        <f>IF(H70&gt;0,J70/H70,0)</f>
        <v>0.0</v>
      </c>
      <c r="Q70" s="19" t="str">
        <f>IF(H70&lt;=0,"Sin PIM",IF(K70/H70&gt;=Config!$B$5,"Ejecutado",IF(J70/H70&gt;=Config!$B$6,"Mayormente comprometido",IF(J70&gt;0.005,"Parcialmente comprometido",IF(I70&gt;0.005,"Solo certificado","Sin certificar")))))</f>
        <v>Sin certificar</v>
      </c>
      <c r="R70" s="19" t="str">
        <f>IF(Q70="Sin certificar","Disponible",IF(Q70="Solo certificado","Posible",IF(Q70="Parcialmente comprometido","Parcial",IF(Q70="Mayormente comprometido","Difícil",IF(Q70="Ejecutado","No usar","Sin PIM")))))</f>
        <v>Disponible</v>
      </c>
      <c r="S70" s="22">
        <f>IF(OR(H70&lt;=0,Q70="Ejecutado"),0,MAX(0,H70-J70))</f>
        <v>17500.0</v>
      </c>
      <c r="T70" s="21">
        <v>0</v>
      </c>
      <c r="U70" s="21">
        <v>17500</v>
      </c>
      <c r="V70" s="21">
        <v>0</v>
      </c>
      <c r="W70" s="21">
        <v>0</v>
      </c>
      <c r="X70" s="24" t="s">
        <v>59</v>
      </c>
      <c r="Y70" s="24" t="s">
        <v>59</v>
      </c>
      <c r="Z70" s="24" t="s">
        <v>59</v>
      </c>
      <c r="AA70" s="24" t="s">
        <v>59</v>
      </c>
      <c r="AB70" s="24" t="s">
        <v>59</v>
      </c>
      <c r="AC70" s="24" t="s">
        <v>59</v>
      </c>
      <c r="AD70" s="19" t="s">
        <v>60</v>
      </c>
      <c r="AE70" s="19" t="s">
        <v>60</v>
      </c>
    </row>
    <row r="71" spans="1:31">
      <c r="A71" s="19" t="s">
        <v>52</v>
      </c>
      <c r="B71" s="19" t="s">
        <v>53</v>
      </c>
      <c r="C71" s="19" t="s">
        <v>220</v>
      </c>
      <c r="D71" s="19" t="s">
        <v>221</v>
      </c>
      <c r="E71" s="19" t="s">
        <v>222</v>
      </c>
      <c r="F71" s="19" t="s">
        <v>223</v>
      </c>
      <c r="G71" s="20" t="s">
        <v>224</v>
      </c>
      <c r="H71" s="21">
        <v>685373</v>
      </c>
      <c r="I71" s="21">
        <v>621850</v>
      </c>
      <c r="J71" s="21">
        <v>627850</v>
      </c>
      <c r="K71" s="21">
        <v>108850</v>
      </c>
      <c r="L71" s="22">
        <f>H71-I71</f>
        <v>63523.0</v>
      </c>
      <c r="M71" s="22">
        <f>I71-J71</f>
        <v>-6000.0</v>
      </c>
      <c r="N71" s="22">
        <f>H71-K71</f>
        <v>576523.0</v>
      </c>
      <c r="O71" s="23">
        <f>IF(H71&gt;0,K71/H71,0)</f>
        <v>0.15881862868832008</v>
      </c>
      <c r="P71" s="23">
        <f>IF(H71&gt;0,J71/H71,0)</f>
        <v>0.9160705192646924</v>
      </c>
      <c r="Q71" s="19" t="str">
        <f>IF(H71&lt;=0,"Sin PIM",IF(K71/H71&gt;=Config!$B$5,"Ejecutado",IF(J71/H71&gt;=Config!$B$6,"Mayormente comprometido",IF(J71&gt;0.005,"Parcialmente comprometido",IF(I71&gt;0.005,"Solo certificado","Sin certificar")))))</f>
        <v>Mayormente comprometido</v>
      </c>
      <c r="R71" s="19" t="str">
        <f>IF(Q71="Sin certificar","Disponible",IF(Q71="Solo certificado","Posible",IF(Q71="Parcialmente comprometido","Parcial",IF(Q71="Mayormente comprometido","Difícil",IF(Q71="Ejecutado","No usar","Sin PIM")))))</f>
        <v>Difícil</v>
      </c>
      <c r="S71" s="22">
        <f>IF(OR(H71&lt;=0,Q71="Ejecutado"),0,MAX(0,H71-J71))</f>
        <v>57523.0</v>
      </c>
      <c r="T71" s="21">
        <v>0</v>
      </c>
      <c r="U71" s="21">
        <v>204501</v>
      </c>
      <c r="V71" s="21">
        <v>0</v>
      </c>
      <c r="W71" s="21">
        <v>480872</v>
      </c>
      <c r="X71" s="24" t="s">
        <v>59</v>
      </c>
      <c r="Y71" s="24" t="s">
        <v>59</v>
      </c>
      <c r="Z71" s="24" t="s">
        <v>59</v>
      </c>
      <c r="AA71" s="24" t="s">
        <v>59</v>
      </c>
      <c r="AB71" s="24" t="s">
        <v>59</v>
      </c>
      <c r="AC71" s="24" t="s">
        <v>59</v>
      </c>
      <c r="AD71" s="19" t="s">
        <v>64</v>
      </c>
      <c r="AE71" s="19" t="s">
        <v>60</v>
      </c>
    </row>
    <row r="72" spans="1:31">
      <c r="A72" s="19" t="s">
        <v>52</v>
      </c>
      <c r="B72" s="19" t="s">
        <v>53</v>
      </c>
      <c r="C72" s="19" t="s">
        <v>220</v>
      </c>
      <c r="D72" s="19" t="s">
        <v>221</v>
      </c>
      <c r="E72" s="19" t="s">
        <v>225</v>
      </c>
      <c r="F72" s="19" t="s">
        <v>226</v>
      </c>
      <c r="G72" s="20" t="s">
        <v>227</v>
      </c>
      <c r="H72" s="21">
        <v>483570</v>
      </c>
      <c r="I72" s="21">
        <v>446040</v>
      </c>
      <c r="J72" s="21">
        <v>446040</v>
      </c>
      <c r="K72" s="21">
        <v>89208</v>
      </c>
      <c r="L72" s="22">
        <f>H72-I72</f>
        <v>37530.0</v>
      </c>
      <c r="M72" s="22">
        <f>I72-J72</f>
        <v>0.0</v>
      </c>
      <c r="N72" s="22">
        <f>H72-K72</f>
        <v>394362.0</v>
      </c>
      <c r="O72" s="23">
        <f>IF(H72&gt;0,K72/H72,0)</f>
        <v>0.18447794528196537</v>
      </c>
      <c r="P72" s="23">
        <f>IF(H72&gt;0,J72/H72,0)</f>
        <v>0.9223897264098269</v>
      </c>
      <c r="Q72" s="19" t="str">
        <f>IF(H72&lt;=0,"Sin PIM",IF(K72/H72&gt;=Config!$B$5,"Ejecutado",IF(J72/H72&gt;=Config!$B$6,"Mayormente comprometido",IF(J72&gt;0.005,"Parcialmente comprometido",IF(I72&gt;0.005,"Solo certificado","Sin certificar")))))</f>
        <v>Mayormente comprometido</v>
      </c>
      <c r="R72" s="19" t="str">
        <f>IF(Q72="Sin certificar","Disponible",IF(Q72="Solo certificado","Posible",IF(Q72="Parcialmente comprometido","Parcial",IF(Q72="Mayormente comprometido","Difícil",IF(Q72="Ejecutado","No usar","Sin PIM")))))</f>
        <v>Difícil</v>
      </c>
      <c r="S72" s="22">
        <f>IF(OR(H72&lt;=0,Q72="Ejecutado"),0,MAX(0,H72-J72))</f>
        <v>37530.0</v>
      </c>
      <c r="T72" s="21">
        <v>0</v>
      </c>
      <c r="U72" s="21">
        <v>483570</v>
      </c>
      <c r="V72" s="21">
        <v>0</v>
      </c>
      <c r="W72" s="21">
        <v>0</v>
      </c>
      <c r="X72" s="24" t="s">
        <v>59</v>
      </c>
      <c r="Y72" s="24" t="s">
        <v>59</v>
      </c>
      <c r="Z72" s="24" t="s">
        <v>59</v>
      </c>
      <c r="AA72" s="24" t="s">
        <v>59</v>
      </c>
      <c r="AB72" s="24" t="s">
        <v>59</v>
      </c>
      <c r="AC72" s="24" t="s">
        <v>59</v>
      </c>
      <c r="AD72" s="19" t="s">
        <v>64</v>
      </c>
      <c r="AE72" s="19" t="s">
        <v>60</v>
      </c>
    </row>
    <row r="73" spans="1:31">
      <c r="A73" s="19" t="s">
        <v>52</v>
      </c>
      <c r="B73" s="19" t="s">
        <v>53</v>
      </c>
      <c r="C73" s="19" t="s">
        <v>220</v>
      </c>
      <c r="D73" s="19" t="s">
        <v>221</v>
      </c>
      <c r="E73" s="19" t="s">
        <v>228</v>
      </c>
      <c r="F73" s="19" t="s">
        <v>229</v>
      </c>
      <c r="G73" s="20" t="s">
        <v>230</v>
      </c>
      <c r="H73" s="21">
        <v>198613</v>
      </c>
      <c r="I73" s="21">
        <v>190176</v>
      </c>
      <c r="J73" s="21">
        <v>190176</v>
      </c>
      <c r="K73" s="21">
        <v>123000</v>
      </c>
      <c r="L73" s="22">
        <f>H73-I73</f>
        <v>8437.0</v>
      </c>
      <c r="M73" s="22">
        <f>I73-J73</f>
        <v>0.0</v>
      </c>
      <c r="N73" s="22">
        <f>H73-K73</f>
        <v>75613.0</v>
      </c>
      <c r="O73" s="23">
        <f>IF(H73&gt;0,K73/H73,0)</f>
        <v>0.6192948095039096</v>
      </c>
      <c r="P73" s="23">
        <f>IF(H73&gt;0,J73/H73,0)</f>
        <v>0.9575204040017522</v>
      </c>
      <c r="Q73" s="19" t="str">
        <f>IF(H73&lt;=0,"Sin PIM",IF(K73/H73&gt;=Config!$B$5,"Ejecutado",IF(J73/H73&gt;=Config!$B$6,"Mayormente comprometido",IF(J73&gt;0.005,"Parcialmente comprometido",IF(I73&gt;0.005,"Solo certificado","Sin certificar")))))</f>
        <v>Mayormente comprometido</v>
      </c>
      <c r="R73" s="19" t="str">
        <f>IF(Q73="Sin certificar","Disponible",IF(Q73="Solo certificado","Posible",IF(Q73="Parcialmente comprometido","Parcial",IF(Q73="Mayormente comprometido","Difícil",IF(Q73="Ejecutado","No usar","Sin PIM")))))</f>
        <v>Difícil</v>
      </c>
      <c r="S73" s="22">
        <f>IF(OR(H73&lt;=0,Q73="Ejecutado"),0,MAX(0,H73-J73))</f>
        <v>8437.0</v>
      </c>
      <c r="T73" s="21">
        <v>0</v>
      </c>
      <c r="U73" s="21">
        <v>198613</v>
      </c>
      <c r="V73" s="21">
        <v>0</v>
      </c>
      <c r="W73" s="21">
        <v>0</v>
      </c>
      <c r="X73" s="24" t="s">
        <v>59</v>
      </c>
      <c r="Y73" s="24" t="s">
        <v>59</v>
      </c>
      <c r="Z73" s="24" t="s">
        <v>59</v>
      </c>
      <c r="AA73" s="24" t="s">
        <v>59</v>
      </c>
      <c r="AB73" s="24" t="s">
        <v>59</v>
      </c>
      <c r="AC73" s="24" t="s">
        <v>59</v>
      </c>
      <c r="AD73" s="19" t="s">
        <v>64</v>
      </c>
      <c r="AE73" s="19" t="s">
        <v>60</v>
      </c>
    </row>
    <row r="74" spans="1:31">
      <c r="A74" s="19" t="s">
        <v>52</v>
      </c>
      <c r="B74" s="19" t="s">
        <v>53</v>
      </c>
      <c r="C74" s="19" t="s">
        <v>220</v>
      </c>
      <c r="D74" s="19" t="s">
        <v>221</v>
      </c>
      <c r="E74" s="19" t="s">
        <v>225</v>
      </c>
      <c r="F74" s="19" t="s">
        <v>231</v>
      </c>
      <c r="G74" s="20" t="s">
        <v>232</v>
      </c>
      <c r="H74" s="21">
        <v>148590</v>
      </c>
      <c r="I74" s="21">
        <v>134201.4</v>
      </c>
      <c r="J74" s="21">
        <v>134201.4</v>
      </c>
      <c r="K74" s="21">
        <v>26840.28</v>
      </c>
      <c r="L74" s="22">
        <f>H74-I74</f>
        <v>14388.600000000006</v>
      </c>
      <c r="M74" s="22">
        <f>I74-J74</f>
        <v>0.0</v>
      </c>
      <c r="N74" s="22">
        <f>H74-K74</f>
        <v>121749.72</v>
      </c>
      <c r="O74" s="23">
        <f>IF(H74&gt;0,K74/H74,0)</f>
        <v>0.1806331516252776</v>
      </c>
      <c r="P74" s="23">
        <f>IF(H74&gt;0,J74/H74,0)</f>
        <v>0.903165758126388</v>
      </c>
      <c r="Q74" s="19" t="str">
        <f>IF(H74&lt;=0,"Sin PIM",IF(K74/H74&gt;=Config!$B$5,"Ejecutado",IF(J74/H74&gt;=Config!$B$6,"Mayormente comprometido",IF(J74&gt;0.005,"Parcialmente comprometido",IF(I74&gt;0.005,"Solo certificado","Sin certificar")))))</f>
        <v>Mayormente comprometido</v>
      </c>
      <c r="R74" s="19" t="str">
        <f>IF(Q74="Sin certificar","Disponible",IF(Q74="Solo certificado","Posible",IF(Q74="Parcialmente comprometido","Parcial",IF(Q74="Mayormente comprometido","Difícil",IF(Q74="Ejecutado","No usar","Sin PIM")))))</f>
        <v>Difícil</v>
      </c>
      <c r="S74" s="22">
        <f>IF(OR(H74&lt;=0,Q74="Ejecutado"),0,MAX(0,H74-J74))</f>
        <v>14388.600000000006</v>
      </c>
      <c r="T74" s="21">
        <v>0</v>
      </c>
      <c r="U74" s="21">
        <v>148590</v>
      </c>
      <c r="V74" s="21">
        <v>0</v>
      </c>
      <c r="W74" s="21">
        <v>0</v>
      </c>
      <c r="X74" s="24" t="s">
        <v>59</v>
      </c>
      <c r="Y74" s="24" t="s">
        <v>59</v>
      </c>
      <c r="Z74" s="24" t="s">
        <v>59</v>
      </c>
      <c r="AA74" s="24" t="s">
        <v>59</v>
      </c>
      <c r="AB74" s="24" t="s">
        <v>59</v>
      </c>
      <c r="AC74" s="24" t="s">
        <v>59</v>
      </c>
      <c r="AD74" s="19" t="s">
        <v>64</v>
      </c>
      <c r="AE74" s="19" t="s">
        <v>60</v>
      </c>
    </row>
    <row r="75" spans="1:31">
      <c r="A75" s="19" t="s">
        <v>52</v>
      </c>
      <c r="B75" s="19" t="s">
        <v>53</v>
      </c>
      <c r="C75" s="19" t="s">
        <v>233</v>
      </c>
      <c r="D75" s="19" t="s">
        <v>234</v>
      </c>
      <c r="E75" s="19" t="s">
        <v>235</v>
      </c>
      <c r="F75" s="19" t="s">
        <v>236</v>
      </c>
      <c r="G75" s="20" t="s">
        <v>237</v>
      </c>
      <c r="H75" s="21">
        <v>295200</v>
      </c>
      <c r="I75" s="21">
        <v>295200</v>
      </c>
      <c r="J75" s="21">
        <v>0</v>
      </c>
      <c r="K75" s="21">
        <v>0</v>
      </c>
      <c r="L75" s="22">
        <f>H75-I75</f>
        <v>0.0</v>
      </c>
      <c r="M75" s="22">
        <f>I75-J75</f>
        <v>295200.0</v>
      </c>
      <c r="N75" s="22">
        <f>H75-K75</f>
        <v>295200.0</v>
      </c>
      <c r="O75" s="23">
        <f>IF(H75&gt;0,K75/H75,0)</f>
        <v>0.0</v>
      </c>
      <c r="P75" s="23">
        <f>IF(H75&gt;0,J75/H75,0)</f>
        <v>0.0</v>
      </c>
      <c r="Q75" s="19" t="str">
        <f>IF(H75&lt;=0,"Sin PIM",IF(K75/H75&gt;=Config!$B$5,"Ejecutado",IF(J75/H75&gt;=Config!$B$6,"Mayormente comprometido",IF(J75&gt;0.005,"Parcialmente comprometido",IF(I75&gt;0.005,"Solo certificado","Sin certificar")))))</f>
        <v>Solo certificado</v>
      </c>
      <c r="R75" s="19" t="str">
        <f>IF(Q75="Sin certificar","Disponible",IF(Q75="Solo certificado","Posible",IF(Q75="Parcialmente comprometido","Parcial",IF(Q75="Mayormente comprometido","Difícil",IF(Q75="Ejecutado","No usar","Sin PIM")))))</f>
        <v>Posible</v>
      </c>
      <c r="S75" s="22">
        <f>IF(OR(H75&lt;=0,Q75="Ejecutado"),0,MAX(0,H75-J75))</f>
        <v>295200.0</v>
      </c>
      <c r="T75" s="21">
        <v>0</v>
      </c>
      <c r="U75" s="21">
        <v>0</v>
      </c>
      <c r="V75" s="21">
        <v>0</v>
      </c>
      <c r="W75" s="21">
        <v>295200</v>
      </c>
      <c r="X75" s="24" t="s">
        <v>59</v>
      </c>
      <c r="Y75" s="24" t="s">
        <v>59</v>
      </c>
      <c r="Z75" s="24" t="s">
        <v>59</v>
      </c>
      <c r="AA75" s="24" t="s">
        <v>59</v>
      </c>
      <c r="AB75" s="24" t="s">
        <v>59</v>
      </c>
      <c r="AC75" s="24" t="s">
        <v>59</v>
      </c>
      <c r="AD75" s="19" t="s">
        <v>60</v>
      </c>
      <c r="AE75" s="19" t="s">
        <v>60</v>
      </c>
    </row>
    <row r="76" spans="1:31">
      <c r="A76" s="19" t="s">
        <v>52</v>
      </c>
      <c r="B76" s="19" t="s">
        <v>53</v>
      </c>
      <c r="C76" s="19" t="s">
        <v>233</v>
      </c>
      <c r="D76" s="19" t="s">
        <v>55</v>
      </c>
      <c r="E76" s="19" t="s">
        <v>212</v>
      </c>
      <c r="F76" s="19" t="s">
        <v>238</v>
      </c>
      <c r="G76" s="20" t="s">
        <v>239</v>
      </c>
      <c r="H76" s="21">
        <v>276933</v>
      </c>
      <c r="I76" s="21">
        <v>0</v>
      </c>
      <c r="J76" s="21">
        <v>0</v>
      </c>
      <c r="K76" s="21">
        <v>0</v>
      </c>
      <c r="L76" s="22">
        <f>H76-I76</f>
        <v>276933.0</v>
      </c>
      <c r="M76" s="22">
        <f>I76-J76</f>
        <v>0.0</v>
      </c>
      <c r="N76" s="22">
        <f>H76-K76</f>
        <v>276933.0</v>
      </c>
      <c r="O76" s="23">
        <f>IF(H76&gt;0,K76/H76,0)</f>
        <v>0.0</v>
      </c>
      <c r="P76" s="23">
        <f>IF(H76&gt;0,J76/H76,0)</f>
        <v>0.0</v>
      </c>
      <c r="Q76" s="19" t="str">
        <f>IF(H76&lt;=0,"Sin PIM",IF(K76/H76&gt;=Config!$B$5,"Ejecutado",IF(J76/H76&gt;=Config!$B$6,"Mayormente comprometido",IF(J76&gt;0.005,"Parcialmente comprometido",IF(I76&gt;0.005,"Solo certificado","Sin certificar")))))</f>
        <v>Sin certificar</v>
      </c>
      <c r="R76" s="19" t="str">
        <f>IF(Q76="Sin certificar","Disponible",IF(Q76="Solo certificado","Posible",IF(Q76="Parcialmente comprometido","Parcial",IF(Q76="Mayormente comprometido","Difícil",IF(Q76="Ejecutado","No usar","Sin PIM")))))</f>
        <v>Disponible</v>
      </c>
      <c r="S76" s="22">
        <f>IF(OR(H76&lt;=0,Q76="Ejecutado"),0,MAX(0,H76-J76))</f>
        <v>276933.0</v>
      </c>
      <c r="T76" s="21">
        <v>0</v>
      </c>
      <c r="U76" s="21">
        <v>276933</v>
      </c>
      <c r="V76" s="21">
        <v>0</v>
      </c>
      <c r="W76" s="21">
        <v>0</v>
      </c>
      <c r="X76" s="24" t="s">
        <v>59</v>
      </c>
      <c r="Y76" s="24" t="s">
        <v>59</v>
      </c>
      <c r="Z76" s="24" t="s">
        <v>59</v>
      </c>
      <c r="AA76" s="24" t="s">
        <v>59</v>
      </c>
      <c r="AB76" s="24" t="s">
        <v>59</v>
      </c>
      <c r="AC76" s="24" t="s">
        <v>59</v>
      </c>
      <c r="AD76" s="19" t="s">
        <v>64</v>
      </c>
      <c r="AE76" s="19" t="s">
        <v>60</v>
      </c>
    </row>
    <row r="77" spans="1:31">
      <c r="A77" s="19" t="s">
        <v>52</v>
      </c>
      <c r="B77" s="19" t="s">
        <v>53</v>
      </c>
      <c r="C77" s="19" t="s">
        <v>233</v>
      </c>
      <c r="D77" s="19" t="s">
        <v>153</v>
      </c>
      <c r="E77" s="19" t="s">
        <v>240</v>
      </c>
      <c r="F77" s="19" t="s">
        <v>241</v>
      </c>
      <c r="G77" s="20" t="s">
        <v>242</v>
      </c>
      <c r="H77" s="21">
        <v>147663</v>
      </c>
      <c r="I77" s="21">
        <v>120042</v>
      </c>
      <c r="J77" s="21">
        <v>116145.26</v>
      </c>
      <c r="K77" s="21">
        <v>62767.76</v>
      </c>
      <c r="L77" s="22">
        <f>H77-I77</f>
        <v>27621.0</v>
      </c>
      <c r="M77" s="22">
        <f>I77-J77</f>
        <v>3896.7399999999907</v>
      </c>
      <c r="N77" s="22">
        <f>H77-K77</f>
        <v>84895.23999999999</v>
      </c>
      <c r="O77" s="23">
        <f>IF(H77&gt;0,K77/H77,0)</f>
        <v>0.4250743923664019</v>
      </c>
      <c r="P77" s="23">
        <f>IF(H77&gt;0,J77/H77,0)</f>
        <v>0.7865562801785146</v>
      </c>
      <c r="Q77" s="19" t="str">
        <f>IF(H77&lt;=0,"Sin PIM",IF(K77/H77&gt;=Config!$B$5,"Ejecutado",IF(J77/H77&gt;=Config!$B$6,"Mayormente comprometido",IF(J77&gt;0.005,"Parcialmente comprometido",IF(I77&gt;0.005,"Solo certificado","Sin certificar")))))</f>
        <v>Mayormente comprometido</v>
      </c>
      <c r="R77" s="19" t="str">
        <f>IF(Q77="Sin certificar","Disponible",IF(Q77="Solo certificado","Posible",IF(Q77="Parcialmente comprometido","Parcial",IF(Q77="Mayormente comprometido","Difícil",IF(Q77="Ejecutado","No usar","Sin PIM")))))</f>
        <v>Difícil</v>
      </c>
      <c r="S77" s="22">
        <f>IF(OR(H77&lt;=0,Q77="Ejecutado"),0,MAX(0,H77-J77))</f>
        <v>31517.73999999999</v>
      </c>
      <c r="T77" s="21">
        <v>0</v>
      </c>
      <c r="U77" s="21">
        <v>147663</v>
      </c>
      <c r="V77" s="21">
        <v>0</v>
      </c>
      <c r="W77" s="21">
        <v>0</v>
      </c>
      <c r="X77" s="24" t="s">
        <v>59</v>
      </c>
      <c r="Y77" s="24" t="s">
        <v>59</v>
      </c>
      <c r="Z77" s="24" t="s">
        <v>59</v>
      </c>
      <c r="AA77" s="24" t="s">
        <v>59</v>
      </c>
      <c r="AB77" s="24" t="s">
        <v>59</v>
      </c>
      <c r="AC77" s="24" t="s">
        <v>59</v>
      </c>
      <c r="AD77" s="19" t="s">
        <v>60</v>
      </c>
      <c r="AE77" s="19" t="s">
        <v>60</v>
      </c>
    </row>
    <row r="78" spans="1:31">
      <c r="A78" s="19" t="s">
        <v>52</v>
      </c>
      <c r="B78" s="19" t="s">
        <v>53</v>
      </c>
      <c r="C78" s="19" t="s">
        <v>233</v>
      </c>
      <c r="D78" s="19" t="s">
        <v>243</v>
      </c>
      <c r="E78" s="19" t="s">
        <v>244</v>
      </c>
      <c r="F78" s="19" t="s">
        <v>245</v>
      </c>
      <c r="G78" s="20" t="s">
        <v>246</v>
      </c>
      <c r="H78" s="21">
        <v>108000</v>
      </c>
      <c r="I78" s="21">
        <v>108000</v>
      </c>
      <c r="J78" s="21">
        <v>108000</v>
      </c>
      <c r="K78" s="21">
        <v>108000</v>
      </c>
      <c r="L78" s="22">
        <f>H78-I78</f>
        <v>0.0</v>
      </c>
      <c r="M78" s="22">
        <f>I78-J78</f>
        <v>0.0</v>
      </c>
      <c r="N78" s="22">
        <f>H78-K78</f>
        <v>0.0</v>
      </c>
      <c r="O78" s="23">
        <f>IF(H78&gt;0,K78/H78,0)</f>
        <v>1.0</v>
      </c>
      <c r="P78" s="23">
        <f>IF(H78&gt;0,J78/H78,0)</f>
        <v>1.0</v>
      </c>
      <c r="Q78" s="19" t="str">
        <f>IF(H78&lt;=0,"Sin PIM",IF(K78/H78&gt;=Config!$B$5,"Ejecutado",IF(J78/H78&gt;=Config!$B$6,"Mayormente comprometido",IF(J78&gt;0.005,"Parcialmente comprometido",IF(I78&gt;0.005,"Solo certificado","Sin certificar")))))</f>
        <v>Ejecutado</v>
      </c>
      <c r="R78" s="19" t="str">
        <f>IF(Q78="Sin certificar","Disponible",IF(Q78="Solo certificado","Posible",IF(Q78="Parcialmente comprometido","Parcial",IF(Q78="Mayormente comprometido","Difícil",IF(Q78="Ejecutado","No usar","Sin PIM")))))</f>
        <v>No usar</v>
      </c>
      <c r="S78" s="22">
        <f>IF(OR(H78&lt;=0,Q78="Ejecutado"),0,MAX(0,H78-J78))</f>
        <v>0.0</v>
      </c>
      <c r="T78" s="21">
        <v>0</v>
      </c>
      <c r="U78" s="21">
        <v>0</v>
      </c>
      <c r="V78" s="21">
        <v>0</v>
      </c>
      <c r="W78" s="21">
        <v>108000</v>
      </c>
      <c r="X78" s="24" t="s">
        <v>59</v>
      </c>
      <c r="Y78" s="24" t="s">
        <v>59</v>
      </c>
      <c r="Z78" s="24" t="s">
        <v>59</v>
      </c>
      <c r="AA78" s="24" t="s">
        <v>59</v>
      </c>
      <c r="AB78" s="24" t="s">
        <v>59</v>
      </c>
      <c r="AC78" s="24" t="s">
        <v>59</v>
      </c>
      <c r="AD78" s="19" t="s">
        <v>60</v>
      </c>
      <c r="AE78" s="19" t="s">
        <v>60</v>
      </c>
    </row>
    <row r="79" spans="1:31">
      <c r="A79" s="19" t="s">
        <v>52</v>
      </c>
      <c r="B79" s="19" t="s">
        <v>53</v>
      </c>
      <c r="C79" s="19" t="s">
        <v>247</v>
      </c>
      <c r="D79" s="19" t="s">
        <v>248</v>
      </c>
      <c r="E79" s="19" t="s">
        <v>249</v>
      </c>
      <c r="F79" s="19" t="s">
        <v>250</v>
      </c>
      <c r="G79" s="20" t="s">
        <v>251</v>
      </c>
      <c r="H79" s="21">
        <v>1146585</v>
      </c>
      <c r="I79" s="21">
        <v>1046247.6</v>
      </c>
      <c r="J79" s="21">
        <v>1025365.9</v>
      </c>
      <c r="K79" s="21">
        <v>744832.4200000002</v>
      </c>
      <c r="L79" s="22">
        <f>H79-I79</f>
        <v>100337.3999999999</v>
      </c>
      <c r="M79" s="22">
        <f>I79-J79</f>
        <v>20881.699999999953</v>
      </c>
      <c r="N79" s="22">
        <f>H79-K79</f>
        <v>401752.57999999984</v>
      </c>
      <c r="O79" s="23">
        <f>IF(H79&gt;0,K79/H79,0)</f>
        <v>0.6496094227641214</v>
      </c>
      <c r="P79" s="23">
        <f>IF(H79&gt;0,J79/H79,0)</f>
        <v>0.8942781389953646</v>
      </c>
      <c r="Q79" s="19" t="str">
        <f>IF(H79&lt;=0,"Sin PIM",IF(K79/H79&gt;=Config!$B$5,"Ejecutado",IF(J79/H79&gt;=Config!$B$6,"Mayormente comprometido",IF(J79&gt;0.005,"Parcialmente comprometido",IF(I79&gt;0.005,"Solo certificado","Sin certificar")))))</f>
        <v>Mayormente comprometido</v>
      </c>
      <c r="R79" s="19" t="str">
        <f>IF(Q79="Sin certificar","Disponible",IF(Q79="Solo certificado","Posible",IF(Q79="Parcialmente comprometido","Parcial",IF(Q79="Mayormente comprometido","Difícil",IF(Q79="Ejecutado","No usar","Sin PIM")))))</f>
        <v>Difícil</v>
      </c>
      <c r="S79" s="22">
        <f>IF(OR(H79&lt;=0,Q79="Ejecutado"),0,MAX(0,H79-J79))</f>
        <v>121219.09999999986</v>
      </c>
      <c r="T79" s="21">
        <v>599215</v>
      </c>
      <c r="U79" s="21">
        <v>337040</v>
      </c>
      <c r="V79" s="21">
        <v>0</v>
      </c>
      <c r="W79" s="21">
        <v>210330</v>
      </c>
      <c r="X79" s="24" t="s">
        <v>59</v>
      </c>
      <c r="Y79" s="24" t="s">
        <v>59</v>
      </c>
      <c r="Z79" s="24" t="s">
        <v>59</v>
      </c>
      <c r="AA79" s="24" t="s">
        <v>59</v>
      </c>
      <c r="AB79" s="24" t="s">
        <v>59</v>
      </c>
      <c r="AC79" s="24" t="s">
        <v>59</v>
      </c>
      <c r="AD79" s="19" t="s">
        <v>64</v>
      </c>
      <c r="AE79" s="19" t="s">
        <v>60</v>
      </c>
    </row>
    <row r="80" spans="1:31">
      <c r="A80" s="19" t="s">
        <v>52</v>
      </c>
      <c r="B80" s="19" t="s">
        <v>53</v>
      </c>
      <c r="C80" s="19" t="s">
        <v>247</v>
      </c>
      <c r="D80" s="19" t="s">
        <v>248</v>
      </c>
      <c r="E80" s="19" t="s">
        <v>249</v>
      </c>
      <c r="F80" s="19" t="s">
        <v>252</v>
      </c>
      <c r="G80" s="20" t="s">
        <v>251</v>
      </c>
      <c r="H80" s="21">
        <v>774018</v>
      </c>
      <c r="I80" s="21">
        <v>700313.5</v>
      </c>
      <c r="J80" s="21">
        <v>694498.9</v>
      </c>
      <c r="K80" s="21">
        <v>447191.7</v>
      </c>
      <c r="L80" s="22">
        <f>H80-I80</f>
        <v>73704.5</v>
      </c>
      <c r="M80" s="22">
        <f>I80-J80</f>
        <v>5814.599999999977</v>
      </c>
      <c r="N80" s="22">
        <f>H80-K80</f>
        <v>326826.3</v>
      </c>
      <c r="O80" s="23">
        <f>IF(H80&gt;0,K80/H80,0)</f>
        <v>0.5777536181329117</v>
      </c>
      <c r="P80" s="23">
        <f>IF(H80&gt;0,J80/H80,0)</f>
        <v>0.8972645338997285</v>
      </c>
      <c r="Q80" s="19" t="str">
        <f>IF(H80&lt;=0,"Sin PIM",IF(K80/H80&gt;=Config!$B$5,"Ejecutado",IF(J80/H80&gt;=Config!$B$6,"Mayormente comprometido",IF(J80&gt;0.005,"Parcialmente comprometido",IF(I80&gt;0.005,"Solo certificado","Sin certificar")))))</f>
        <v>Mayormente comprometido</v>
      </c>
      <c r="R80" s="19" t="str">
        <f>IF(Q80="Sin certificar","Disponible",IF(Q80="Solo certificado","Posible",IF(Q80="Parcialmente comprometido","Parcial",IF(Q80="Mayormente comprometido","Difícil",IF(Q80="Ejecutado","No usar","Sin PIM")))))</f>
        <v>Difícil</v>
      </c>
      <c r="S80" s="22">
        <f>IF(OR(H80&lt;=0,Q80="Ejecutado"),0,MAX(0,H80-J80))</f>
        <v>79519.09999999998</v>
      </c>
      <c r="T80" s="21">
        <v>219981</v>
      </c>
      <c r="U80" s="21">
        <v>346706</v>
      </c>
      <c r="V80" s="21">
        <v>0</v>
      </c>
      <c r="W80" s="21">
        <v>207331</v>
      </c>
      <c r="X80" s="24" t="s">
        <v>59</v>
      </c>
      <c r="Y80" s="24" t="s">
        <v>59</v>
      </c>
      <c r="Z80" s="24" t="s">
        <v>59</v>
      </c>
      <c r="AA80" s="24" t="s">
        <v>59</v>
      </c>
      <c r="AB80" s="24" t="s">
        <v>59</v>
      </c>
      <c r="AC80" s="24" t="s">
        <v>59</v>
      </c>
      <c r="AD80" s="19" t="s">
        <v>64</v>
      </c>
      <c r="AE80" s="19" t="s">
        <v>60</v>
      </c>
    </row>
    <row r="81" spans="1:31">
      <c r="A81" s="19" t="s">
        <v>52</v>
      </c>
      <c r="B81" s="19" t="s">
        <v>53</v>
      </c>
      <c r="C81" s="19" t="s">
        <v>247</v>
      </c>
      <c r="D81" s="19" t="s">
        <v>55</v>
      </c>
      <c r="E81" s="19" t="s">
        <v>253</v>
      </c>
      <c r="F81" s="19" t="s">
        <v>254</v>
      </c>
      <c r="G81" s="20" t="s">
        <v>255</v>
      </c>
      <c r="H81" s="21">
        <v>290000</v>
      </c>
      <c r="I81" s="21">
        <v>284643.13</v>
      </c>
      <c r="J81" s="21">
        <v>284643.13</v>
      </c>
      <c r="K81" s="21">
        <v>191992.93</v>
      </c>
      <c r="L81" s="22">
        <f>H81-I81</f>
        <v>5356.869999999995</v>
      </c>
      <c r="M81" s="22">
        <f>I81-J81</f>
        <v>0.0</v>
      </c>
      <c r="N81" s="22">
        <f>H81-K81</f>
        <v>98007.07</v>
      </c>
      <c r="O81" s="23">
        <f>IF(H81&gt;0,K81/H81,0)</f>
        <v>0.6620445862068965</v>
      </c>
      <c r="P81" s="23">
        <f>IF(H81&gt;0,J81/H81,0)</f>
        <v>0.9815280344827586</v>
      </c>
      <c r="Q81" s="19" t="str">
        <f>IF(H81&lt;=0,"Sin PIM",IF(K81/H81&gt;=Config!$B$5,"Ejecutado",IF(J81/H81&gt;=Config!$B$6,"Mayormente comprometido",IF(J81&gt;0.005,"Parcialmente comprometido",IF(I81&gt;0.005,"Solo certificado","Sin certificar")))))</f>
        <v>Mayormente comprometido</v>
      </c>
      <c r="R81" s="19" t="str">
        <f>IF(Q81="Sin certificar","Disponible",IF(Q81="Solo certificado","Posible",IF(Q81="Parcialmente comprometido","Parcial",IF(Q81="Mayormente comprometido","Difícil",IF(Q81="Ejecutado","No usar","Sin PIM")))))</f>
        <v>Difícil</v>
      </c>
      <c r="S81" s="22">
        <f>IF(OR(H81&lt;=0,Q81="Ejecutado"),0,MAX(0,H81-J81))</f>
        <v>5356.869999999995</v>
      </c>
      <c r="T81" s="21">
        <v>0</v>
      </c>
      <c r="U81" s="21">
        <v>275498</v>
      </c>
      <c r="V81" s="21">
        <v>0</v>
      </c>
      <c r="W81" s="21">
        <v>14502</v>
      </c>
      <c r="X81" s="24" t="s">
        <v>59</v>
      </c>
      <c r="Y81" s="24" t="s">
        <v>59</v>
      </c>
      <c r="Z81" s="24" t="s">
        <v>59</v>
      </c>
      <c r="AA81" s="24" t="s">
        <v>59</v>
      </c>
      <c r="AB81" s="24" t="s">
        <v>59</v>
      </c>
      <c r="AC81" s="24" t="s">
        <v>59</v>
      </c>
      <c r="AD81" s="19" t="s">
        <v>64</v>
      </c>
      <c r="AE81" s="19" t="s">
        <v>60</v>
      </c>
    </row>
    <row r="82" spans="1:31">
      <c r="A82" s="19" t="s">
        <v>52</v>
      </c>
      <c r="B82" s="19" t="s">
        <v>53</v>
      </c>
      <c r="C82" s="19" t="s">
        <v>247</v>
      </c>
      <c r="D82" s="19" t="s">
        <v>55</v>
      </c>
      <c r="E82" s="19" t="s">
        <v>256</v>
      </c>
      <c r="F82" s="19" t="s">
        <v>257</v>
      </c>
      <c r="G82" s="20" t="s">
        <v>258</v>
      </c>
      <c r="H82" s="21">
        <v>100000</v>
      </c>
      <c r="I82" s="21">
        <v>61800</v>
      </c>
      <c r="J82" s="21">
        <v>61800</v>
      </c>
      <c r="K82" s="21">
        <v>41500</v>
      </c>
      <c r="L82" s="22">
        <f>H82-I82</f>
        <v>38200.0</v>
      </c>
      <c r="M82" s="22">
        <f>I82-J82</f>
        <v>0.0</v>
      </c>
      <c r="N82" s="22">
        <f>H82-K82</f>
        <v>58500.0</v>
      </c>
      <c r="O82" s="23">
        <f>IF(H82&gt;0,K82/H82,0)</f>
        <v>0.415</v>
      </c>
      <c r="P82" s="23">
        <f>IF(H82&gt;0,J82/H82,0)</f>
        <v>0.618</v>
      </c>
      <c r="Q82" s="19" t="str">
        <f>IF(H82&lt;=0,"Sin PIM",IF(K82/H82&gt;=Config!$B$5,"Ejecutado",IF(J82/H82&gt;=Config!$B$6,"Mayormente comprometido",IF(J82&gt;0.005,"Parcialmente comprometido",IF(I82&gt;0.005,"Solo certificado","Sin certificar")))))</f>
        <v>Mayormente comprometido</v>
      </c>
      <c r="R82" s="19" t="str">
        <f>IF(Q82="Sin certificar","Disponible",IF(Q82="Solo certificado","Posible",IF(Q82="Parcialmente comprometido","Parcial",IF(Q82="Mayormente comprometido","Difícil",IF(Q82="Ejecutado","No usar","Sin PIM")))))</f>
        <v>Difícil</v>
      </c>
      <c r="S82" s="22">
        <f>IF(OR(H82&lt;=0,Q82="Ejecutado"),0,MAX(0,H82-J82))</f>
        <v>38200.0</v>
      </c>
      <c r="T82" s="21">
        <v>0</v>
      </c>
      <c r="U82" s="21">
        <v>100000</v>
      </c>
      <c r="V82" s="21">
        <v>0</v>
      </c>
      <c r="W82" s="21">
        <v>0</v>
      </c>
      <c r="X82" s="24" t="s">
        <v>59</v>
      </c>
      <c r="Y82" s="24" t="s">
        <v>59</v>
      </c>
      <c r="Z82" s="24" t="s">
        <v>59</v>
      </c>
      <c r="AA82" s="24" t="s">
        <v>59</v>
      </c>
      <c r="AB82" s="24" t="s">
        <v>59</v>
      </c>
      <c r="AC82" s="24" t="s">
        <v>59</v>
      </c>
      <c r="AD82" s="19" t="s">
        <v>64</v>
      </c>
      <c r="AE82" s="19" t="s">
        <v>60</v>
      </c>
    </row>
    <row r="83" spans="1:31">
      <c r="A83" s="19" t="s">
        <v>52</v>
      </c>
      <c r="B83" s="19" t="s">
        <v>53</v>
      </c>
      <c r="C83" s="19" t="s">
        <v>259</v>
      </c>
      <c r="D83" s="19" t="s">
        <v>55</v>
      </c>
      <c r="E83" s="19" t="s">
        <v>260</v>
      </c>
      <c r="F83" s="19" t="s">
        <v>261</v>
      </c>
      <c r="G83" s="20" t="s">
        <v>262</v>
      </c>
      <c r="H83" s="21">
        <v>2491773</v>
      </c>
      <c r="I83" s="21">
        <v>2491773</v>
      </c>
      <c r="J83" s="21">
        <v>2491773</v>
      </c>
      <c r="K83" s="21">
        <v>1895535.64</v>
      </c>
      <c r="L83" s="22">
        <f>H83-I83</f>
        <v>0.0</v>
      </c>
      <c r="M83" s="22">
        <f>I83-J83</f>
        <v>0.0</v>
      </c>
      <c r="N83" s="22">
        <f>H83-K83</f>
        <v>596237.3600000001</v>
      </c>
      <c r="O83" s="23">
        <f>IF(H83&gt;0,K83/H83,0)</f>
        <v>0.7607176255622</v>
      </c>
      <c r="P83" s="23">
        <f>IF(H83&gt;0,J83/H83,0)</f>
        <v>1.0</v>
      </c>
      <c r="Q83" s="19" t="str">
        <f>IF(H83&lt;=0,"Sin PIM",IF(K83/H83&gt;=Config!$B$5,"Ejecutado",IF(J83/H83&gt;=Config!$B$6,"Mayormente comprometido",IF(J83&gt;0.005,"Parcialmente comprometido",IF(I83&gt;0.005,"Solo certificado","Sin certificar")))))</f>
        <v>Mayormente comprometido</v>
      </c>
      <c r="R83" s="19" t="str">
        <f>IF(Q83="Sin certificar","Disponible",IF(Q83="Solo certificado","Posible",IF(Q83="Parcialmente comprometido","Parcial",IF(Q83="Mayormente comprometido","Difícil",IF(Q83="Ejecutado","No usar","Sin PIM")))))</f>
        <v>Difícil</v>
      </c>
      <c r="S83" s="22">
        <f>IF(OR(H83&lt;=0,Q83="Ejecutado"),0,MAX(0,H83-J83))</f>
        <v>0.0</v>
      </c>
      <c r="T83" s="21">
        <v>0</v>
      </c>
      <c r="U83" s="21">
        <v>0</v>
      </c>
      <c r="V83" s="21">
        <v>0</v>
      </c>
      <c r="W83" s="21">
        <v>2491773</v>
      </c>
      <c r="X83" s="24" t="s">
        <v>59</v>
      </c>
      <c r="Y83" s="24" t="s">
        <v>59</v>
      </c>
      <c r="Z83" s="24" t="s">
        <v>59</v>
      </c>
      <c r="AA83" s="24" t="s">
        <v>59</v>
      </c>
      <c r="AB83" s="24" t="s">
        <v>59</v>
      </c>
      <c r="AC83" s="24" t="s">
        <v>59</v>
      </c>
      <c r="AD83" s="19" t="s">
        <v>64</v>
      </c>
      <c r="AE83" s="19" t="s">
        <v>60</v>
      </c>
    </row>
    <row r="84" spans="1:31">
      <c r="A84" s="19" t="s">
        <v>52</v>
      </c>
      <c r="B84" s="19" t="s">
        <v>53</v>
      </c>
      <c r="C84" s="19" t="s">
        <v>263</v>
      </c>
      <c r="D84" s="19" t="s">
        <v>55</v>
      </c>
      <c r="E84" s="19" t="s">
        <v>264</v>
      </c>
      <c r="F84" s="19" t="s">
        <v>265</v>
      </c>
      <c r="G84" s="20" t="s">
        <v>266</v>
      </c>
      <c r="H84" s="21">
        <v>1594115</v>
      </c>
      <c r="I84" s="21">
        <v>0</v>
      </c>
      <c r="J84" s="21">
        <v>0</v>
      </c>
      <c r="K84" s="21">
        <v>0</v>
      </c>
      <c r="L84" s="22">
        <f>H84-I84</f>
        <v>1594115.0</v>
      </c>
      <c r="M84" s="22">
        <f>I84-J84</f>
        <v>0.0</v>
      </c>
      <c r="N84" s="22">
        <f>H84-K84</f>
        <v>1594115.0</v>
      </c>
      <c r="O84" s="23">
        <f>IF(H84&gt;0,K84/H84,0)</f>
        <v>0.0</v>
      </c>
      <c r="P84" s="23">
        <f>IF(H84&gt;0,J84/H84,0)</f>
        <v>0.0</v>
      </c>
      <c r="Q84" s="19" t="str">
        <f>IF(H84&lt;=0,"Sin PIM",IF(K84/H84&gt;=Config!$B$5,"Ejecutado",IF(J84/H84&gt;=Config!$B$6,"Mayormente comprometido",IF(J84&gt;0.005,"Parcialmente comprometido",IF(I84&gt;0.005,"Solo certificado","Sin certificar")))))</f>
        <v>Sin certificar</v>
      </c>
      <c r="R84" s="19" t="str">
        <f>IF(Q84="Sin certificar","Disponible",IF(Q84="Solo certificado","Posible",IF(Q84="Parcialmente comprometido","Parcial",IF(Q84="Mayormente comprometido","Difícil",IF(Q84="Ejecutado","No usar","Sin PIM")))))</f>
        <v>Disponible</v>
      </c>
      <c r="S84" s="22">
        <f>IF(OR(H84&lt;=0,Q84="Ejecutado"),0,MAX(0,H84-J84))</f>
        <v>1594115.0</v>
      </c>
      <c r="T84" s="21">
        <v>0</v>
      </c>
      <c r="U84" s="21">
        <v>0</v>
      </c>
      <c r="V84" s="21">
        <v>0</v>
      </c>
      <c r="W84" s="21">
        <v>1594115</v>
      </c>
      <c r="X84" s="24" t="s">
        <v>59</v>
      </c>
      <c r="Y84" s="24" t="s">
        <v>59</v>
      </c>
      <c r="Z84" s="24" t="s">
        <v>59</v>
      </c>
      <c r="AA84" s="24" t="s">
        <v>59</v>
      </c>
      <c r="AB84" s="24" t="s">
        <v>59</v>
      </c>
      <c r="AC84" s="24" t="s">
        <v>59</v>
      </c>
      <c r="AD84" s="19" t="s">
        <v>64</v>
      </c>
      <c r="AE84" s="19" t="s">
        <v>60</v>
      </c>
    </row>
  </sheetData>
  <autoFilter ref="A4:AE84"/>
  <conditionalFormatting sqref="R5:R84">
    <cfRule type="cellIs" dxfId="0" priority="1" operator="equal">
      <formula>"Disponible"</formula>
    </cfRule>
    <cfRule type="cellIs" dxfId="1" priority="2" operator="equal">
      <formula>"Posible"</formula>
    </cfRule>
    <cfRule type="cellIs" dxfId="2" priority="3" operator="equal">
      <formula>"Parcial"</formula>
    </cfRule>
    <cfRule type="cellIs" dxfId="3" priority="4" operator="equal">
      <formula>"Difícil"</formula>
    </cfRule>
    <cfRule type="cellIs" dxfId="4" priority="5" operator="equal">
      <formula>"No usar"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100.7109375" customWidth="1"/>
    <col min="2" max="5" width="20.7109375" customWidth="1"/>
  </cols>
  <sheetData>
    <row r="1" spans="1:5">
      <c r="A1" s="1" t="s">
        <v>306</v>
      </c>
    </row>
    <row r="3" spans="1:5">
      <c r="A3" s="3" t="s">
        <v>307</v>
      </c>
      <c r="B3" s="3" t="s">
        <v>308</v>
      </c>
      <c r="C3" s="3" t="s">
        <v>309</v>
      </c>
      <c r="D3" s="3" t="s">
        <v>310</v>
      </c>
      <c r="E3" s="3" t="s">
        <v>311</v>
      </c>
    </row>
    <row r="4" spans="1:5">
      <c r="A4" s="25" t="s">
        <v>312</v>
      </c>
      <c r="B4" s="26">
        <f>'Gasto corriente'!D100</f>
        <v>99795382.0</v>
      </c>
      <c r="C4" s="26">
        <v>99795382</v>
      </c>
      <c r="D4" s="26">
        <f>B4-C4</f>
        <v>0.0</v>
      </c>
      <c r="E4" s="25" t="str">
        <f>IF(ABS(D4)&lt;=0.5,"Conciliado","REVISAR")</f>
        <v>Conciliado</v>
      </c>
    </row>
    <row r="5" spans="1:5">
      <c r="A5" s="25" t="s">
        <v>313</v>
      </c>
      <c r="B5" s="26">
        <f>'Gasto corriente'!H100</f>
        <v>56814242.85000001</v>
      </c>
      <c r="C5" s="26">
        <v>56814242.85</v>
      </c>
      <c r="D5" s="26">
        <f>B5-C5</f>
        <v>7.450580596923828e-09</v>
      </c>
      <c r="E5" s="25" t="str">
        <f>IF(ABS(D5)&lt;=0.5,"Conciliado","REVISAR")</f>
        <v>Conciliado</v>
      </c>
    </row>
    <row r="6" spans="1:5">
      <c r="A6" s="25" t="s">
        <v>314</v>
      </c>
      <c r="B6" s="26">
        <f>SUM('Base GC'!$H$5:$H$84)</f>
        <v>99795382.0</v>
      </c>
      <c r="C6" s="26">
        <v>99795382</v>
      </c>
      <c r="D6" s="26">
        <f>B6-C6</f>
        <v>0.0</v>
      </c>
      <c r="E6" s="25" t="str">
        <f>IF(ABS(D6)&lt;=0.5,"Conciliado","REVISAR")</f>
        <v>Conciliado</v>
      </c>
    </row>
    <row r="7" spans="1:5">
      <c r="A7" s="25" t="s">
        <v>315</v>
      </c>
      <c r="B7" s="26">
        <f>905026984.0+SUM('Base GC'!$H$5:$H$84)</f>
        <v>1004822366.0</v>
      </c>
      <c r="C7" s="26">
        <v>1004822366</v>
      </c>
      <c r="D7" s="26">
        <f>B7-C7</f>
        <v>0.0</v>
      </c>
      <c r="E7" s="25" t="str">
        <f>IF(ABS(D7)&lt;=0.5,"Conciliado","REVISAR")</f>
        <v>Conciliado</v>
      </c>
    </row>
    <row r="9" spans="1:5">
      <c r="A9" s="8" t="s">
        <v>316</v>
      </c>
    </row>
    <row r="10" spans="1:5">
      <c r="A10" s="25" t="s">
        <v>317</v>
      </c>
      <c r="B10" s="25">
        <v>80</v>
      </c>
    </row>
    <row r="11" spans="1:5">
      <c r="A11" s="25" t="s">
        <v>318</v>
      </c>
      <c r="B11" s="25">
        <v>80</v>
      </c>
    </row>
    <row r="12" spans="1:5">
      <c r="A12" s="25" t="s">
        <v>319</v>
      </c>
      <c r="B12" s="25">
        <v>0</v>
      </c>
    </row>
    <row r="14" spans="1:5">
      <c r="A14" s="8" t="s">
        <v>320</v>
      </c>
    </row>
    <row r="15" spans="1:5">
      <c r="A15" s="27" t="s">
        <v>321</v>
      </c>
    </row>
    <row r="16" spans="1:5">
      <c r="A16" s="27" t="s">
        <v>322</v>
      </c>
    </row>
    <row r="17" spans="1:1">
      <c r="A17" s="27" t="s">
        <v>323</v>
      </c>
    </row>
    <row r="18" spans="1:1">
      <c r="A18" s="27" t="s">
        <v>324</v>
      </c>
    </row>
    <row r="19" spans="1:1">
      <c r="A19" s="27" t="s">
        <v>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1" width="38.7109375" customWidth="1"/>
    <col min="2" max="2" width="60.7109375" customWidth="1"/>
    <col min="3" max="3" width="90.7109375" customWidth="1"/>
  </cols>
  <sheetData>
    <row r="1" spans="1:3">
      <c r="A1" s="1" t="s">
        <v>0</v>
      </c>
    </row>
    <row r="3" spans="1:3">
      <c r="A3" s="3" t="s">
        <v>1</v>
      </c>
      <c r="B3" s="3" t="s">
        <v>2</v>
      </c>
      <c r="C3" s="3" t="s">
        <v>3</v>
      </c>
    </row>
    <row r="5" spans="1:3">
      <c r="A5" s="19" t="s">
        <v>4</v>
      </c>
      <c r="B5" s="28">
        <v>0.9</v>
      </c>
      <c r="C5" s="19" t="s">
        <v>5</v>
      </c>
    </row>
    <row r="6" spans="1:3">
      <c r="A6" s="19" t="s">
        <v>6</v>
      </c>
      <c r="B6" s="28">
        <v>0.5</v>
      </c>
      <c r="C6" s="19" t="s">
        <v>7</v>
      </c>
    </row>
    <row r="8" spans="1:3">
      <c r="A8" s="8" t="s">
        <v>8</v>
      </c>
    </row>
    <row r="9" spans="1:3">
      <c r="A9" s="19" t="s">
        <v>9</v>
      </c>
      <c r="B9" s="19" t="s">
        <v>10</v>
      </c>
    </row>
    <row r="10" spans="1:3">
      <c r="A10" s="19" t="s">
        <v>11</v>
      </c>
      <c r="B10" s="19" t="s">
        <v>12</v>
      </c>
    </row>
    <row r="11" spans="1:3">
      <c r="A11" s="19" t="s">
        <v>13</v>
      </c>
      <c r="B11" s="19" t="s">
        <v>14</v>
      </c>
    </row>
    <row r="12" spans="1:3">
      <c r="A12" s="19" t="s">
        <v>15</v>
      </c>
      <c r="B12" s="19" t="s">
        <v>16</v>
      </c>
    </row>
    <row r="13" spans="1:3">
      <c r="A13" s="19" t="s">
        <v>17</v>
      </c>
      <c r="B13" s="19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cols>
    <col min="1" max="1" width="170.7109375" customWidth="1"/>
  </cols>
  <sheetData>
    <row r="1" spans="1:1">
      <c r="A1" s="1" t="s">
        <v>326</v>
      </c>
    </row>
    <row r="3" spans="1:1">
      <c r="A3" s="19" t="s">
        <v>327</v>
      </c>
    </row>
    <row r="4" spans="1:1">
      <c r="A4" s="19" t="s">
        <v>328</v>
      </c>
    </row>
    <row r="5" spans="1:1">
      <c r="A5" s="19" t="s">
        <v>329</v>
      </c>
    </row>
    <row r="6" spans="1:1">
      <c r="A6" s="19" t="s">
        <v>330</v>
      </c>
    </row>
    <row r="7" spans="1:1">
      <c r="A7" s="19" t="s">
        <v>331</v>
      </c>
    </row>
    <row r="8" spans="1:1">
      <c r="A8" s="19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Gasto corriente</vt:lpstr>
      <vt:lpstr>Base GC</vt:lpstr>
      <vt:lpstr>Control</vt:lpstr>
      <vt:lpstr>Config</vt:lpstr>
      <vt:lpstr>Reglas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2026-10-08T10:23:32Z</dcterms:created>
  <dcterms:modified xsi:type="dcterms:W3CDTF">2026-10-08T10:23:32Z</dcterms:modified>
</cp:coreProperties>
</file>